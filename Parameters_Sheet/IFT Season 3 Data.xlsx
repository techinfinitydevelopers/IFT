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FT 3 Data" sheetId="1" r:id="rId5"/>
    <sheet state="visible" name="TOP 400" sheetId="2" r:id="rId6"/>
    <sheet state="visible" name="Top 24 - S3" sheetId="3" r:id="rId7"/>
  </sheets>
  <definedNames>
    <definedName hidden="1" localSheetId="0" name="Z_56FB2C4F_BCD1_4614_BBA2_92D6448262BD_.wvu.FilterData">'IFT 3 Data'!$A$1:$F$4192</definedName>
    <definedName hidden="1" localSheetId="0" name="Z_A990AC3E_D4EF_4B24_83B5_4E266B061D9E_.wvu.FilterData">'IFT 3 Data'!$A$4194:$F$7489</definedName>
  </definedNames>
  <calcPr/>
  <customWorkbookViews>
    <customWorkbookView activeSheetId="0" maximized="1" windowHeight="0" windowWidth="0" guid="{56FB2C4F-BCD1-4614-BBA2-92D6448262BD}" name="Filter 2"/>
    <customWorkbookView activeSheetId="0" maximized="1" windowHeight="0" windowWidth="0" guid="{A990AC3E-D4EF-4B24-83B5-4E266B061D9E}" name="Filter 1"/>
  </customWorkbookViews>
</workbook>
</file>

<file path=xl/sharedStrings.xml><?xml version="1.0" encoding="utf-8"?>
<sst xmlns="http://schemas.openxmlformats.org/spreadsheetml/2006/main" count="45735" uniqueCount="11431">
  <si>
    <t>First Name (Billing)</t>
  </si>
  <si>
    <t>Last Name (Billing)</t>
  </si>
  <si>
    <t>School Name</t>
  </si>
  <si>
    <t>Grade</t>
  </si>
  <si>
    <t>City (Billing)</t>
  </si>
  <si>
    <t>Phone (Billing)</t>
  </si>
  <si>
    <t>Shreyansh</t>
  </si>
  <si>
    <t>Srivastav</t>
  </si>
  <si>
    <t>RPM academy</t>
  </si>
  <si>
    <t>11thgrade</t>
  </si>
  <si>
    <t>Gorakhpur</t>
  </si>
  <si>
    <t>Bhargav</t>
  </si>
  <si>
    <t>Vattikuti</t>
  </si>
  <si>
    <t>SNBP International School</t>
  </si>
  <si>
    <t>7thgrade</t>
  </si>
  <si>
    <t>Pune</t>
  </si>
  <si>
    <t>Anaya</t>
  </si>
  <si>
    <t>Jobalia</t>
  </si>
  <si>
    <t>Bombay School</t>
  </si>
  <si>
    <t>Ranchi</t>
  </si>
  <si>
    <t>Hamza</t>
  </si>
  <si>
    <t>en</t>
  </si>
  <si>
    <t>St Peter's</t>
  </si>
  <si>
    <t>ranchi</t>
  </si>
  <si>
    <t>Himanshu</t>
  </si>
  <si>
    <t>Manav Mangal</t>
  </si>
  <si>
    <t>10thgrade</t>
  </si>
  <si>
    <t>Khansa</t>
  </si>
  <si>
    <t>St Mary's</t>
  </si>
  <si>
    <t>12thgrade</t>
  </si>
  <si>
    <t>chandigarh</t>
  </si>
  <si>
    <t>Ilma</t>
  </si>
  <si>
    <t>SM Academy</t>
  </si>
  <si>
    <t>Khushi</t>
  </si>
  <si>
    <t>ssvm</t>
  </si>
  <si>
    <t>Sanjana</t>
  </si>
  <si>
    <t>Government Model Senior Secondary School</t>
  </si>
  <si>
    <t>Gursimran</t>
  </si>
  <si>
    <t>Usman</t>
  </si>
  <si>
    <t>db</t>
  </si>
  <si>
    <t>Priyanka</t>
  </si>
  <si>
    <t>Govt Model Senior School</t>
  </si>
  <si>
    <t>Allen</t>
  </si>
  <si>
    <t>A one</t>
  </si>
  <si>
    <t>8thgrade</t>
  </si>
  <si>
    <t>ahmedabad</t>
  </si>
  <si>
    <t>Varun Omprakash</t>
  </si>
  <si>
    <t>Yadav</t>
  </si>
  <si>
    <t>St Mary high school</t>
  </si>
  <si>
    <t>Krishna</t>
  </si>
  <si>
    <t>Kumar</t>
  </si>
  <si>
    <t>Ritu</t>
  </si>
  <si>
    <t>raj</t>
  </si>
  <si>
    <t>dav school</t>
  </si>
  <si>
    <t>Alokh</t>
  </si>
  <si>
    <t>kumar</t>
  </si>
  <si>
    <t>9thgrade</t>
  </si>
  <si>
    <t>Alosk</t>
  </si>
  <si>
    <t>Ssvm</t>
  </si>
  <si>
    <t>Jawed</t>
  </si>
  <si>
    <t>Karim</t>
  </si>
  <si>
    <t>St.francices</t>
  </si>
  <si>
    <t>Alosh</t>
  </si>
  <si>
    <t>Singh</t>
  </si>
  <si>
    <t>Ankur</t>
  </si>
  <si>
    <t>Sharma</t>
  </si>
  <si>
    <t>Oxford school</t>
  </si>
  <si>
    <t>Ayush</t>
  </si>
  <si>
    <t>Jain</t>
  </si>
  <si>
    <t>Soni</t>
  </si>
  <si>
    <t>Hamid</t>
  </si>
  <si>
    <t>shukla</t>
  </si>
  <si>
    <t>St francices</t>
  </si>
  <si>
    <t>Nisha</t>
  </si>
  <si>
    <t>Amir</t>
  </si>
  <si>
    <t>Khan</t>
  </si>
  <si>
    <t>D.A.V</t>
  </si>
  <si>
    <t>Dharmesh</t>
  </si>
  <si>
    <t>Patel</t>
  </si>
  <si>
    <t>St.antines</t>
  </si>
  <si>
    <t>Rohit</t>
  </si>
  <si>
    <t>Juli</t>
  </si>
  <si>
    <t>Dolli</t>
  </si>
  <si>
    <t>DAV</t>
  </si>
  <si>
    <t>Doli</t>
  </si>
  <si>
    <t>Mukhul</t>
  </si>
  <si>
    <t>Dps ranchi</t>
  </si>
  <si>
    <t>Madhu</t>
  </si>
  <si>
    <t>kumari</t>
  </si>
  <si>
    <t>Sikha</t>
  </si>
  <si>
    <t>Subhangi</t>
  </si>
  <si>
    <t>Mishra</t>
  </si>
  <si>
    <t>Usline girls school</t>
  </si>
  <si>
    <t>Babli</t>
  </si>
  <si>
    <t>Vishal</t>
  </si>
  <si>
    <t>Shiv</t>
  </si>
  <si>
    <t>Raju</t>
  </si>
  <si>
    <t>Minakshi</t>
  </si>
  <si>
    <t>Vikash</t>
  </si>
  <si>
    <t>Hanuman</t>
  </si>
  <si>
    <t>Banti</t>
  </si>
  <si>
    <t>Gurunanak higher s e condary school</t>
  </si>
  <si>
    <t>3rdgrade</t>
  </si>
  <si>
    <t>Mahavir</t>
  </si>
  <si>
    <t>Disha</t>
  </si>
  <si>
    <t>Jay</t>
  </si>
  <si>
    <t>Dav public school</t>
  </si>
  <si>
    <t>Megha</t>
  </si>
  <si>
    <t>Gupta</t>
  </si>
  <si>
    <t>Uttam</t>
  </si>
  <si>
    <t>Shivam</t>
  </si>
  <si>
    <t>Pintu</t>
  </si>
  <si>
    <t>Das</t>
  </si>
  <si>
    <t>Rani</t>
  </si>
  <si>
    <t>sati</t>
  </si>
  <si>
    <t>Papuu</t>
  </si>
  <si>
    <t>Arav</t>
  </si>
  <si>
    <t>Mehta</t>
  </si>
  <si>
    <t>Reena</t>
  </si>
  <si>
    <t>Kumari</t>
  </si>
  <si>
    <t>Mukesh</t>
  </si>
  <si>
    <t>Nikhil</t>
  </si>
  <si>
    <t>Sachin</t>
  </si>
  <si>
    <t>Amit</t>
  </si>
  <si>
    <t>Mohit</t>
  </si>
  <si>
    <t>Raj</t>
  </si>
  <si>
    <t>Dinesh</t>
  </si>
  <si>
    <t>Gopal</t>
  </si>
  <si>
    <t>D.P.S</t>
  </si>
  <si>
    <t>Abhisek</t>
  </si>
  <si>
    <t>Rekha</t>
  </si>
  <si>
    <t>Priya</t>
  </si>
  <si>
    <t>alokh</t>
  </si>
  <si>
    <t>DAV public school</t>
  </si>
  <si>
    <t>Ritika</t>
  </si>
  <si>
    <t>Shaw</t>
  </si>
  <si>
    <t>Golden Jubilee School</t>
  </si>
  <si>
    <t>kolkata</t>
  </si>
  <si>
    <t>jaspreet</t>
  </si>
  <si>
    <t>kaur</t>
  </si>
  <si>
    <t>Gurunanak public school</t>
  </si>
  <si>
    <t>Mayank</t>
  </si>
  <si>
    <t>Aman Kumar</t>
  </si>
  <si>
    <t>Ray</t>
  </si>
  <si>
    <t>Palak</t>
  </si>
  <si>
    <t>Pandey</t>
  </si>
  <si>
    <t>Aditya</t>
  </si>
  <si>
    <t>Upadhyay</t>
  </si>
  <si>
    <t>Kritik</t>
  </si>
  <si>
    <t>Shruti</t>
  </si>
  <si>
    <t>Tiwari</t>
  </si>
  <si>
    <t>Gurinder</t>
  </si>
  <si>
    <t>prakash</t>
  </si>
  <si>
    <t>sharma</t>
  </si>
  <si>
    <t>st antines</t>
  </si>
  <si>
    <t>Swati</t>
  </si>
  <si>
    <t>Sacred heart</t>
  </si>
  <si>
    <t>Tuhina</t>
  </si>
  <si>
    <t>Poddar</t>
  </si>
  <si>
    <t>anil</t>
  </si>
  <si>
    <t>DAV PUBLIC SCHOOL</t>
  </si>
  <si>
    <t>Rajveer</t>
  </si>
  <si>
    <t>Firayala public school</t>
  </si>
  <si>
    <t>Anushka</t>
  </si>
  <si>
    <t>suresh</t>
  </si>
  <si>
    <t>Shipra</t>
  </si>
  <si>
    <t>Mangesh</t>
  </si>
  <si>
    <t>Kanaujiya</t>
  </si>
  <si>
    <t>kalwa</t>
  </si>
  <si>
    <t>safai</t>
  </si>
  <si>
    <t>ali</t>
  </si>
  <si>
    <t>St Xavier's</t>
  </si>
  <si>
    <t>Shivham</t>
  </si>
  <si>
    <t>Mourya</t>
  </si>
  <si>
    <t>Anisha</t>
  </si>
  <si>
    <t>ankit</t>
  </si>
  <si>
    <t>agarwal</t>
  </si>
  <si>
    <t>Guru Nanak higher secondary school</t>
  </si>
  <si>
    <t>Satish</t>
  </si>
  <si>
    <t>Chaugule</t>
  </si>
  <si>
    <t>Md.arsad</t>
  </si>
  <si>
    <t>Oxford public school</t>
  </si>
  <si>
    <t>Gaurav</t>
  </si>
  <si>
    <t>Vishwakarma</t>
  </si>
  <si>
    <t>Avish</t>
  </si>
  <si>
    <t>Saroj</t>
  </si>
  <si>
    <t>Ravi</t>
  </si>
  <si>
    <t>Thapa</t>
  </si>
  <si>
    <t>Parkesh high school</t>
  </si>
  <si>
    <t>Aryan</t>
  </si>
  <si>
    <t>papu</t>
  </si>
  <si>
    <t>kr</t>
  </si>
  <si>
    <t>Indradev</t>
  </si>
  <si>
    <t>MUMBAI</t>
  </si>
  <si>
    <t>Avnish</t>
  </si>
  <si>
    <t>mumbai</t>
  </si>
  <si>
    <t>Pinky</t>
  </si>
  <si>
    <t>Murty</t>
  </si>
  <si>
    <t>gargi</t>
  </si>
  <si>
    <t>tiwari</t>
  </si>
  <si>
    <t>St Charles</t>
  </si>
  <si>
    <t>Rishabh</t>
  </si>
  <si>
    <t>vijay</t>
  </si>
  <si>
    <t>mehta</t>
  </si>
  <si>
    <t>ST. XAVIERS</t>
  </si>
  <si>
    <t>Aniket</t>
  </si>
  <si>
    <t>basant</t>
  </si>
  <si>
    <t>kachhap</t>
  </si>
  <si>
    <t>anu</t>
  </si>
  <si>
    <t>mahi</t>
  </si>
  <si>
    <t>SSVM</t>
  </si>
  <si>
    <t>wajinder</t>
  </si>
  <si>
    <t>singh</t>
  </si>
  <si>
    <t>Sneha</t>
  </si>
  <si>
    <t>Patil</t>
  </si>
  <si>
    <t>lalita</t>
  </si>
  <si>
    <t>kairali</t>
  </si>
  <si>
    <t>Kanak</t>
  </si>
  <si>
    <t>Seema</t>
  </si>
  <si>
    <t>rohit</t>
  </si>
  <si>
    <t>sahu</t>
  </si>
  <si>
    <t>H.M public school</t>
  </si>
  <si>
    <t>mina</t>
  </si>
  <si>
    <t>SSVM NIFFT</t>
  </si>
  <si>
    <t>Guddu</t>
  </si>
  <si>
    <t>Verma</t>
  </si>
  <si>
    <t>Dav</t>
  </si>
  <si>
    <t>pradeep</t>
  </si>
  <si>
    <t>Dav school</t>
  </si>
  <si>
    <t>Manveer</t>
  </si>
  <si>
    <t>Vvm</t>
  </si>
  <si>
    <t>prince</t>
  </si>
  <si>
    <t>rajput</t>
  </si>
  <si>
    <t>st luies</t>
  </si>
  <si>
    <t>Rakesh</t>
  </si>
  <si>
    <t>DAV Dhurwa</t>
  </si>
  <si>
    <t>ikon</t>
  </si>
  <si>
    <t>ST. CHARLES</t>
  </si>
  <si>
    <t>Firoz</t>
  </si>
  <si>
    <t>Hassan</t>
  </si>
  <si>
    <t>Dav dhurwa</t>
  </si>
  <si>
    <t>mohan</t>
  </si>
  <si>
    <t>narendra</t>
  </si>
  <si>
    <t>roy</t>
  </si>
  <si>
    <t>Bablu</t>
  </si>
  <si>
    <t>Nath</t>
  </si>
  <si>
    <t>VVM</t>
  </si>
  <si>
    <t>subhash</t>
  </si>
  <si>
    <t>nayak</t>
  </si>
  <si>
    <t>vvm school</t>
  </si>
  <si>
    <t>Janvi</t>
  </si>
  <si>
    <t>Arora</t>
  </si>
  <si>
    <t>Sachitananad public school</t>
  </si>
  <si>
    <t>sammer</t>
  </si>
  <si>
    <t>DON BOSCO</t>
  </si>
  <si>
    <t>RANCHI</t>
  </si>
  <si>
    <t>josif</t>
  </si>
  <si>
    <t>minz</t>
  </si>
  <si>
    <t>Arya bhat gurukul school</t>
  </si>
  <si>
    <t>R.p</t>
  </si>
  <si>
    <t>seema</t>
  </si>
  <si>
    <t>sacred hearts school</t>
  </si>
  <si>
    <t>Ritesh</t>
  </si>
  <si>
    <t>ramesh</t>
  </si>
  <si>
    <t>Ashish</t>
  </si>
  <si>
    <t>St.francis public school</t>
  </si>
  <si>
    <t>bharat</t>
  </si>
  <si>
    <t>Jatinder</t>
  </si>
  <si>
    <t>rishu</t>
  </si>
  <si>
    <t>gupta</t>
  </si>
  <si>
    <t>kamvali</t>
  </si>
  <si>
    <t>ST. MARY</t>
  </si>
  <si>
    <t>Aman</t>
  </si>
  <si>
    <t>jivan</t>
  </si>
  <si>
    <t>tender heart</t>
  </si>
  <si>
    <t>taman</t>
  </si>
  <si>
    <t>khan</t>
  </si>
  <si>
    <t>St.xavier</t>
  </si>
  <si>
    <t>Kiran</t>
  </si>
  <si>
    <t>Mahi</t>
  </si>
  <si>
    <t>Suthar</t>
  </si>
  <si>
    <t>St.joseph</t>
  </si>
  <si>
    <t>Ahmedabad</t>
  </si>
  <si>
    <t>amar</t>
  </si>
  <si>
    <t>praveen</t>
  </si>
  <si>
    <t>md</t>
  </si>
  <si>
    <t>feroz</t>
  </si>
  <si>
    <t>Khushal</t>
  </si>
  <si>
    <t>Xabi</t>
  </si>
  <si>
    <t>St.charles</t>
  </si>
  <si>
    <t>sonu</t>
  </si>
  <si>
    <t>jaiswal</t>
  </si>
  <si>
    <t>Ukasha</t>
  </si>
  <si>
    <t>Holly infant</t>
  </si>
  <si>
    <t>nandini</t>
  </si>
  <si>
    <t>st. charles</t>
  </si>
  <si>
    <t>Keya</t>
  </si>
  <si>
    <t>Nest public</t>
  </si>
  <si>
    <t>abhishek</t>
  </si>
  <si>
    <t>Keshav</t>
  </si>
  <si>
    <t>DPS school</t>
  </si>
  <si>
    <t>vikas</t>
  </si>
  <si>
    <t>madhuri</t>
  </si>
  <si>
    <t>pandey</t>
  </si>
  <si>
    <t>Kartik</t>
  </si>
  <si>
    <t>Jvm</t>
  </si>
  <si>
    <t>tannu</t>
  </si>
  <si>
    <t>Kalash</t>
  </si>
  <si>
    <t>Roy</t>
  </si>
  <si>
    <t>Guru nanak</t>
  </si>
  <si>
    <t>bfs</t>
  </si>
  <si>
    <t>Ravish</t>
  </si>
  <si>
    <t>Sahu</t>
  </si>
  <si>
    <t>Balgovind school</t>
  </si>
  <si>
    <t>K.N</t>
  </si>
  <si>
    <t>Pal</t>
  </si>
  <si>
    <t>manojit</t>
  </si>
  <si>
    <t>sujeet</t>
  </si>
  <si>
    <t>Jyoti</t>
  </si>
  <si>
    <t>durga</t>
  </si>
  <si>
    <t>gope</t>
  </si>
  <si>
    <t>Irshad</t>
  </si>
  <si>
    <t>Joshika</t>
  </si>
  <si>
    <t>S.A.S</t>
  </si>
  <si>
    <t>dharmesh</t>
  </si>
  <si>
    <t>DAV DHRUVA</t>
  </si>
  <si>
    <t>krishna</t>
  </si>
  <si>
    <t>GANESH</t>
  </si>
  <si>
    <t>mahto</t>
  </si>
  <si>
    <t>Govid</t>
  </si>
  <si>
    <t>Dps</t>
  </si>
  <si>
    <t>sandeep</t>
  </si>
  <si>
    <t>prasad</t>
  </si>
  <si>
    <t>jvm</t>
  </si>
  <si>
    <t>Jonny</t>
  </si>
  <si>
    <t>Guru nanak secondary</t>
  </si>
  <si>
    <t>nikhil</t>
  </si>
  <si>
    <t>Modi</t>
  </si>
  <si>
    <t>govinda</t>
  </si>
  <si>
    <t>Jitendra</t>
  </si>
  <si>
    <t>rajale</t>
  </si>
  <si>
    <t>ST. THOMAS</t>
  </si>
  <si>
    <t>Jitanter</t>
  </si>
  <si>
    <t>Jharkhand public school</t>
  </si>
  <si>
    <t>Rajput</t>
  </si>
  <si>
    <t>ranjit</t>
  </si>
  <si>
    <t>Pragati</t>
  </si>
  <si>
    <t>promod</t>
  </si>
  <si>
    <t>St Francises</t>
  </si>
  <si>
    <t>Omprakesh</t>
  </si>
  <si>
    <t>satish</t>
  </si>
  <si>
    <t>Binod</t>
  </si>
  <si>
    <t>Md.jubair</t>
  </si>
  <si>
    <t>kesav</t>
  </si>
  <si>
    <t>Guru Nanak secondary school</t>
  </si>
  <si>
    <t>jitendar</t>
  </si>
  <si>
    <t>Jitander</t>
  </si>
  <si>
    <t>Jamaal</t>
  </si>
  <si>
    <t>Jisprit</t>
  </si>
  <si>
    <t>Sobha</t>
  </si>
  <si>
    <t>DPS Ranchi</t>
  </si>
  <si>
    <t>JENIL</t>
  </si>
  <si>
    <t>ratani</t>
  </si>
  <si>
    <t>st.kabir</t>
  </si>
  <si>
    <t>Sunny</t>
  </si>
  <si>
    <t>Rupesh</t>
  </si>
  <si>
    <t>Sacred grove</t>
  </si>
  <si>
    <t>Kinjal</t>
  </si>
  <si>
    <t>Parmar</t>
  </si>
  <si>
    <t>Manohar</t>
  </si>
  <si>
    <t>TENDAR HEART</t>
  </si>
  <si>
    <t>JEET</t>
  </si>
  <si>
    <t>TANK</t>
  </si>
  <si>
    <t>ST.PAUL</t>
  </si>
  <si>
    <t>Sejal</t>
  </si>
  <si>
    <t>Bane</t>
  </si>
  <si>
    <t>Chandan</t>
  </si>
  <si>
    <t>Vaishnavi</t>
  </si>
  <si>
    <t>Chavan</t>
  </si>
  <si>
    <t>abhisekh</t>
  </si>
  <si>
    <t>kujur</t>
  </si>
  <si>
    <t>Manoj</t>
  </si>
  <si>
    <t>Jha</t>
  </si>
  <si>
    <t>Sudeep</t>
  </si>
  <si>
    <t>sradhanand balvidya</t>
  </si>
  <si>
    <t>Jai</t>
  </si>
  <si>
    <t>Harshada</t>
  </si>
  <si>
    <t>Jagtap</t>
  </si>
  <si>
    <t>JASH</t>
  </si>
  <si>
    <t>bhatt</t>
  </si>
  <si>
    <t>Rupam</t>
  </si>
  <si>
    <t>Archana</t>
  </si>
  <si>
    <t>Mali</t>
  </si>
  <si>
    <t>Moni</t>
  </si>
  <si>
    <t>sarala birla public school</t>
  </si>
  <si>
    <t>thane</t>
  </si>
  <si>
    <t>Pranav</t>
  </si>
  <si>
    <t>Jahid</t>
  </si>
  <si>
    <t>alam</t>
  </si>
  <si>
    <t>st. francis</t>
  </si>
  <si>
    <t>Ishita</t>
  </si>
  <si>
    <t>toppo</t>
  </si>
  <si>
    <t>AHMEDABAD</t>
  </si>
  <si>
    <t>Riddhi</t>
  </si>
  <si>
    <t>SR.dav pundag</t>
  </si>
  <si>
    <t>Mohan</t>
  </si>
  <si>
    <t>Irfan</t>
  </si>
  <si>
    <t>shaikh</t>
  </si>
  <si>
    <t>ISHITA</t>
  </si>
  <si>
    <t>MEWADA</t>
  </si>
  <si>
    <t>COSMOS</t>
  </si>
  <si>
    <t>Rajnish</t>
  </si>
  <si>
    <t>Delhi public school</t>
  </si>
  <si>
    <t>Piyush</t>
  </si>
  <si>
    <t>Sukla</t>
  </si>
  <si>
    <t>Marry high school</t>
  </si>
  <si>
    <t>Prabhat</t>
  </si>
  <si>
    <t>Sunil</t>
  </si>
  <si>
    <t>Shankar</t>
  </si>
  <si>
    <t>L</t>
  </si>
  <si>
    <t>SIV</t>
  </si>
  <si>
    <t>Coimbatore</t>
  </si>
  <si>
    <t>Niraj</t>
  </si>
  <si>
    <t>Cambrian public school</t>
  </si>
  <si>
    <t>Roch</t>
  </si>
  <si>
    <t>Dias</t>
  </si>
  <si>
    <t>Global international school</t>
  </si>
  <si>
    <t>Hiritik</t>
  </si>
  <si>
    <t>San Francis public school</t>
  </si>
  <si>
    <t>Ikon</t>
  </si>
  <si>
    <t>Prachi</t>
  </si>
  <si>
    <t>Qutbuddin</t>
  </si>
  <si>
    <t>Rajkotwala</t>
  </si>
  <si>
    <t>Saifi high School</t>
  </si>
  <si>
    <t>Mumbai</t>
  </si>
  <si>
    <t>Hemant</t>
  </si>
  <si>
    <t>HIRDHAAN</t>
  </si>
  <si>
    <t>PARIKH</t>
  </si>
  <si>
    <t>PRAKASH</t>
  </si>
  <si>
    <t>Pappy</t>
  </si>
  <si>
    <t>Kr</t>
  </si>
  <si>
    <t>DAV dhurva</t>
  </si>
  <si>
    <t>Anuraag</t>
  </si>
  <si>
    <t>Panchal</t>
  </si>
  <si>
    <t>Tulsi</t>
  </si>
  <si>
    <t>S.S.I.S</t>
  </si>
  <si>
    <t>Karan</t>
  </si>
  <si>
    <t>s.R.Dav public school</t>
  </si>
  <si>
    <t>P.p</t>
  </si>
  <si>
    <t>Dav dhurva</t>
  </si>
  <si>
    <t>Vivek</t>
  </si>
  <si>
    <t>Jitu</t>
  </si>
  <si>
    <t>chouhan</t>
  </si>
  <si>
    <t>Tender heart school</t>
  </si>
  <si>
    <t>Omprakash</t>
  </si>
  <si>
    <t>St.francis</t>
  </si>
  <si>
    <t>Santosh</t>
  </si>
  <si>
    <t>Sunar</t>
  </si>
  <si>
    <t>O.k lal</t>
  </si>
  <si>
    <t>Chaudhary</t>
  </si>
  <si>
    <t>Rajbhar</t>
  </si>
  <si>
    <t>Silky</t>
  </si>
  <si>
    <t>sacred heart</t>
  </si>
  <si>
    <t>Aditi</t>
  </si>
  <si>
    <t>St.anns school</t>
  </si>
  <si>
    <t>Rajahmundry</t>
  </si>
  <si>
    <t>Vaibhav</t>
  </si>
  <si>
    <t>Rajwadia</t>
  </si>
  <si>
    <t>Nitya</t>
  </si>
  <si>
    <t>Nandanvan</t>
  </si>
  <si>
    <t>Animesh</t>
  </si>
  <si>
    <t>choudhary</t>
  </si>
  <si>
    <t>St. Charles school</t>
  </si>
  <si>
    <t>Nitu</t>
  </si>
  <si>
    <t>SBL public school</t>
  </si>
  <si>
    <t>Dhanashree</t>
  </si>
  <si>
    <t>Mayekar</t>
  </si>
  <si>
    <t>Nitish</t>
  </si>
  <si>
    <t>Bride ford school</t>
  </si>
  <si>
    <t>Sanket</t>
  </si>
  <si>
    <t>Sohaib</t>
  </si>
  <si>
    <t>Arya bhat school</t>
  </si>
  <si>
    <t>Ashrai</t>
  </si>
  <si>
    <t>Prajapati</t>
  </si>
  <si>
    <t>Alok</t>
  </si>
  <si>
    <t>nath</t>
  </si>
  <si>
    <t>Anurag</t>
  </si>
  <si>
    <t>bhuniya</t>
  </si>
  <si>
    <t>Naksh</t>
  </si>
  <si>
    <t>St.johns Universal school</t>
  </si>
  <si>
    <t>Malali</t>
  </si>
  <si>
    <t>Shubham</t>
  </si>
  <si>
    <t>joshi</t>
  </si>
  <si>
    <t>Cambridge Foundation School</t>
  </si>
  <si>
    <t>Delhi</t>
  </si>
  <si>
    <t>Sanika</t>
  </si>
  <si>
    <t>Prashant</t>
  </si>
  <si>
    <t>Jigyasha</t>
  </si>
  <si>
    <t>Toffic</t>
  </si>
  <si>
    <t>k</t>
  </si>
  <si>
    <t>Sisu vidhya Mandir</t>
  </si>
  <si>
    <t>ajad</t>
  </si>
  <si>
    <t>Swapnil</t>
  </si>
  <si>
    <t>desai</t>
  </si>
  <si>
    <t>Sacread heart school</t>
  </si>
  <si>
    <t>Gorav</t>
  </si>
  <si>
    <t>Pappu</t>
  </si>
  <si>
    <t>Ram</t>
  </si>
  <si>
    <t>Jaiswal</t>
  </si>
  <si>
    <t>Tasim</t>
  </si>
  <si>
    <t>St.thomas</t>
  </si>
  <si>
    <t>Arnav</t>
  </si>
  <si>
    <t>Rai</t>
  </si>
  <si>
    <t>Naysa</t>
  </si>
  <si>
    <t>Cambridge foundation school</t>
  </si>
  <si>
    <t>Danish</t>
  </si>
  <si>
    <t>Prince</t>
  </si>
  <si>
    <t>Shrivastava</t>
  </si>
  <si>
    <t>Nazir</t>
  </si>
  <si>
    <t>Umar</t>
  </si>
  <si>
    <t>Ali</t>
  </si>
  <si>
    <t>Neelam</t>
  </si>
  <si>
    <t>Alam</t>
  </si>
  <si>
    <t>Rajkumar Bablu</t>
  </si>
  <si>
    <t>Anil</t>
  </si>
  <si>
    <t>Ramesh</t>
  </si>
  <si>
    <t>Sambhav</t>
  </si>
  <si>
    <t>Subhash Nagar</t>
  </si>
  <si>
    <t>Saurabh</t>
  </si>
  <si>
    <t>Shrivastav</t>
  </si>
  <si>
    <t>Poonam</t>
  </si>
  <si>
    <t>Amber</t>
  </si>
  <si>
    <t>Ias</t>
  </si>
  <si>
    <t>Jakir</t>
  </si>
  <si>
    <t>Pramod</t>
  </si>
  <si>
    <t>Vijay</t>
  </si>
  <si>
    <t>St.francies</t>
  </si>
  <si>
    <t>Rizwan</t>
  </si>
  <si>
    <t>Suresh</t>
  </si>
  <si>
    <t>Suffiya</t>
  </si>
  <si>
    <t>Sidhhesh</t>
  </si>
  <si>
    <t>Lad</t>
  </si>
  <si>
    <t>nanandlal</t>
  </si>
  <si>
    <t>dav</t>
  </si>
  <si>
    <t>Ravinder</t>
  </si>
  <si>
    <t>Abhishek</t>
  </si>
  <si>
    <t>Bikram</t>
  </si>
  <si>
    <t>Monika</t>
  </si>
  <si>
    <t>Shaurabh</t>
  </si>
  <si>
    <t>Dewakar</t>
  </si>
  <si>
    <t>bhagat</t>
  </si>
  <si>
    <t>ritik</t>
  </si>
  <si>
    <t>das</t>
  </si>
  <si>
    <t>oxford</t>
  </si>
  <si>
    <t>Sikandar</t>
  </si>
  <si>
    <t>naresh</t>
  </si>
  <si>
    <t>S.T FRANCIS PUBLIC SCHOOL</t>
  </si>
  <si>
    <t>Anmol</t>
  </si>
  <si>
    <t>Badal</t>
  </si>
  <si>
    <t>jha</t>
  </si>
  <si>
    <t>Prakesh high school</t>
  </si>
  <si>
    <t>ratan</t>
  </si>
  <si>
    <t>dhan</t>
  </si>
  <si>
    <t>rao</t>
  </si>
  <si>
    <t>dinesh</t>
  </si>
  <si>
    <t>Rahul</t>
  </si>
  <si>
    <t>tripathi</t>
  </si>
  <si>
    <t>pappu</t>
  </si>
  <si>
    <t>Shyam</t>
  </si>
  <si>
    <t>Anita</t>
  </si>
  <si>
    <t>ashish</t>
  </si>
  <si>
    <t>Satyam</t>
  </si>
  <si>
    <t>Akhil</t>
  </si>
  <si>
    <t>tohid</t>
  </si>
  <si>
    <t>ishan</t>
  </si>
  <si>
    <t>kailash</t>
  </si>
  <si>
    <t>DPS</t>
  </si>
  <si>
    <t>Kaif</t>
  </si>
  <si>
    <t>Ankita</t>
  </si>
  <si>
    <t>Deepak</t>
  </si>
  <si>
    <t>Doranda college</t>
  </si>
  <si>
    <t>Kannu</t>
  </si>
  <si>
    <t>Gope</t>
  </si>
  <si>
    <t>S.r.dav pundah</t>
  </si>
  <si>
    <t>Divyank</t>
  </si>
  <si>
    <t>Bridgford</t>
  </si>
  <si>
    <t>jairam</t>
  </si>
  <si>
    <t>Ravi Kumar</t>
  </si>
  <si>
    <t>Rajkiya Pratibha Vikas Vidyalaya ATL</t>
  </si>
  <si>
    <t>DELHI , North-West</t>
  </si>
  <si>
    <t>riya</t>
  </si>
  <si>
    <t>Mimansha</t>
  </si>
  <si>
    <t>OXFORD</t>
  </si>
  <si>
    <t>parmesh</t>
  </si>
  <si>
    <t>yadav</t>
  </si>
  <si>
    <t>CAMBRIAN</t>
  </si>
  <si>
    <t>jah</t>
  </si>
  <si>
    <t>Namita</t>
  </si>
  <si>
    <t>naveen</t>
  </si>
  <si>
    <t>st. louis</t>
  </si>
  <si>
    <t>Nishar</t>
  </si>
  <si>
    <t>Rehan</t>
  </si>
  <si>
    <t>Vivan</t>
  </si>
  <si>
    <t>Saha</t>
  </si>
  <si>
    <t>Greenland public school</t>
  </si>
  <si>
    <t>Mannu</t>
  </si>
  <si>
    <t>Prasad</t>
  </si>
  <si>
    <t>St. Michael</t>
  </si>
  <si>
    <t>arohi</t>
  </si>
  <si>
    <t>nishik</t>
  </si>
  <si>
    <t>punchal</t>
  </si>
  <si>
    <t>delhi public school</t>
  </si>
  <si>
    <t>abhishekh</t>
  </si>
  <si>
    <t>nisha</t>
  </si>
  <si>
    <t>kri</t>
  </si>
  <si>
    <t>brideford school</t>
  </si>
  <si>
    <t>Dav alok</t>
  </si>
  <si>
    <t>suraj</t>
  </si>
  <si>
    <t>varma</t>
  </si>
  <si>
    <t>vandana</t>
  </si>
  <si>
    <t>nisarg</t>
  </si>
  <si>
    <t>shah</t>
  </si>
  <si>
    <t>s.s</t>
  </si>
  <si>
    <t>badri</t>
  </si>
  <si>
    <t>divyank</t>
  </si>
  <si>
    <t>Fazaul</t>
  </si>
  <si>
    <t>Haq</t>
  </si>
  <si>
    <t>Green land public school</t>
  </si>
  <si>
    <t>Salman</t>
  </si>
  <si>
    <t>Fashal</t>
  </si>
  <si>
    <t>abjeet</t>
  </si>
  <si>
    <t>monika</t>
  </si>
  <si>
    <t>jharkhand public school</t>
  </si>
  <si>
    <t>Tanweer</t>
  </si>
  <si>
    <t>Vidyapati memorial school</t>
  </si>
  <si>
    <t>sanchita</t>
  </si>
  <si>
    <t>Roshan</t>
  </si>
  <si>
    <t>nirmila</t>
  </si>
  <si>
    <t>san francis public school</t>
  </si>
  <si>
    <t>Farulehal</t>
  </si>
  <si>
    <t>San Francis public shool</t>
  </si>
  <si>
    <t>nidhi</t>
  </si>
  <si>
    <t>mohit</t>
  </si>
  <si>
    <t>Harman</t>
  </si>
  <si>
    <t>Baweja</t>
  </si>
  <si>
    <t>fariha</t>
  </si>
  <si>
    <t>tasnim</t>
  </si>
  <si>
    <t>niraj</t>
  </si>
  <si>
    <t>dps school</t>
  </si>
  <si>
    <t>Faisu</t>
  </si>
  <si>
    <t>Jharkhand Public school</t>
  </si>
  <si>
    <t>raju</t>
  </si>
  <si>
    <t>Chetan</t>
  </si>
  <si>
    <t>Dr.b</t>
  </si>
  <si>
    <t>Thakur</t>
  </si>
  <si>
    <t>Dps school</t>
  </si>
  <si>
    <t>Emilsh</t>
  </si>
  <si>
    <t>Navin</t>
  </si>
  <si>
    <t>nilesh</t>
  </si>
  <si>
    <t>ghose</t>
  </si>
  <si>
    <t>oxford school</t>
  </si>
  <si>
    <t>Dr anand</t>
  </si>
  <si>
    <t>DAV DHURWA</t>
  </si>
  <si>
    <t>Martin</t>
  </si>
  <si>
    <t>ekka</t>
  </si>
  <si>
    <t>Sam</t>
  </si>
  <si>
    <t>nikita</t>
  </si>
  <si>
    <t>guru nanak secondary school</t>
  </si>
  <si>
    <t>Riyan</t>
  </si>
  <si>
    <t>APOLO INT.</t>
  </si>
  <si>
    <t>Sushant</t>
  </si>
  <si>
    <t>Ssvm,dhurwa</t>
  </si>
  <si>
    <t>mintu</t>
  </si>
  <si>
    <t>raj convent school</t>
  </si>
  <si>
    <t>shrey</t>
  </si>
  <si>
    <t>Shah</t>
  </si>
  <si>
    <t>St.xaviers</t>
  </si>
  <si>
    <t>Jispi</t>
  </si>
  <si>
    <t>jojo</t>
  </si>
  <si>
    <t>Shanti asiatic</t>
  </si>
  <si>
    <t>Ronak</t>
  </si>
  <si>
    <t>m</t>
  </si>
  <si>
    <t>Monu</t>
  </si>
  <si>
    <t>Anant</t>
  </si>
  <si>
    <t>tushar</t>
  </si>
  <si>
    <t>Matma gandhi</t>
  </si>
  <si>
    <t>st.thomas</t>
  </si>
  <si>
    <t>Siddhi</t>
  </si>
  <si>
    <t>Jitender</t>
  </si>
  <si>
    <t>Jvm shyamali</t>
  </si>
  <si>
    <t>Bridge ford</t>
  </si>
  <si>
    <t>Shivu</t>
  </si>
  <si>
    <t>milind</t>
  </si>
  <si>
    <t>patel</t>
  </si>
  <si>
    <t>somlalit school</t>
  </si>
  <si>
    <t>Indir</t>
  </si>
  <si>
    <t>jeet</t>
  </si>
  <si>
    <t>Swami pranabananda Vidyapith</t>
  </si>
  <si>
    <t>Roushan</t>
  </si>
  <si>
    <t>Harrish</t>
  </si>
  <si>
    <t>anwar</t>
  </si>
  <si>
    <t>Rahaan</t>
  </si>
  <si>
    <t>Indrani</t>
  </si>
  <si>
    <t>mondal</t>
  </si>
  <si>
    <t>Gangapuri siksha sadan high school</t>
  </si>
  <si>
    <t>mihir</t>
  </si>
  <si>
    <t>DAV school</t>
  </si>
  <si>
    <t>Suraj</t>
  </si>
  <si>
    <t>Bishop school</t>
  </si>
  <si>
    <t>Gangapuri siksha Sadan High school</t>
  </si>
  <si>
    <t>July</t>
  </si>
  <si>
    <t>nikhat</t>
  </si>
  <si>
    <t>gulab</t>
  </si>
  <si>
    <t>kairali school</t>
  </si>
  <si>
    <t>Sanjit</t>
  </si>
  <si>
    <t>Mondal</t>
  </si>
  <si>
    <t>Kalighat school</t>
  </si>
  <si>
    <t>Imran</t>
  </si>
  <si>
    <t>md.asif</t>
  </si>
  <si>
    <t>raza</t>
  </si>
  <si>
    <t>Himant</t>
  </si>
  <si>
    <t>Sourav</t>
  </si>
  <si>
    <t>Sah</t>
  </si>
  <si>
    <t>Bikash bharti high school</t>
  </si>
  <si>
    <t>neha</t>
  </si>
  <si>
    <t>Raman</t>
  </si>
  <si>
    <t>abdul</t>
  </si>
  <si>
    <t>Neel</t>
  </si>
  <si>
    <t>kamal</t>
  </si>
  <si>
    <t>St Thomas</t>
  </si>
  <si>
    <t>Abdul</t>
  </si>
  <si>
    <t>mayank</t>
  </si>
  <si>
    <t>Farheen</t>
  </si>
  <si>
    <t>Bal govind</t>
  </si>
  <si>
    <t>agar</t>
  </si>
  <si>
    <t>Diya</t>
  </si>
  <si>
    <t>Kadir</t>
  </si>
  <si>
    <t>Omaira</t>
  </si>
  <si>
    <t>khaiyyam</t>
  </si>
  <si>
    <t>Sree jain swetember terepanthi vidyalaya</t>
  </si>
  <si>
    <t>dav dhurwa</t>
  </si>
  <si>
    <t>Donbosco</t>
  </si>
  <si>
    <t>Naushaba</t>
  </si>
  <si>
    <t>Parveen</t>
  </si>
  <si>
    <t>Yashwant</t>
  </si>
  <si>
    <t>Gaytri</t>
  </si>
  <si>
    <t>thakur</t>
  </si>
  <si>
    <t>nalia</t>
  </si>
  <si>
    <t>Praveen</t>
  </si>
  <si>
    <t>Shree Jain swetember terepanthi vidyalaya</t>
  </si>
  <si>
    <t>Rajib</t>
  </si>
  <si>
    <t>navin</t>
  </si>
  <si>
    <t>bride ford school</t>
  </si>
  <si>
    <t>Ursuline girls school</t>
  </si>
  <si>
    <t>maseera</t>
  </si>
  <si>
    <t>siddiqui</t>
  </si>
  <si>
    <t>millat school</t>
  </si>
  <si>
    <t>Sahina</t>
  </si>
  <si>
    <t>khatoon</t>
  </si>
  <si>
    <t>Sree jain swetember</t>
  </si>
  <si>
    <t>Rishab</t>
  </si>
  <si>
    <t>St.paul</t>
  </si>
  <si>
    <t>Manish</t>
  </si>
  <si>
    <t>Kairali school</t>
  </si>
  <si>
    <t>Rohan</t>
  </si>
  <si>
    <t>Paul</t>
  </si>
  <si>
    <t>Sarojini</t>
  </si>
  <si>
    <t>st.charlie school</t>
  </si>
  <si>
    <t>eshika</t>
  </si>
  <si>
    <t>manvi</t>
  </si>
  <si>
    <t>devi</t>
  </si>
  <si>
    <t>Ganguly</t>
  </si>
  <si>
    <t>Vinay</t>
  </si>
  <si>
    <t>nancy</t>
  </si>
  <si>
    <t>Vikram</t>
  </si>
  <si>
    <t>manoj</t>
  </si>
  <si>
    <t>ram</t>
  </si>
  <si>
    <t>Kundan</t>
  </si>
  <si>
    <t>Laxman</t>
  </si>
  <si>
    <t>sanga</t>
  </si>
  <si>
    <t>rana</t>
  </si>
  <si>
    <t>nakul</t>
  </si>
  <si>
    <t>Aftab</t>
  </si>
  <si>
    <t>tinkle</t>
  </si>
  <si>
    <t>aryan</t>
  </si>
  <si>
    <t>Radhika</t>
  </si>
  <si>
    <t>A</t>
  </si>
  <si>
    <t>manju</t>
  </si>
  <si>
    <t>Jackson</t>
  </si>
  <si>
    <t>jack</t>
  </si>
  <si>
    <t>Wakar</t>
  </si>
  <si>
    <t>musrool</t>
  </si>
  <si>
    <t>st.francis public school</t>
  </si>
  <si>
    <t>Hulhundu public school</t>
  </si>
  <si>
    <t>yugesh</t>
  </si>
  <si>
    <t>Pratik</t>
  </si>
  <si>
    <t>manjeet</t>
  </si>
  <si>
    <t>lakra</t>
  </si>
  <si>
    <t>balgovind school</t>
  </si>
  <si>
    <t>Vishnu</t>
  </si>
  <si>
    <t>Anand</t>
  </si>
  <si>
    <t>kacchap</t>
  </si>
  <si>
    <t>Pravin</t>
  </si>
  <si>
    <t>yaswini</t>
  </si>
  <si>
    <t>st. anthony</t>
  </si>
  <si>
    <t>manisha</t>
  </si>
  <si>
    <t>st.francices</t>
  </si>
  <si>
    <t>jaye</t>
  </si>
  <si>
    <t>amrash</t>
  </si>
  <si>
    <t>st. xaviers</t>
  </si>
  <si>
    <t>Rjneet</t>
  </si>
  <si>
    <t>Kour</t>
  </si>
  <si>
    <t>sarala birla school</t>
  </si>
  <si>
    <t>Juhi</t>
  </si>
  <si>
    <t>fawad</t>
  </si>
  <si>
    <t>ahmad</t>
  </si>
  <si>
    <t>DEEPAK</t>
  </si>
  <si>
    <t>Ths</t>
  </si>
  <si>
    <t>jeevan</t>
  </si>
  <si>
    <t>ths</t>
  </si>
  <si>
    <t>chaurasia</t>
  </si>
  <si>
    <t>BRIDEFORD SCHOOL</t>
  </si>
  <si>
    <t>Baovir</t>
  </si>
  <si>
    <t>PRAGATI</t>
  </si>
  <si>
    <t>GARG</t>
  </si>
  <si>
    <t>OM PARKASH BANSAL MODERN SCHOOL</t>
  </si>
  <si>
    <t>/MANDI GOBINDGARH/FATEHGARH SAHIB</t>
  </si>
  <si>
    <t>ravi</t>
  </si>
  <si>
    <t>Cambrian Public School</t>
  </si>
  <si>
    <t>akash</t>
  </si>
  <si>
    <t>dhanjani</t>
  </si>
  <si>
    <t>RAJU</t>
  </si>
  <si>
    <t>KUMAR</t>
  </si>
  <si>
    <t>Kuldeep</t>
  </si>
  <si>
    <t>sunil</t>
  </si>
  <si>
    <t>shalini</t>
  </si>
  <si>
    <t>sacred hearts</t>
  </si>
  <si>
    <t>Bahahur</t>
  </si>
  <si>
    <t>bumhi</t>
  </si>
  <si>
    <t>sachitanand public school</t>
  </si>
  <si>
    <t>pihu</t>
  </si>
  <si>
    <t>bhagirath</t>
  </si>
  <si>
    <t>paswan</t>
  </si>
  <si>
    <t>sanjay</t>
  </si>
  <si>
    <t>dps</t>
  </si>
  <si>
    <t>manpreet</t>
  </si>
  <si>
    <t>sandhu</t>
  </si>
  <si>
    <t>manvir</t>
  </si>
  <si>
    <t>aalam</t>
  </si>
  <si>
    <t>Usiff</t>
  </si>
  <si>
    <t>Hussen</t>
  </si>
  <si>
    <t>sulekha</t>
  </si>
  <si>
    <t>Golu</t>
  </si>
  <si>
    <t>sumit</t>
  </si>
  <si>
    <t>poll</t>
  </si>
  <si>
    <t>anukriti</t>
  </si>
  <si>
    <t>Riya</t>
  </si>
  <si>
    <t>Vishu</t>
  </si>
  <si>
    <t>Ankul</t>
  </si>
  <si>
    <t>Chettary</t>
  </si>
  <si>
    <t>St. Charles</t>
  </si>
  <si>
    <t>surendr</t>
  </si>
  <si>
    <t>mishra</t>
  </si>
  <si>
    <t>ST. PAUL</t>
  </si>
  <si>
    <t>pratik</t>
  </si>
  <si>
    <t>Nonik</t>
  </si>
  <si>
    <t>kamlesh</t>
  </si>
  <si>
    <t>DPS SCHOOL</t>
  </si>
  <si>
    <t>nitin</t>
  </si>
  <si>
    <t>ahmed</t>
  </si>
  <si>
    <t>Khalkho</t>
  </si>
  <si>
    <t>Aarav</t>
  </si>
  <si>
    <t>bablu</t>
  </si>
  <si>
    <t>ranjan</t>
  </si>
  <si>
    <t>Mukeah</t>
  </si>
  <si>
    <t>St. Anthony</t>
  </si>
  <si>
    <t>sradhanand balviya mandir</t>
  </si>
  <si>
    <t>Rina</t>
  </si>
  <si>
    <t>Ratan</t>
  </si>
  <si>
    <t>Munda</t>
  </si>
  <si>
    <t>manu</t>
  </si>
  <si>
    <t>Kriti</t>
  </si>
  <si>
    <t>Sinha</t>
  </si>
  <si>
    <t>St michaels</t>
  </si>
  <si>
    <t>Anuradha</t>
  </si>
  <si>
    <t>bkumati</t>
  </si>
  <si>
    <t>sudheer</t>
  </si>
  <si>
    <t>Lakchmi</t>
  </si>
  <si>
    <t>rimpi</t>
  </si>
  <si>
    <t>sundar</t>
  </si>
  <si>
    <t>komal</t>
  </si>
  <si>
    <t>St. Joseph school</t>
  </si>
  <si>
    <t>yash</t>
  </si>
  <si>
    <t>ronak</t>
  </si>
  <si>
    <t>mehra</t>
  </si>
  <si>
    <t>Ronit</t>
  </si>
  <si>
    <t>rekha</t>
  </si>
  <si>
    <t>sisu mandir</t>
  </si>
  <si>
    <t>muna</t>
  </si>
  <si>
    <t>Chowdhury</t>
  </si>
  <si>
    <t>manila</t>
  </si>
  <si>
    <t>murmu</t>
  </si>
  <si>
    <t>Chohan</t>
  </si>
  <si>
    <t>rahul</t>
  </si>
  <si>
    <t>sagar</t>
  </si>
  <si>
    <t>Don bosco</t>
  </si>
  <si>
    <t>rakesh</t>
  </si>
  <si>
    <t>Mikanshi</t>
  </si>
  <si>
    <t>tanwir</t>
  </si>
  <si>
    <t>ansari</t>
  </si>
  <si>
    <t>st louis</t>
  </si>
  <si>
    <t>raajiv</t>
  </si>
  <si>
    <t>raai</t>
  </si>
  <si>
    <t>bikki</t>
  </si>
  <si>
    <t>DAV ALOK</t>
  </si>
  <si>
    <t>Sameer</t>
  </si>
  <si>
    <t>S. R. Dav pundag school</t>
  </si>
  <si>
    <t>Alisha</t>
  </si>
  <si>
    <t>Scared heart</t>
  </si>
  <si>
    <t>Hm public school</t>
  </si>
  <si>
    <t>Aashish</t>
  </si>
  <si>
    <t>Arya bhaat school</t>
  </si>
  <si>
    <t>Mahto</t>
  </si>
  <si>
    <t>Mehul</t>
  </si>
  <si>
    <t>Jindal</t>
  </si>
  <si>
    <t>Om Parkash Bansal Modern School</t>
  </si>
  <si>
    <t>Mandi Gobindgarh</t>
  </si>
  <si>
    <t>mukesh</t>
  </si>
  <si>
    <t>rnti</t>
  </si>
  <si>
    <t>Sharad</t>
  </si>
  <si>
    <t>Arya</t>
  </si>
  <si>
    <t>ANAND niketan</t>
  </si>
  <si>
    <t>salmnakum7654433@gmail.com</t>
  </si>
  <si>
    <t>greenland</t>
  </si>
  <si>
    <t>biru</t>
  </si>
  <si>
    <t>St. Charlie's school</t>
  </si>
  <si>
    <t>rakhi</t>
  </si>
  <si>
    <t>St. Joseph</t>
  </si>
  <si>
    <t>apaksha</t>
  </si>
  <si>
    <t>cambrian public school</t>
  </si>
  <si>
    <t>Divya</t>
  </si>
  <si>
    <t>Brideford public school</t>
  </si>
  <si>
    <t>bunty</t>
  </si>
  <si>
    <t>ramjeet</t>
  </si>
  <si>
    <t>Anupam</t>
  </si>
  <si>
    <t>nishant</t>
  </si>
  <si>
    <t>kehkasha</t>
  </si>
  <si>
    <t>mariyam public school</t>
  </si>
  <si>
    <t>darakshan</t>
  </si>
  <si>
    <t>MADNI HIGH SCHOOL</t>
  </si>
  <si>
    <t>ashutosh</t>
  </si>
  <si>
    <t>shreya</t>
  </si>
  <si>
    <t>gohel</t>
  </si>
  <si>
    <t>CALROX</t>
  </si>
  <si>
    <t>Nikki</t>
  </si>
  <si>
    <t>rohit singh</t>
  </si>
  <si>
    <t>rathode</t>
  </si>
  <si>
    <t>St paul school</t>
  </si>
  <si>
    <t>mann</t>
  </si>
  <si>
    <t>GLOBAL</t>
  </si>
  <si>
    <t>Kr.</t>
  </si>
  <si>
    <t>Simran</t>
  </si>
  <si>
    <t>khujur</t>
  </si>
  <si>
    <t>St. Paul</t>
  </si>
  <si>
    <t>jainam</t>
  </si>
  <si>
    <t>barot</t>
  </si>
  <si>
    <t>NALANDA</t>
  </si>
  <si>
    <t>piku</t>
  </si>
  <si>
    <t>APOLO</t>
  </si>
  <si>
    <t>sara</t>
  </si>
  <si>
    <t>St Francis</t>
  </si>
  <si>
    <t>Dipika</t>
  </si>
  <si>
    <t>tayba</t>
  </si>
  <si>
    <t>sadaf</t>
  </si>
  <si>
    <t>VIDYA NIKETAN</t>
  </si>
  <si>
    <t>Lakhmi</t>
  </si>
  <si>
    <t>sajanpreet</t>
  </si>
  <si>
    <t>OPBMS</t>
  </si>
  <si>
    <t>suri</t>
  </si>
  <si>
    <t>Dimple</t>
  </si>
  <si>
    <t>saumya</t>
  </si>
  <si>
    <t>Chintu</t>
  </si>
  <si>
    <t>sinha</t>
  </si>
  <si>
    <t>koirala</t>
  </si>
  <si>
    <t>Cambrian school</t>
  </si>
  <si>
    <t>shahdeo</t>
  </si>
  <si>
    <t>DORANDA COLLEGE</t>
  </si>
  <si>
    <t>Dhyey</t>
  </si>
  <si>
    <t>Hadvani</t>
  </si>
  <si>
    <t>ayush</t>
  </si>
  <si>
    <t>DORANDA</t>
  </si>
  <si>
    <t>Manisha</t>
  </si>
  <si>
    <t>Devi</t>
  </si>
  <si>
    <t>pramond</t>
  </si>
  <si>
    <t>ankita</t>
  </si>
  <si>
    <t>Maharaja Agarsain Public School</t>
  </si>
  <si>
    <t>Dhruv</t>
  </si>
  <si>
    <t>Solanki</t>
  </si>
  <si>
    <t>PUNA</t>
  </si>
  <si>
    <t>survi</t>
  </si>
  <si>
    <t>ananya</t>
  </si>
  <si>
    <t>st thomas</t>
  </si>
  <si>
    <t>arif</t>
  </si>
  <si>
    <t>VIVEKANANDA VIDYA MANDIR</t>
  </si>
  <si>
    <t>vvm</t>
  </si>
  <si>
    <t>anushka</t>
  </si>
  <si>
    <t>Dhriti</t>
  </si>
  <si>
    <t>Chaniya</t>
  </si>
  <si>
    <t>Ahemdabad</t>
  </si>
  <si>
    <t>azad</t>
  </si>
  <si>
    <t>Bishop West Cott namkum</t>
  </si>
  <si>
    <t>vivek</t>
  </si>
  <si>
    <t>Saraswati Sishu Vidya Mandir</t>
  </si>
  <si>
    <t>Lovely</t>
  </si>
  <si>
    <t>leyangi</t>
  </si>
  <si>
    <t>Mahesh</t>
  </si>
  <si>
    <t>Guru nanak secondary school</t>
  </si>
  <si>
    <t>Dheraj kr.</t>
  </si>
  <si>
    <t>anupama</t>
  </si>
  <si>
    <t>Saahu</t>
  </si>
  <si>
    <t>radha</t>
  </si>
  <si>
    <t>sujit</t>
  </si>
  <si>
    <t>Maanvi</t>
  </si>
  <si>
    <t>Tender Heart School</t>
  </si>
  <si>
    <t>Tendar heart</t>
  </si>
  <si>
    <t>noddy</t>
  </si>
  <si>
    <t>vishvakarma</t>
  </si>
  <si>
    <t>susma</t>
  </si>
  <si>
    <t>Dhanvi</t>
  </si>
  <si>
    <t>Ravak</t>
  </si>
  <si>
    <t>aman</t>
  </si>
  <si>
    <t>Pankaj</t>
  </si>
  <si>
    <t>harsh</t>
  </si>
  <si>
    <t>shrivastava</t>
  </si>
  <si>
    <t>brideford</t>
  </si>
  <si>
    <t>Madhav</t>
  </si>
  <si>
    <t>Vvm school</t>
  </si>
  <si>
    <t>Dhanan jay</t>
  </si>
  <si>
    <t>jaswal</t>
  </si>
  <si>
    <t>Vivekananda Vidya Mandir</t>
  </si>
  <si>
    <t>gokul</t>
  </si>
  <si>
    <t>Dham</t>
  </si>
  <si>
    <t>Sradhanand balvidya mandir</t>
  </si>
  <si>
    <t>rajesh</t>
  </si>
  <si>
    <t>Yash</t>
  </si>
  <si>
    <t>Kohli</t>
  </si>
  <si>
    <t>Ruchi</t>
  </si>
  <si>
    <t>shyam</t>
  </si>
  <si>
    <t>Rinky</t>
  </si>
  <si>
    <t>khakha</t>
  </si>
  <si>
    <t>St Anthony</t>
  </si>
  <si>
    <t>ritu</t>
  </si>
  <si>
    <t>Subham</t>
  </si>
  <si>
    <t>Sing</t>
  </si>
  <si>
    <t>aadil</t>
  </si>
  <si>
    <t>Ronika</t>
  </si>
  <si>
    <t>Minjh</t>
  </si>
  <si>
    <t>Suraj public school</t>
  </si>
  <si>
    <t>Mehra</t>
  </si>
  <si>
    <t>St Joseph's</t>
  </si>
  <si>
    <t>shristi</t>
  </si>
  <si>
    <t>Minz</t>
  </si>
  <si>
    <t>Tender heart senior secondary school</t>
  </si>
  <si>
    <t>Samina</t>
  </si>
  <si>
    <t>priyanka</t>
  </si>
  <si>
    <t>Prakriti</t>
  </si>
  <si>
    <t>Dav hehal</t>
  </si>
  <si>
    <t>akansha</t>
  </si>
  <si>
    <t>choubey</t>
  </si>
  <si>
    <t>vision ford public school</t>
  </si>
  <si>
    <t>kanak</t>
  </si>
  <si>
    <t>Devyani</t>
  </si>
  <si>
    <t>Visionford public school</t>
  </si>
  <si>
    <t>tabish</t>
  </si>
  <si>
    <t>Sandra</t>
  </si>
  <si>
    <t>Sathia</t>
  </si>
  <si>
    <t>akhil</t>
  </si>
  <si>
    <t>saha</t>
  </si>
  <si>
    <t>shuruti</t>
  </si>
  <si>
    <t>Dev</t>
  </si>
  <si>
    <t>Amrita</t>
  </si>
  <si>
    <t>JVM</t>
  </si>
  <si>
    <t>Sujal</t>
  </si>
  <si>
    <t>Dav alok public school</t>
  </si>
  <si>
    <t>Chandra</t>
  </si>
  <si>
    <t>Kishore</t>
  </si>
  <si>
    <t>arshad</t>
  </si>
  <si>
    <t>Rumaa</t>
  </si>
  <si>
    <t>Shubhangi</t>
  </si>
  <si>
    <t>rupesh</t>
  </si>
  <si>
    <t>Agarwal</t>
  </si>
  <si>
    <t>Ranjee</t>
  </si>
  <si>
    <t>Harsh</t>
  </si>
  <si>
    <t>Talwar</t>
  </si>
  <si>
    <t>Lancers Convent</t>
  </si>
  <si>
    <t>New delhi</t>
  </si>
  <si>
    <t>Chavi</t>
  </si>
  <si>
    <t>muskan</t>
  </si>
  <si>
    <t>Sarala birla public school</t>
  </si>
  <si>
    <t>Sanskar</t>
  </si>
  <si>
    <t>Prabhakar</t>
  </si>
  <si>
    <t>Mount Carmel school , dwarka</t>
  </si>
  <si>
    <t>New Delhi</t>
  </si>
  <si>
    <t>Tinku</t>
  </si>
  <si>
    <t>Kasti</t>
  </si>
  <si>
    <t>ENIYA</t>
  </si>
  <si>
    <t>Eniya</t>
  </si>
  <si>
    <t>Gandhiji High school</t>
  </si>
  <si>
    <t>6thgrade</t>
  </si>
  <si>
    <t>Pondicherry</t>
  </si>
  <si>
    <t>sisu vidya mandir</t>
  </si>
  <si>
    <t>alok</t>
  </si>
  <si>
    <t>Maddy</t>
  </si>
  <si>
    <t>San francis public school</t>
  </si>
  <si>
    <t>sushant</t>
  </si>
  <si>
    <t>st louis school</t>
  </si>
  <si>
    <t>manish</t>
  </si>
  <si>
    <t>ray</t>
  </si>
  <si>
    <t>jyoti</t>
  </si>
  <si>
    <t>ursuline</t>
  </si>
  <si>
    <t>sarika</t>
  </si>
  <si>
    <t>dasi</t>
  </si>
  <si>
    <t>roshan</t>
  </si>
  <si>
    <t>Lukey</t>
  </si>
  <si>
    <t>siwaji</t>
  </si>
  <si>
    <t>haider</t>
  </si>
  <si>
    <t>shipra</t>
  </si>
  <si>
    <t>razi</t>
  </si>
  <si>
    <t>st francis school</t>
  </si>
  <si>
    <t>tashu</t>
  </si>
  <si>
    <t>Lov</t>
  </si>
  <si>
    <t>REENA</t>
  </si>
  <si>
    <t>SAW</t>
  </si>
  <si>
    <t>AMIT</t>
  </si>
  <si>
    <t>SINGH</t>
  </si>
  <si>
    <t>TENDER HEART SCHOOL</t>
  </si>
  <si>
    <t>arbaz</t>
  </si>
  <si>
    <t>sejal</t>
  </si>
  <si>
    <t>Laxmi</t>
  </si>
  <si>
    <t>GURU NANAK SECONDARY PUBLIC SCHOOL</t>
  </si>
  <si>
    <t>keshari</t>
  </si>
  <si>
    <t>st.xaviers</t>
  </si>
  <si>
    <t>SISUVIDYA MANDIR</t>
  </si>
  <si>
    <t>prakashit</t>
  </si>
  <si>
    <t>ARJUN</t>
  </si>
  <si>
    <t>SARLA BIRLA SCHOOL</t>
  </si>
  <si>
    <t>aamir</t>
  </si>
  <si>
    <t>Keseri</t>
  </si>
  <si>
    <t>NELSON</t>
  </si>
  <si>
    <t>kishor</t>
  </si>
  <si>
    <t>PRAKASH SCHOOL</t>
  </si>
  <si>
    <t>ARUN</t>
  </si>
  <si>
    <t>ST FRANCICES</t>
  </si>
  <si>
    <t>vishal</t>
  </si>
  <si>
    <t>manhar</t>
  </si>
  <si>
    <t>ROBIN</t>
  </si>
  <si>
    <t>APURV</t>
  </si>
  <si>
    <t>prakesh high school</t>
  </si>
  <si>
    <t>AKLEAH</t>
  </si>
  <si>
    <t>Lavish</t>
  </si>
  <si>
    <t>Ser</t>
  </si>
  <si>
    <t>Drona public</t>
  </si>
  <si>
    <t>ajay</t>
  </si>
  <si>
    <t>md.</t>
  </si>
  <si>
    <t>raja</t>
  </si>
  <si>
    <t>Ssvm school</t>
  </si>
  <si>
    <t>SHIVAM</t>
  </si>
  <si>
    <t>Vashu</t>
  </si>
  <si>
    <t>shivnath</t>
  </si>
  <si>
    <t>sonali</t>
  </si>
  <si>
    <t>Lalita</t>
  </si>
  <si>
    <t>Pandy</t>
  </si>
  <si>
    <t>Mahato</t>
  </si>
  <si>
    <t>saw</t>
  </si>
  <si>
    <t>Prasenjit</t>
  </si>
  <si>
    <t>Thathagat</t>
  </si>
  <si>
    <t>shakti</t>
  </si>
  <si>
    <t>gop</t>
  </si>
  <si>
    <t>Lakshita</t>
  </si>
  <si>
    <t>Jelisingh</t>
  </si>
  <si>
    <t>santosh</t>
  </si>
  <si>
    <t>Abishek</t>
  </si>
  <si>
    <t>Punit</t>
  </si>
  <si>
    <t>om prakash</t>
  </si>
  <si>
    <t>mukherjee</t>
  </si>
  <si>
    <t>guru nanak</t>
  </si>
  <si>
    <t>st charles</t>
  </si>
  <si>
    <t>subham</t>
  </si>
  <si>
    <t>Rupali</t>
  </si>
  <si>
    <t>Kushi</t>
  </si>
  <si>
    <t>Shing</t>
  </si>
  <si>
    <t>sajjad</t>
  </si>
  <si>
    <t>qureshi</t>
  </si>
  <si>
    <t>Shweta</t>
  </si>
  <si>
    <t>Sunita</t>
  </si>
  <si>
    <t>nilu</t>
  </si>
  <si>
    <t>Bharti</t>
  </si>
  <si>
    <t>amit</t>
  </si>
  <si>
    <t>hunny</t>
  </si>
  <si>
    <t>chabbar</t>
  </si>
  <si>
    <t>Mumar</t>
  </si>
  <si>
    <t>vikash</t>
  </si>
  <si>
    <t>parmani</t>
  </si>
  <si>
    <t>Khushboo</t>
  </si>
  <si>
    <t>Savm school</t>
  </si>
  <si>
    <t>Yogesh</t>
  </si>
  <si>
    <t>chourasia</t>
  </si>
  <si>
    <t>soniya</t>
  </si>
  <si>
    <t>Vilesh</t>
  </si>
  <si>
    <t>rohan</t>
  </si>
  <si>
    <t>Animeah</t>
  </si>
  <si>
    <t>M.d</t>
  </si>
  <si>
    <t>Washi</t>
  </si>
  <si>
    <t>Varun</t>
  </si>
  <si>
    <t>Shazi</t>
  </si>
  <si>
    <t>Huda</t>
  </si>
  <si>
    <t>Takif</t>
  </si>
  <si>
    <t>Ssv school</t>
  </si>
  <si>
    <t>Kunal</t>
  </si>
  <si>
    <t>amaan</t>
  </si>
  <si>
    <t>ayushi</t>
  </si>
  <si>
    <t>Surbhi</t>
  </si>
  <si>
    <t>divya</t>
  </si>
  <si>
    <t>Nargish</t>
  </si>
  <si>
    <t>Mallick</t>
  </si>
  <si>
    <t>bittu</t>
  </si>
  <si>
    <t>cambrian</t>
  </si>
  <si>
    <t>Shahid</t>
  </si>
  <si>
    <t>Ghazi</t>
  </si>
  <si>
    <t>hassan</t>
  </si>
  <si>
    <t>Sakshi</t>
  </si>
  <si>
    <t>Sidhart</t>
  </si>
  <si>
    <t>badal</t>
  </si>
  <si>
    <t>pandy</t>
  </si>
  <si>
    <t>Harish</t>
  </si>
  <si>
    <t>Kapoor</t>
  </si>
  <si>
    <t>Nimisha</t>
  </si>
  <si>
    <t>Bridgeford public school</t>
  </si>
  <si>
    <t>vishnu</t>
  </si>
  <si>
    <t>Suman</t>
  </si>
  <si>
    <t>raj kumar</t>
  </si>
  <si>
    <t>gopal</t>
  </si>
  <si>
    <t>panchi</t>
  </si>
  <si>
    <t>khushi</t>
  </si>
  <si>
    <t>suman</t>
  </si>
  <si>
    <t>Shahdeo</t>
  </si>
  <si>
    <t>rajat</t>
  </si>
  <si>
    <t>Jeshmin</t>
  </si>
  <si>
    <t>Jiya</t>
  </si>
  <si>
    <t>Kudhan</t>
  </si>
  <si>
    <t>anuj</t>
  </si>
  <si>
    <t>Shivanshu</t>
  </si>
  <si>
    <t>Jvm shayamali</t>
  </si>
  <si>
    <t>Murari</t>
  </si>
  <si>
    <t>keshri</t>
  </si>
  <si>
    <t>Ranjeet</t>
  </si>
  <si>
    <t>Sarla Birla school</t>
  </si>
  <si>
    <t>amrita</t>
  </si>
  <si>
    <t>Metha</t>
  </si>
  <si>
    <t>ikra</t>
  </si>
  <si>
    <t>Krish</t>
  </si>
  <si>
    <t>Nyati</t>
  </si>
  <si>
    <t>K.R Raval</t>
  </si>
  <si>
    <t>bipin</t>
  </si>
  <si>
    <t>anup</t>
  </si>
  <si>
    <t>Dutta</t>
  </si>
  <si>
    <t>Dhahiyar</t>
  </si>
  <si>
    <t>Varus</t>
  </si>
  <si>
    <t>sima</t>
  </si>
  <si>
    <t>alsaba</t>
  </si>
  <si>
    <t>ajeet</t>
  </si>
  <si>
    <t>Koshal</t>
  </si>
  <si>
    <t>abhy</t>
  </si>
  <si>
    <t>Ajay</t>
  </si>
  <si>
    <t>vaishali</t>
  </si>
  <si>
    <t>unnat</t>
  </si>
  <si>
    <t>Md</t>
  </si>
  <si>
    <t>vasir</t>
  </si>
  <si>
    <t>Rishi</t>
  </si>
  <si>
    <t>ujjawal</t>
  </si>
  <si>
    <t>sandhvi</t>
  </si>
  <si>
    <t>diya</t>
  </si>
  <si>
    <t>I D PATEL</t>
  </si>
  <si>
    <t>apurva</t>
  </si>
  <si>
    <t>rahil</t>
  </si>
  <si>
    <t>suthariya</t>
  </si>
  <si>
    <t>HIRAMANI</t>
  </si>
  <si>
    <t>Kishor</t>
  </si>
  <si>
    <t>kanu</t>
  </si>
  <si>
    <t>priya</t>
  </si>
  <si>
    <t>Ranjan</t>
  </si>
  <si>
    <t>kuldip</t>
  </si>
  <si>
    <t>Don bosco school</t>
  </si>
  <si>
    <t>aariya</t>
  </si>
  <si>
    <t>Kishan</t>
  </si>
  <si>
    <t>anish</t>
  </si>
  <si>
    <t>rikit</t>
  </si>
  <si>
    <t>aarya</t>
  </si>
  <si>
    <t>chauhan</t>
  </si>
  <si>
    <t>TRIPADA</t>
  </si>
  <si>
    <t>Greenland</t>
  </si>
  <si>
    <t>hemang</t>
  </si>
  <si>
    <t>shubham</t>
  </si>
  <si>
    <t>Desai</t>
  </si>
  <si>
    <t>isha</t>
  </si>
  <si>
    <t>KR RAVAL</t>
  </si>
  <si>
    <t>malakar</t>
  </si>
  <si>
    <t>doranda college</t>
  </si>
  <si>
    <t>arjot</t>
  </si>
  <si>
    <t>kour</t>
  </si>
  <si>
    <t>Cambrain public school</t>
  </si>
  <si>
    <t>VED</t>
  </si>
  <si>
    <t>BHATT</t>
  </si>
  <si>
    <t>Doranda</t>
  </si>
  <si>
    <t>Angels high school</t>
  </si>
  <si>
    <t>sudarshan</t>
  </si>
  <si>
    <t>DAV Model School, IIT Kharagpur</t>
  </si>
  <si>
    <t>Kharagpur, Paschim Medinipur</t>
  </si>
  <si>
    <t>Paithankar</t>
  </si>
  <si>
    <t>chaman</t>
  </si>
  <si>
    <t>sabaz</t>
  </si>
  <si>
    <t>Firayalal public school</t>
  </si>
  <si>
    <t>florence nightingale</t>
  </si>
  <si>
    <t>sadam</t>
  </si>
  <si>
    <t>st francices</t>
  </si>
  <si>
    <t>ritesh</t>
  </si>
  <si>
    <t>st.charles</t>
  </si>
  <si>
    <t>kriti</t>
  </si>
  <si>
    <t>rinki</t>
  </si>
  <si>
    <t>st anthony</t>
  </si>
  <si>
    <t>jasmine</t>
  </si>
  <si>
    <t>parveen</t>
  </si>
  <si>
    <t>kaish</t>
  </si>
  <si>
    <t>Kshitij</t>
  </si>
  <si>
    <t>Narware</t>
  </si>
  <si>
    <t>Pune, Wagholi</t>
  </si>
  <si>
    <t>shahid</t>
  </si>
  <si>
    <t>alisha</t>
  </si>
  <si>
    <t>Shri Bhagubhai mafatlal polytechnic college</t>
  </si>
  <si>
    <t>MIRA-BHAYANDAR</t>
  </si>
  <si>
    <t>Priyanshu</t>
  </si>
  <si>
    <t>Rajkiya pratibha vikas Vidyalaya sector 11</t>
  </si>
  <si>
    <t>Rohini</t>
  </si>
  <si>
    <t>Nair</t>
  </si>
  <si>
    <t>school of india</t>
  </si>
  <si>
    <t>banglore</t>
  </si>
  <si>
    <t>Helly</t>
  </si>
  <si>
    <t>Tripuda high school</t>
  </si>
  <si>
    <t>Harshit</t>
  </si>
  <si>
    <t>Shirmal</t>
  </si>
  <si>
    <t>Kv</t>
  </si>
  <si>
    <t>Hawsha</t>
  </si>
  <si>
    <t>Sirshtav</t>
  </si>
  <si>
    <t>Harsh meena</t>
  </si>
  <si>
    <t>Hari ram</t>
  </si>
  <si>
    <t>Oxford</t>
  </si>
  <si>
    <t>Hardi</t>
  </si>
  <si>
    <t>Thakkar</t>
  </si>
  <si>
    <t>DIVYAPATH</t>
  </si>
  <si>
    <t>H.r</t>
  </si>
  <si>
    <t>Gudiya</t>
  </si>
  <si>
    <t>Guddi</t>
  </si>
  <si>
    <t>Mehto</t>
  </si>
  <si>
    <t>Govinda</t>
  </si>
  <si>
    <t>Gopi</t>
  </si>
  <si>
    <t>Visdya mimorial public school</t>
  </si>
  <si>
    <t>Goldan</t>
  </si>
  <si>
    <t>Golden</t>
  </si>
  <si>
    <t>Radha</t>
  </si>
  <si>
    <t>dav public</t>
  </si>
  <si>
    <t>Sajid</t>
  </si>
  <si>
    <t>husen</t>
  </si>
  <si>
    <t>Khoosbu</t>
  </si>
  <si>
    <t>Sona</t>
  </si>
  <si>
    <t>Mina</t>
  </si>
  <si>
    <t>St Francis public school</t>
  </si>
  <si>
    <t>St paul</t>
  </si>
  <si>
    <t>Vishwaas</t>
  </si>
  <si>
    <t>Rao</t>
  </si>
  <si>
    <t>St Louis school</t>
  </si>
  <si>
    <t>Prem</t>
  </si>
  <si>
    <t>Divia</t>
  </si>
  <si>
    <t>Firaya Lal public school</t>
  </si>
  <si>
    <t>Amar</t>
  </si>
  <si>
    <t>nishad</t>
  </si>
  <si>
    <t>DAV Alok</t>
  </si>
  <si>
    <t>Sonu</t>
  </si>
  <si>
    <t>Sudha</t>
  </si>
  <si>
    <t>Prerena</t>
  </si>
  <si>
    <t>Ankit</t>
  </si>
  <si>
    <t>Pihu</t>
  </si>
  <si>
    <t>Annanya</t>
  </si>
  <si>
    <t>Kk</t>
  </si>
  <si>
    <t>Priti</t>
  </si>
  <si>
    <t>Navneet</t>
  </si>
  <si>
    <t>Prasant</t>
  </si>
  <si>
    <t>Guru nanak higher secondary school</t>
  </si>
  <si>
    <t>tirkey</t>
  </si>
  <si>
    <t>dav hehal</t>
  </si>
  <si>
    <t>James</t>
  </si>
  <si>
    <t>St.paul school</t>
  </si>
  <si>
    <t>Rajat</t>
  </si>
  <si>
    <t>Usbha</t>
  </si>
  <si>
    <t>fatima</t>
  </si>
  <si>
    <t>Vardhan</t>
  </si>
  <si>
    <t>Loyola Convent</t>
  </si>
  <si>
    <t>Madan</t>
  </si>
  <si>
    <t>Sagar</t>
  </si>
  <si>
    <t>St Francis school</t>
  </si>
  <si>
    <t>Himesh</t>
  </si>
  <si>
    <t>Indu</t>
  </si>
  <si>
    <t>lakda</t>
  </si>
  <si>
    <t>Manvir</t>
  </si>
  <si>
    <t>Santi</t>
  </si>
  <si>
    <t>Guru nayak higher school</t>
  </si>
  <si>
    <t>Kacchap</t>
  </si>
  <si>
    <t>don bosco</t>
  </si>
  <si>
    <t>Jaya</t>
  </si>
  <si>
    <t>deep</t>
  </si>
  <si>
    <t>Prakash</t>
  </si>
  <si>
    <t>Berlin public school</t>
  </si>
  <si>
    <t>Siddhant</t>
  </si>
  <si>
    <t>Roshni</t>
  </si>
  <si>
    <t>Darmesh</t>
  </si>
  <si>
    <t>Tosif</t>
  </si>
  <si>
    <t>siraz</t>
  </si>
  <si>
    <t>Rajiv</t>
  </si>
  <si>
    <t>dasai</t>
  </si>
  <si>
    <t>Arti</t>
  </si>
  <si>
    <t>Komal</t>
  </si>
  <si>
    <t>Kabir</t>
  </si>
  <si>
    <t>ghosh</t>
  </si>
  <si>
    <t>Central school</t>
  </si>
  <si>
    <t>Arshad</t>
  </si>
  <si>
    <t>Rajesh Kumar</t>
  </si>
  <si>
    <t>Naman</t>
  </si>
  <si>
    <t>mathur</t>
  </si>
  <si>
    <t>Anuj</t>
  </si>
  <si>
    <t>Pravita</t>
  </si>
  <si>
    <t>Biswajeet</t>
  </si>
  <si>
    <t>Prajakta</t>
  </si>
  <si>
    <t>Arun</t>
  </si>
  <si>
    <t>Vineet</t>
  </si>
  <si>
    <t>HMPL school</t>
  </si>
  <si>
    <t>Lalit</t>
  </si>
  <si>
    <t>Pradip kr</t>
  </si>
  <si>
    <t>Vijender</t>
  </si>
  <si>
    <t>Sanjeev</t>
  </si>
  <si>
    <t>chakroborty</t>
  </si>
  <si>
    <t>Pradep</t>
  </si>
  <si>
    <t>Akash</t>
  </si>
  <si>
    <t>Rajni</t>
  </si>
  <si>
    <t>kant</t>
  </si>
  <si>
    <t>Pradeep</t>
  </si>
  <si>
    <t>Nivita</t>
  </si>
  <si>
    <t>Sisu vidya mandir</t>
  </si>
  <si>
    <t>Taambe</t>
  </si>
  <si>
    <t>Balaswar</t>
  </si>
  <si>
    <t>HM public school</t>
  </si>
  <si>
    <t>D. Jal</t>
  </si>
  <si>
    <t>Darshan</t>
  </si>
  <si>
    <t>Lakhan</t>
  </si>
  <si>
    <t>Riki</t>
  </si>
  <si>
    <t>Sanjay</t>
  </si>
  <si>
    <t>sunita</t>
  </si>
  <si>
    <t>Jamil</t>
  </si>
  <si>
    <t>jain</t>
  </si>
  <si>
    <t>st francis</t>
  </si>
  <si>
    <t>Bittu</t>
  </si>
  <si>
    <t>Subhash</t>
  </si>
  <si>
    <t>Umesh</t>
  </si>
  <si>
    <t>Ranveer</t>
  </si>
  <si>
    <t>pahwa</t>
  </si>
  <si>
    <t>St Anthony's</t>
  </si>
  <si>
    <t>Rajkumar</t>
  </si>
  <si>
    <t>Goswami</t>
  </si>
  <si>
    <t>DAV Hehal</t>
  </si>
  <si>
    <t>Nirmal</t>
  </si>
  <si>
    <t>Linima</t>
  </si>
  <si>
    <t>Susma</t>
  </si>
  <si>
    <t>verma</t>
  </si>
  <si>
    <t>Sanjeet</t>
  </si>
  <si>
    <t>Sumit</t>
  </si>
  <si>
    <t>Rishu</t>
  </si>
  <si>
    <t>Khanna</t>
  </si>
  <si>
    <t>waray</t>
  </si>
  <si>
    <t>Humana</t>
  </si>
  <si>
    <t>St.Thomas</t>
  </si>
  <si>
    <t>Nidh</t>
  </si>
  <si>
    <t>i kumari</t>
  </si>
  <si>
    <t>Araav</t>
  </si>
  <si>
    <t>Linda</t>
  </si>
  <si>
    <t>Sushma</t>
  </si>
  <si>
    <t>manzi</t>
  </si>
  <si>
    <t>SinghS</t>
  </si>
  <si>
    <t>Jasmine</t>
  </si>
  <si>
    <t>loreto convent</t>
  </si>
  <si>
    <t>D.A.V public school</t>
  </si>
  <si>
    <t>Guru Nanak public school</t>
  </si>
  <si>
    <t>Shristi</t>
  </si>
  <si>
    <t>Apeksha</t>
  </si>
  <si>
    <t>Kisan</t>
  </si>
  <si>
    <t>Ghanshyam</t>
  </si>
  <si>
    <t>Frank</t>
  </si>
  <si>
    <t>St.luies</t>
  </si>
  <si>
    <t>Akansha</t>
  </si>
  <si>
    <t>Mohni</t>
  </si>
  <si>
    <t>soni</t>
  </si>
  <si>
    <t>topno</t>
  </si>
  <si>
    <t>Hossain</t>
  </si>
  <si>
    <t>Firyalal public school</t>
  </si>
  <si>
    <t>Atik</t>
  </si>
  <si>
    <t>Alen</t>
  </si>
  <si>
    <t>Nishant</t>
  </si>
  <si>
    <t>Kujur</t>
  </si>
  <si>
    <t>Anamika</t>
  </si>
  <si>
    <t>Subhankar</t>
  </si>
  <si>
    <t>Naveen</t>
  </si>
  <si>
    <t>sahi</t>
  </si>
  <si>
    <t>Sachidanand public school</t>
  </si>
  <si>
    <t>Sumesh</t>
  </si>
  <si>
    <t>Sweeta</t>
  </si>
  <si>
    <t>Richa</t>
  </si>
  <si>
    <t>Gunjan</t>
  </si>
  <si>
    <t>vatsh</t>
  </si>
  <si>
    <t>Alia</t>
  </si>
  <si>
    <t>Sp</t>
  </si>
  <si>
    <t>Singha l</t>
  </si>
  <si>
    <t>Mithlesh</t>
  </si>
  <si>
    <t>Jivan</t>
  </si>
  <si>
    <t>mahli</t>
  </si>
  <si>
    <t>Shikha</t>
  </si>
  <si>
    <t>munda</t>
  </si>
  <si>
    <t>Brideford school</t>
  </si>
  <si>
    <t>Abhijit</t>
  </si>
  <si>
    <t>Anderson</t>
  </si>
  <si>
    <t>Shilpa</t>
  </si>
  <si>
    <t>Sarika</t>
  </si>
  <si>
    <t>Yousuf</t>
  </si>
  <si>
    <t>Pummi</t>
  </si>
  <si>
    <t>Toppo</t>
  </si>
  <si>
    <t>kush</t>
  </si>
  <si>
    <t>Salka</t>
  </si>
  <si>
    <t>Samita</t>
  </si>
  <si>
    <t>Rocky</t>
  </si>
  <si>
    <t>Sanu</t>
  </si>
  <si>
    <t>Joni</t>
  </si>
  <si>
    <t>karmkar</t>
  </si>
  <si>
    <t>Asmit</t>
  </si>
  <si>
    <t>Sudhir</t>
  </si>
  <si>
    <t>Mona</t>
  </si>
  <si>
    <t>Deepika</t>
  </si>
  <si>
    <t>Choudary</t>
  </si>
  <si>
    <t>Prabhas</t>
  </si>
  <si>
    <t>Xavier</t>
  </si>
  <si>
    <t>Bhawesh</t>
  </si>
  <si>
    <t>Ruma</t>
  </si>
  <si>
    <t>rani</t>
  </si>
  <si>
    <t>Prabhar</t>
  </si>
  <si>
    <t>EMpower</t>
  </si>
  <si>
    <t>Willy</t>
  </si>
  <si>
    <t>Anju</t>
  </si>
  <si>
    <t>Arpit</t>
  </si>
  <si>
    <t>Faishal</t>
  </si>
  <si>
    <t>Chandhan</t>
  </si>
  <si>
    <t>Dhoni</t>
  </si>
  <si>
    <t>Rabinder</t>
  </si>
  <si>
    <t>St.louis</t>
  </si>
  <si>
    <t>Kamala</t>
  </si>
  <si>
    <t>Empower</t>
  </si>
  <si>
    <t>Kalesh</t>
  </si>
  <si>
    <t>Mukul</t>
  </si>
  <si>
    <t>Reshma</t>
  </si>
  <si>
    <t>shankar</t>
  </si>
  <si>
    <t>oraon</t>
  </si>
  <si>
    <t>Ganesh</t>
  </si>
  <si>
    <t>Anwer</t>
  </si>
  <si>
    <t>Rolli</t>
  </si>
  <si>
    <t>Muna</t>
  </si>
  <si>
    <t>Roma</t>
  </si>
  <si>
    <t>shaif</t>
  </si>
  <si>
    <t>Manjeet</t>
  </si>
  <si>
    <t>Firaya Ral public school</t>
  </si>
  <si>
    <t>Shaib</t>
  </si>
  <si>
    <t>Rajne</t>
  </si>
  <si>
    <t>saurav</t>
  </si>
  <si>
    <t>jk internatioal</t>
  </si>
  <si>
    <t>Choudhary</t>
  </si>
  <si>
    <t>Guru Nanak higher school</t>
  </si>
  <si>
    <t>Kalvert</t>
  </si>
  <si>
    <t>Tusar</t>
  </si>
  <si>
    <t>sashi</t>
  </si>
  <si>
    <t>Manjoot</t>
  </si>
  <si>
    <t>chabra</t>
  </si>
  <si>
    <t>Sila</t>
  </si>
  <si>
    <t>Tarik</t>
  </si>
  <si>
    <t>sapna</t>
  </si>
  <si>
    <t>Akhilesh</t>
  </si>
  <si>
    <t>santu</t>
  </si>
  <si>
    <t>singhania</t>
  </si>
  <si>
    <t>Tara</t>
  </si>
  <si>
    <t>Ashok kr</t>
  </si>
  <si>
    <t>Tanya</t>
  </si>
  <si>
    <t>Sheravagi</t>
  </si>
  <si>
    <t>D.a.v</t>
  </si>
  <si>
    <t>kavya</t>
  </si>
  <si>
    <t>Gogi</t>
  </si>
  <si>
    <t>santi</t>
  </si>
  <si>
    <t>Farha</t>
  </si>
  <si>
    <t>sanjeet</t>
  </si>
  <si>
    <t>Tanu</t>
  </si>
  <si>
    <t>Tarun</t>
  </si>
  <si>
    <t>Gita</t>
  </si>
  <si>
    <t>San Francis school</t>
  </si>
  <si>
    <t>Suraj kr verma</t>
  </si>
  <si>
    <t>prashad</t>
  </si>
  <si>
    <t>Pream</t>
  </si>
  <si>
    <t>Laxmi chandra</t>
  </si>
  <si>
    <t>chandra</t>
  </si>
  <si>
    <t>Abhijeet</t>
  </si>
  <si>
    <t>Meena</t>
  </si>
  <si>
    <t>Sr dav</t>
  </si>
  <si>
    <t>Biswajit</t>
  </si>
  <si>
    <t>Tanmay</t>
  </si>
  <si>
    <t>Raja</t>
  </si>
  <si>
    <t>Omsai</t>
  </si>
  <si>
    <t>KUMA</t>
  </si>
  <si>
    <t>St.chrales</t>
  </si>
  <si>
    <t>Kachhap</t>
  </si>
  <si>
    <t>Shilpi</t>
  </si>
  <si>
    <t>Rathore</t>
  </si>
  <si>
    <t>Rajendra</t>
  </si>
  <si>
    <t>Arjun Ranawat</t>
  </si>
  <si>
    <t>Ranawat</t>
  </si>
  <si>
    <t>Haidra</t>
  </si>
  <si>
    <t>khant</t>
  </si>
  <si>
    <t>Varsha</t>
  </si>
  <si>
    <t>Jvm shayamli</t>
  </si>
  <si>
    <t>Avhinash</t>
  </si>
  <si>
    <t>Rampreet</t>
  </si>
  <si>
    <t>Binnod</t>
  </si>
  <si>
    <t>Somya</t>
  </si>
  <si>
    <t>Tanaya</t>
  </si>
  <si>
    <t>Bhosla</t>
  </si>
  <si>
    <t>Tulip</t>
  </si>
  <si>
    <t>Somraj</t>
  </si>
  <si>
    <t>Rawat</t>
  </si>
  <si>
    <t>sania</t>
  </si>
  <si>
    <t>tabbu</t>
  </si>
  <si>
    <t>Rise Academy</t>
  </si>
  <si>
    <t>mehto</t>
  </si>
  <si>
    <t>Shubham agrawal</t>
  </si>
  <si>
    <t>agrawal</t>
  </si>
  <si>
    <t>St. Thomas</t>
  </si>
  <si>
    <t>Rajesh</t>
  </si>
  <si>
    <t>Taksh</t>
  </si>
  <si>
    <t>Gajjar</t>
  </si>
  <si>
    <t>K.r raval</t>
  </si>
  <si>
    <t>Srivastava</t>
  </si>
  <si>
    <t>Goldy</t>
  </si>
  <si>
    <t>Pawan</t>
  </si>
  <si>
    <t>sangita</t>
  </si>
  <si>
    <t>Rank</t>
  </si>
  <si>
    <t>Shukla</t>
  </si>
  <si>
    <t>Bikash</t>
  </si>
  <si>
    <t>St. Charlies school</t>
  </si>
  <si>
    <t>Sweeti</t>
  </si>
  <si>
    <t>Dhamani</t>
  </si>
  <si>
    <t>sanday</t>
  </si>
  <si>
    <t>Sr</t>
  </si>
  <si>
    <t>Wishwakarma</t>
  </si>
  <si>
    <t>Tanvir</t>
  </si>
  <si>
    <t>Kashyap</t>
  </si>
  <si>
    <t>Asim</t>
  </si>
  <si>
    <t>Dang</t>
  </si>
  <si>
    <t>Mantosh</t>
  </si>
  <si>
    <t>Param</t>
  </si>
  <si>
    <t>Karmkl</t>
  </si>
  <si>
    <t>Zayanti</t>
  </si>
  <si>
    <t>Vidan</t>
  </si>
  <si>
    <t>St charkles</t>
  </si>
  <si>
    <t>Kafil</t>
  </si>
  <si>
    <t>sanaya</t>
  </si>
  <si>
    <t>Bishal</t>
  </si>
  <si>
    <t>Lugun</t>
  </si>
  <si>
    <t>Mohini</t>
  </si>
  <si>
    <t>Bal govind school</t>
  </si>
  <si>
    <t>Zanished</t>
  </si>
  <si>
    <t>sanapati</t>
  </si>
  <si>
    <t>Prakhar</t>
  </si>
  <si>
    <t>Yasmeen</t>
  </si>
  <si>
    <t>Chaudary</t>
  </si>
  <si>
    <t>Mariyam public high school</t>
  </si>
  <si>
    <t>zerme</t>
  </si>
  <si>
    <t>titus</t>
  </si>
  <si>
    <t>Vipul</t>
  </si>
  <si>
    <t>Yashvi</t>
  </si>
  <si>
    <t>Manshi</t>
  </si>
  <si>
    <t>Yashika</t>
  </si>
  <si>
    <t>APOLLO INTERNATIONAL SCHOOL</t>
  </si>
  <si>
    <t>Manvi</t>
  </si>
  <si>
    <t>Jishan</t>
  </si>
  <si>
    <t>Pathak</t>
  </si>
  <si>
    <t>DPS ranchi</t>
  </si>
  <si>
    <t>Anwar</t>
  </si>
  <si>
    <t>pradhan</t>
  </si>
  <si>
    <t>Akki</t>
  </si>
  <si>
    <t>Sohid</t>
  </si>
  <si>
    <t>Kailash</t>
  </si>
  <si>
    <t>Kimar</t>
  </si>
  <si>
    <t>Sandar</t>
  </si>
  <si>
    <t>Renu</t>
  </si>
  <si>
    <t>Mandal</t>
  </si>
  <si>
    <t>Ruchyka</t>
  </si>
  <si>
    <t>St Stephen'</t>
  </si>
  <si>
    <t>Haripal</t>
  </si>
  <si>
    <t>Ikbal</t>
  </si>
  <si>
    <t>Joya</t>
  </si>
  <si>
    <t>Khatun</t>
  </si>
  <si>
    <t>Pan</t>
  </si>
  <si>
    <t>Brideford</t>
  </si>
  <si>
    <t>Prayag</t>
  </si>
  <si>
    <t>Dipa</t>
  </si>
  <si>
    <t>Ibrahim</t>
  </si>
  <si>
    <t>Ansari</t>
  </si>
  <si>
    <t>Anjali</t>
  </si>
  <si>
    <t>shanaya barla</t>
  </si>
  <si>
    <t>St charles</t>
  </si>
  <si>
    <t>Soumya</t>
  </si>
  <si>
    <t>Subodha</t>
  </si>
  <si>
    <t>Nirmala</t>
  </si>
  <si>
    <t>Tiga</t>
  </si>
  <si>
    <t>Raza</t>
  </si>
  <si>
    <t>Mumtaj</t>
  </si>
  <si>
    <t>t</t>
  </si>
  <si>
    <t>St.charlies</t>
  </si>
  <si>
    <t>Rehman</t>
  </si>
  <si>
    <t>Nidhi</t>
  </si>
  <si>
    <t>Raajan</t>
  </si>
  <si>
    <t>Umakant</t>
  </si>
  <si>
    <t>Vipusha</t>
  </si>
  <si>
    <t>Sen</t>
  </si>
  <si>
    <t>Sakar</t>
  </si>
  <si>
    <t>New r.k</t>
  </si>
  <si>
    <t>Store</t>
  </si>
  <si>
    <t>St.charlies public school</t>
  </si>
  <si>
    <t>Kamla</t>
  </si>
  <si>
    <t>Sabir</t>
  </si>
  <si>
    <t>sheikh</t>
  </si>
  <si>
    <t>DAV hehal</t>
  </si>
  <si>
    <t>Bridgefore public school</t>
  </si>
  <si>
    <t>Namrata</t>
  </si>
  <si>
    <t>Akshay</t>
  </si>
  <si>
    <t>Fareen</t>
  </si>
  <si>
    <t>ohja</t>
  </si>
  <si>
    <t>Samad</t>
  </si>
  <si>
    <t>Dipak</t>
  </si>
  <si>
    <t>kuraisi</t>
  </si>
  <si>
    <t>Jallal</t>
  </si>
  <si>
    <t>Deeva</t>
  </si>
  <si>
    <t>VVM school</t>
  </si>
  <si>
    <t>Samrath</t>
  </si>
  <si>
    <t>H.M. public school</t>
  </si>
  <si>
    <t>Suni</t>
  </si>
  <si>
    <t>horo</t>
  </si>
  <si>
    <t>j</t>
  </si>
  <si>
    <t>viraj</t>
  </si>
  <si>
    <t>Saurav</t>
  </si>
  <si>
    <t>Jagdish</t>
  </si>
  <si>
    <t>muedeen</t>
  </si>
  <si>
    <t>f</t>
  </si>
  <si>
    <t>Doranda College</t>
  </si>
  <si>
    <t>Sikender</t>
  </si>
  <si>
    <t>tagala</t>
  </si>
  <si>
    <t>Geetanshi</t>
  </si>
  <si>
    <t>Dashora</t>
  </si>
  <si>
    <t>LSK academy</t>
  </si>
  <si>
    <t>Ankush</t>
  </si>
  <si>
    <t>Pradesh</t>
  </si>
  <si>
    <t>Kawar</t>
  </si>
  <si>
    <t>Vishali</t>
  </si>
  <si>
    <t>st.francies</t>
  </si>
  <si>
    <t>Ranchi l</t>
  </si>
  <si>
    <t>sana</t>
  </si>
  <si>
    <t>Govind</t>
  </si>
  <si>
    <t>Sivan</t>
  </si>
  <si>
    <t>Susila</t>
  </si>
  <si>
    <t>D.A.V.Public School</t>
  </si>
  <si>
    <t>Geeta</t>
  </si>
  <si>
    <t>St. Charlies</t>
  </si>
  <si>
    <t>R. P. V. V Sec - 11 Rohini Delhi</t>
  </si>
  <si>
    <t>Parikh</t>
  </si>
  <si>
    <t>St thomas</t>
  </si>
  <si>
    <t>Banjarang</t>
  </si>
  <si>
    <t>Dav Dhurwa</t>
  </si>
  <si>
    <t>samkshika</t>
  </si>
  <si>
    <t>narayan</t>
  </si>
  <si>
    <t>Burman</t>
  </si>
  <si>
    <t>Kairali</t>
  </si>
  <si>
    <t>Rpvv sec 11</t>
  </si>
  <si>
    <t>Rashmi</t>
  </si>
  <si>
    <t>Mahant</t>
  </si>
  <si>
    <t>Uday</t>
  </si>
  <si>
    <t>DAV Alok public school</t>
  </si>
  <si>
    <t>Aafrin</t>
  </si>
  <si>
    <t>Jagreet</t>
  </si>
  <si>
    <t>Gourav</t>
  </si>
  <si>
    <t>Sudhanshu</t>
  </si>
  <si>
    <t>samir</t>
  </si>
  <si>
    <t>Nikhal</t>
  </si>
  <si>
    <t>Jagriti</t>
  </si>
  <si>
    <t>Spna</t>
  </si>
  <si>
    <t>rathore</t>
  </si>
  <si>
    <t>Nitesh</t>
  </si>
  <si>
    <t>Arvind</t>
  </si>
  <si>
    <t>salani</t>
  </si>
  <si>
    <t>St.chagles</t>
  </si>
  <si>
    <t>Horo</t>
  </si>
  <si>
    <t>Don Bosco</t>
  </si>
  <si>
    <t>Zeeshan</t>
  </si>
  <si>
    <t>Rajeev</t>
  </si>
  <si>
    <t>Abjeet</t>
  </si>
  <si>
    <t>Shiva</t>
  </si>
  <si>
    <t>D.A.v public school</t>
  </si>
  <si>
    <t>Puja</t>
  </si>
  <si>
    <t>Nagar</t>
  </si>
  <si>
    <t>sakhutla</t>
  </si>
  <si>
    <t>Bajrang</t>
  </si>
  <si>
    <t>Dav,dhurwa</t>
  </si>
  <si>
    <t>Subana rani</t>
  </si>
  <si>
    <t>Tauhid</t>
  </si>
  <si>
    <t>Hasan</t>
  </si>
  <si>
    <t>St Michael</t>
  </si>
  <si>
    <t>Keshri</t>
  </si>
  <si>
    <t>Vivek malakar</t>
  </si>
  <si>
    <t>Manhar</t>
  </si>
  <si>
    <t>sahil</t>
  </si>
  <si>
    <t>Ashi</t>
  </si>
  <si>
    <t>Anish</t>
  </si>
  <si>
    <t>Tigga</t>
  </si>
  <si>
    <t>Kouldy</t>
  </si>
  <si>
    <t>Dav Kapil dev</t>
  </si>
  <si>
    <t>Raghav</t>
  </si>
  <si>
    <t>Deepjoti</t>
  </si>
  <si>
    <t>Ebrar</t>
  </si>
  <si>
    <t>Priyank</t>
  </si>
  <si>
    <t>Aparna</t>
  </si>
  <si>
    <t>Aasha</t>
  </si>
  <si>
    <t>Lakra</t>
  </si>
  <si>
    <t>Ursuline school</t>
  </si>
  <si>
    <t>Ahmed</t>
  </si>
  <si>
    <t>Yusuf</t>
  </si>
  <si>
    <t>Renuka</t>
  </si>
  <si>
    <t>Subdeep</t>
  </si>
  <si>
    <t>Ajeet</t>
  </si>
  <si>
    <t>Dhananjay</t>
  </si>
  <si>
    <t>Manbeer</t>
  </si>
  <si>
    <t>Vipin</t>
  </si>
  <si>
    <t>Vikah kumar</t>
  </si>
  <si>
    <t>Taurian world</t>
  </si>
  <si>
    <t>husan</t>
  </si>
  <si>
    <t>Ojha</t>
  </si>
  <si>
    <t>Tanishq</t>
  </si>
  <si>
    <t>sachin</t>
  </si>
  <si>
    <t>kelash</t>
  </si>
  <si>
    <t>Vinod</t>
  </si>
  <si>
    <t>tripti</t>
  </si>
  <si>
    <t>Rana</t>
  </si>
  <si>
    <t>jishan</t>
  </si>
  <si>
    <t>amar prem</t>
  </si>
  <si>
    <t>Wilson</t>
  </si>
  <si>
    <t>Vinita</t>
  </si>
  <si>
    <t>pallavi</t>
  </si>
  <si>
    <t>Karali</t>
  </si>
  <si>
    <t>Chiku</t>
  </si>
  <si>
    <t>Ahmad</t>
  </si>
  <si>
    <t>Pojaa</t>
  </si>
  <si>
    <t>Avik</t>
  </si>
  <si>
    <t>Chourasiya</t>
  </si>
  <si>
    <t>Safiya</t>
  </si>
  <si>
    <t>Vinit</t>
  </si>
  <si>
    <t>rameej</t>
  </si>
  <si>
    <t>Pritha</t>
  </si>
  <si>
    <t>sachin kr.</t>
  </si>
  <si>
    <t>munu</t>
  </si>
  <si>
    <t>Rajat kr</t>
  </si>
  <si>
    <t>Bipin</t>
  </si>
  <si>
    <t>Kumha</t>
  </si>
  <si>
    <t>siddique</t>
  </si>
  <si>
    <t>Aaditya</t>
  </si>
  <si>
    <t>s.k</t>
  </si>
  <si>
    <t>Raajev</t>
  </si>
  <si>
    <t>irsad</t>
  </si>
  <si>
    <t>Saurab</t>
  </si>
  <si>
    <t>Bhengra</t>
  </si>
  <si>
    <t>imran</t>
  </si>
  <si>
    <t>Nikita</t>
  </si>
  <si>
    <t>Raj Pramod</t>
  </si>
  <si>
    <t>Balkesh</t>
  </si>
  <si>
    <t>Sainik</t>
  </si>
  <si>
    <t>Kamleshwar</t>
  </si>
  <si>
    <t>rupaesh</t>
  </si>
  <si>
    <t>linda</t>
  </si>
  <si>
    <t>Dav pundag</t>
  </si>
  <si>
    <t>tanisha</t>
  </si>
  <si>
    <t>luggun</t>
  </si>
  <si>
    <t>Vivekananda vidya mandir</t>
  </si>
  <si>
    <t>Harishta</t>
  </si>
  <si>
    <t>rupa</t>
  </si>
  <si>
    <t>Lalu</t>
  </si>
  <si>
    <t>Parwati</t>
  </si>
  <si>
    <t>Anit</t>
  </si>
  <si>
    <t>Kerketta</t>
  </si>
  <si>
    <t>Survi</t>
  </si>
  <si>
    <t>Nandini</t>
  </si>
  <si>
    <t>Shivani</t>
  </si>
  <si>
    <t>Dilip</t>
  </si>
  <si>
    <t>Kaka</t>
  </si>
  <si>
    <t>Abhi</t>
  </si>
  <si>
    <t>Hushen</t>
  </si>
  <si>
    <t>Kamal</t>
  </si>
  <si>
    <t>Suchita</t>
  </si>
  <si>
    <t>Hartman public school</t>
  </si>
  <si>
    <t>Mayant</t>
  </si>
  <si>
    <t>sohrab</t>
  </si>
  <si>
    <t>Reema</t>
  </si>
  <si>
    <t>rudra</t>
  </si>
  <si>
    <t>Sourab</t>
  </si>
  <si>
    <t>Ravindra</t>
  </si>
  <si>
    <t>Ymca</t>
  </si>
  <si>
    <t>Janti</t>
  </si>
  <si>
    <t>Rucha</t>
  </si>
  <si>
    <t>Purohit</t>
  </si>
  <si>
    <t>Madvi</t>
  </si>
  <si>
    <t>Varcha</t>
  </si>
  <si>
    <t>AMRITA</t>
  </si>
  <si>
    <t>Samiksha</t>
  </si>
  <si>
    <t>law</t>
  </si>
  <si>
    <t>H.BB KAPADYA</t>
  </si>
  <si>
    <t>Samuel</t>
  </si>
  <si>
    <t>Bihan</t>
  </si>
  <si>
    <t>Jeet</t>
  </si>
  <si>
    <t>dastiadiya</t>
  </si>
  <si>
    <t>Podar</t>
  </si>
  <si>
    <t>Manik</t>
  </si>
  <si>
    <t>Jaber</t>
  </si>
  <si>
    <t>Animesha</t>
  </si>
  <si>
    <t>S. R. Dav public school</t>
  </si>
  <si>
    <t>Bishop Westcottt</t>
  </si>
  <si>
    <t>Aprana</t>
  </si>
  <si>
    <t>chourborti</t>
  </si>
  <si>
    <t>tanuj</t>
  </si>
  <si>
    <t>gaba</t>
  </si>
  <si>
    <t>GURU NANAK</t>
  </si>
  <si>
    <t>Nayak</t>
  </si>
  <si>
    <t>S.tpoleschool</t>
  </si>
  <si>
    <t>St.marry high school</t>
  </si>
  <si>
    <t>sanesar</t>
  </si>
  <si>
    <t>Raftar</t>
  </si>
  <si>
    <t>Firdos</t>
  </si>
  <si>
    <t>Arif</t>
  </si>
  <si>
    <t>Uassa</t>
  </si>
  <si>
    <t>Larka</t>
  </si>
  <si>
    <t>Ayushi</t>
  </si>
  <si>
    <t>Prameshwer</t>
  </si>
  <si>
    <t>HMPL public school</t>
  </si>
  <si>
    <t>Jadhman</t>
  </si>
  <si>
    <t>Virat</t>
  </si>
  <si>
    <t>khaitra</t>
  </si>
  <si>
    <t>ST. JOSEPH</t>
  </si>
  <si>
    <t>Jaspreet</t>
  </si>
  <si>
    <t>Samman</t>
  </si>
  <si>
    <t>Vatsh</t>
  </si>
  <si>
    <t>jay</t>
  </si>
  <si>
    <t>pande</t>
  </si>
  <si>
    <t>NIRMAN</t>
  </si>
  <si>
    <t>Samrat</t>
  </si>
  <si>
    <t>Joel</t>
  </si>
  <si>
    <t>james</t>
  </si>
  <si>
    <t>TERF</t>
  </si>
  <si>
    <t>Yayesh</t>
  </si>
  <si>
    <t>Choubey</t>
  </si>
  <si>
    <t>Saphire international</t>
  </si>
  <si>
    <t>Tausif</t>
  </si>
  <si>
    <t>Bimal</t>
  </si>
  <si>
    <t>anjali</t>
  </si>
  <si>
    <t>Ashu</t>
  </si>
  <si>
    <t>Ranvijay</t>
  </si>
  <si>
    <t>tigga</t>
  </si>
  <si>
    <t>somaliya</t>
  </si>
  <si>
    <t>Ritwik</t>
  </si>
  <si>
    <t>Sumeet</t>
  </si>
  <si>
    <t>Oreya</t>
  </si>
  <si>
    <t>Shabir</t>
  </si>
  <si>
    <t>Sandhvi</t>
  </si>
  <si>
    <t>Yuraj</t>
  </si>
  <si>
    <t>kuma</t>
  </si>
  <si>
    <t>Sanga</t>
  </si>
  <si>
    <t>Bishop boy's school</t>
  </si>
  <si>
    <t>Agrawal</t>
  </si>
  <si>
    <t>Harsh Raj</t>
  </si>
  <si>
    <t>suhsma</t>
  </si>
  <si>
    <t>Bal vivakash mandir</t>
  </si>
  <si>
    <t>Gautam</t>
  </si>
  <si>
    <t>irfan</t>
  </si>
  <si>
    <t>Shakil</t>
  </si>
  <si>
    <t>urav</t>
  </si>
  <si>
    <t>Nilu</t>
  </si>
  <si>
    <t>Gori</t>
  </si>
  <si>
    <t>rishi</t>
  </si>
  <si>
    <t>Pravej</t>
  </si>
  <si>
    <t>Farhan</t>
  </si>
  <si>
    <t>Akhtar</t>
  </si>
  <si>
    <t>Purshottam</t>
  </si>
  <si>
    <t>atul</t>
  </si>
  <si>
    <t>pathak</t>
  </si>
  <si>
    <t>Gunu</t>
  </si>
  <si>
    <t>Varma</t>
  </si>
  <si>
    <t>Hamran preet</t>
  </si>
  <si>
    <t>Ved</t>
  </si>
  <si>
    <t>Choutlal</t>
  </si>
  <si>
    <t>selina</t>
  </si>
  <si>
    <t>Cambrai public school</t>
  </si>
  <si>
    <t>Pranjay</t>
  </si>
  <si>
    <t>Ahclon International School</t>
  </si>
  <si>
    <t>Ghaziabad</t>
  </si>
  <si>
    <t>shikha</t>
  </si>
  <si>
    <t>karmakar</t>
  </si>
  <si>
    <t>bishop westcott</t>
  </si>
  <si>
    <t>Lohra</t>
  </si>
  <si>
    <t>Saphir international school</t>
  </si>
  <si>
    <t>Apurva</t>
  </si>
  <si>
    <t>Amrin</t>
  </si>
  <si>
    <t>Nayan</t>
  </si>
  <si>
    <t>savaliya</t>
  </si>
  <si>
    <t>Akber</t>
  </si>
  <si>
    <t>om</t>
  </si>
  <si>
    <t>sairam</t>
  </si>
  <si>
    <t>Hmpl school</t>
  </si>
  <si>
    <t>Shriya</t>
  </si>
  <si>
    <t>Dhan</t>
  </si>
  <si>
    <t>parmar</t>
  </si>
  <si>
    <t>ADANVIDYAMANDR</t>
  </si>
  <si>
    <t>Shvet</t>
  </si>
  <si>
    <t>ST.MARRY</t>
  </si>
  <si>
    <t>Diyvank</t>
  </si>
  <si>
    <t>dev</t>
  </si>
  <si>
    <t>Oza</t>
  </si>
  <si>
    <t>Amrut jyoti</t>
  </si>
  <si>
    <t>Usline public school</t>
  </si>
  <si>
    <t>Bishop west cott namkum</t>
  </si>
  <si>
    <t>Kashish</t>
  </si>
  <si>
    <t>Taty</t>
  </si>
  <si>
    <t>Mathir</t>
  </si>
  <si>
    <t>tauhid</t>
  </si>
  <si>
    <t>hussain</t>
  </si>
  <si>
    <t>Ajit</t>
  </si>
  <si>
    <t>joseph</t>
  </si>
  <si>
    <t>tidu</t>
  </si>
  <si>
    <t>ST. ANTHONY</t>
  </si>
  <si>
    <t>Molu</t>
  </si>
  <si>
    <t>manikant</t>
  </si>
  <si>
    <t>shriwastava</t>
  </si>
  <si>
    <t>Vimlesh</t>
  </si>
  <si>
    <t>Kant</t>
  </si>
  <si>
    <t>Pradhan</t>
  </si>
  <si>
    <t>yaduvansi</t>
  </si>
  <si>
    <t>Vimal</t>
  </si>
  <si>
    <t>Aamin</t>
  </si>
  <si>
    <t>uraw</t>
  </si>
  <si>
    <t>Karali school</t>
  </si>
  <si>
    <t>Ashok</t>
  </si>
  <si>
    <t>Akbar</t>
  </si>
  <si>
    <t>Shreetama</t>
  </si>
  <si>
    <t>Vinodh</t>
  </si>
  <si>
    <t>Bhim</t>
  </si>
  <si>
    <t>Khalil</t>
  </si>
  <si>
    <t>Kristi</t>
  </si>
  <si>
    <t>Xaviers</t>
  </si>
  <si>
    <t>Atm Louise school</t>
  </si>
  <si>
    <t>Anup</t>
  </si>
  <si>
    <t>Bhola</t>
  </si>
  <si>
    <t>Majot</t>
  </si>
  <si>
    <t>Visonford school</t>
  </si>
  <si>
    <t>naushad</t>
  </si>
  <si>
    <t>parvej</t>
  </si>
  <si>
    <t>deepesh</t>
  </si>
  <si>
    <t>THAKUR</t>
  </si>
  <si>
    <t>nasir</t>
  </si>
  <si>
    <t>vivekananda vidya mandir</t>
  </si>
  <si>
    <t>tejas</t>
  </si>
  <si>
    <t>Bipan</t>
  </si>
  <si>
    <t>ritwik</t>
  </si>
  <si>
    <t>bal govind</t>
  </si>
  <si>
    <t>Kuamr</t>
  </si>
  <si>
    <t>arvind</t>
  </si>
  <si>
    <t>greenland public school</t>
  </si>
  <si>
    <t>JVM shyamali</t>
  </si>
  <si>
    <t>Ashutosh</t>
  </si>
  <si>
    <t>berlin public school</t>
  </si>
  <si>
    <t>satyam</t>
  </si>
  <si>
    <t>partik</t>
  </si>
  <si>
    <t>St. paul</t>
  </si>
  <si>
    <t>tapshi</t>
  </si>
  <si>
    <t>nagendar</t>
  </si>
  <si>
    <t>partho</t>
  </si>
  <si>
    <t>david</t>
  </si>
  <si>
    <t>Green land school</t>
  </si>
  <si>
    <t>kunari</t>
  </si>
  <si>
    <t>Sahil</t>
  </si>
  <si>
    <t>p.b</t>
  </si>
  <si>
    <t>Ysmin</t>
  </si>
  <si>
    <t>Surya</t>
  </si>
  <si>
    <t>Singha</t>
  </si>
  <si>
    <t>Kapista high school</t>
  </si>
  <si>
    <t>Kolkata</t>
  </si>
  <si>
    <t>st.francis</t>
  </si>
  <si>
    <t>Kirtika</t>
  </si>
  <si>
    <t>L.R.&amp;S.M. Vissanji Academy</t>
  </si>
  <si>
    <t>guru nanak higher school</t>
  </si>
  <si>
    <t>Jashwal</t>
  </si>
  <si>
    <t>Kunari</t>
  </si>
  <si>
    <t>DPS school ranchi</t>
  </si>
  <si>
    <t>green land public school</t>
  </si>
  <si>
    <t>Sahnawaj</t>
  </si>
  <si>
    <t>zeeshan</t>
  </si>
  <si>
    <t>yashaswi</t>
  </si>
  <si>
    <t>sisu vidhya mandir</t>
  </si>
  <si>
    <t>carnival public school</t>
  </si>
  <si>
    <t>nivi</t>
  </si>
  <si>
    <t>wilson</t>
  </si>
  <si>
    <t>minj</t>
  </si>
  <si>
    <t>MD</t>
  </si>
  <si>
    <t>Sagir</t>
  </si>
  <si>
    <t>wasim</t>
  </si>
  <si>
    <t>Ursuline</t>
  </si>
  <si>
    <t>waris</t>
  </si>
  <si>
    <t>nitish</t>
  </si>
  <si>
    <t>Saurb</t>
  </si>
  <si>
    <t>mukand</t>
  </si>
  <si>
    <t>Supriya</t>
  </si>
  <si>
    <t>mubarak</t>
  </si>
  <si>
    <t>st,francis public school</t>
  </si>
  <si>
    <t>Matho</t>
  </si>
  <si>
    <t>umesh</t>
  </si>
  <si>
    <t>Rajeey</t>
  </si>
  <si>
    <t>nithi</t>
  </si>
  <si>
    <t>emanuel</t>
  </si>
  <si>
    <t>HVMP PUBLIC SCHOOL</t>
  </si>
  <si>
    <t>Sabhaaj</t>
  </si>
  <si>
    <t>mona</t>
  </si>
  <si>
    <t>Kavita</t>
  </si>
  <si>
    <t>Karn</t>
  </si>
  <si>
    <t>nitanado</t>
  </si>
  <si>
    <t>mirdha</t>
  </si>
  <si>
    <t>kr.</t>
  </si>
  <si>
    <t>Diplip</t>
  </si>
  <si>
    <t>Sadhna</t>
  </si>
  <si>
    <t>Sargam</t>
  </si>
  <si>
    <t>Digambar222@gmail.com</t>
  </si>
  <si>
    <t>St francis</t>
  </si>
  <si>
    <t>vishesh</t>
  </si>
  <si>
    <t>Digambar</t>
  </si>
  <si>
    <t>shekhar</t>
  </si>
  <si>
    <t>Saw</t>
  </si>
  <si>
    <t>Gos</t>
  </si>
  <si>
    <t>Nirmala college</t>
  </si>
  <si>
    <t>Dubey</t>
  </si>
  <si>
    <t>JP jalan school</t>
  </si>
  <si>
    <t>sing</t>
  </si>
  <si>
    <t>joy</t>
  </si>
  <si>
    <t>Vikky</t>
  </si>
  <si>
    <t>Resam</t>
  </si>
  <si>
    <t>nirmal</t>
  </si>
  <si>
    <t>kachhup</t>
  </si>
  <si>
    <t>donbosco</t>
  </si>
  <si>
    <t>Vikey</t>
  </si>
  <si>
    <t>Vivay</t>
  </si>
  <si>
    <t>vikram</t>
  </si>
  <si>
    <t>virendra</t>
  </si>
  <si>
    <t>niranjana</t>
  </si>
  <si>
    <t>Trivedi</t>
  </si>
  <si>
    <t>mohini</t>
  </si>
  <si>
    <t>firaya ral public school</t>
  </si>
  <si>
    <t>chowdhary</t>
  </si>
  <si>
    <t>Ravi raj</t>
  </si>
  <si>
    <t>nimesh</t>
  </si>
  <si>
    <t>gurung</t>
  </si>
  <si>
    <t>vinod</t>
  </si>
  <si>
    <t>Irsih</t>
  </si>
  <si>
    <t>bishop boys school</t>
  </si>
  <si>
    <t>Bunty</t>
  </si>
  <si>
    <t>Kaoushilya</t>
  </si>
  <si>
    <t>vinid</t>
  </si>
  <si>
    <t>loharo</t>
  </si>
  <si>
    <t>bhaat</t>
  </si>
  <si>
    <t>nilendra</t>
  </si>
  <si>
    <t>Tabrez</t>
  </si>
  <si>
    <t>Ahtar</t>
  </si>
  <si>
    <t>Rastiwadi</t>
  </si>
  <si>
    <t>vinay</t>
  </si>
  <si>
    <t>Goswani</t>
  </si>
  <si>
    <t>Papu</t>
  </si>
  <si>
    <t>lata binna</t>
  </si>
  <si>
    <t>loyola convent</t>
  </si>
  <si>
    <t>Orssad</t>
  </si>
  <si>
    <t>Asif</t>
  </si>
  <si>
    <t>Sham</t>
  </si>
  <si>
    <t>Don bosco kokar</t>
  </si>
  <si>
    <t>vikey</t>
  </si>
  <si>
    <t>SARADHANAND PUBLIC SCHOOL</t>
  </si>
  <si>
    <t>tausif</t>
  </si>
  <si>
    <t>Upshana</t>
  </si>
  <si>
    <t>Upendra</t>
  </si>
  <si>
    <t>Manvijay</t>
  </si>
  <si>
    <t>Amjad</t>
  </si>
  <si>
    <t>Vidhita</t>
  </si>
  <si>
    <t>Rathod</t>
  </si>
  <si>
    <t>Neha</t>
  </si>
  <si>
    <t>Badai</t>
  </si>
  <si>
    <t>Herbal</t>
  </si>
  <si>
    <t>Vicky prasad</t>
  </si>
  <si>
    <t>Cathedral mission High school</t>
  </si>
  <si>
    <t>Azhar</t>
  </si>
  <si>
    <t>Vicky</t>
  </si>
  <si>
    <t>KAIRALI</t>
  </si>
  <si>
    <t>Sumitra</t>
  </si>
  <si>
    <t>pandit</t>
  </si>
  <si>
    <t>Veera</t>
  </si>
  <si>
    <t>Ip English</t>
  </si>
  <si>
    <t>vicky</t>
  </si>
  <si>
    <t>vashundra</t>
  </si>
  <si>
    <t>Vaishvi</t>
  </si>
  <si>
    <t>vashunda</t>
  </si>
  <si>
    <t>bihan</t>
  </si>
  <si>
    <t>vansh</t>
  </si>
  <si>
    <t>dongre</t>
  </si>
  <si>
    <t>sourab</t>
  </si>
  <si>
    <t>Mukherjee</t>
  </si>
  <si>
    <t>Atul</t>
  </si>
  <si>
    <t>Vaishnav</t>
  </si>
  <si>
    <t>ranjish</t>
  </si>
  <si>
    <t>vakil</t>
  </si>
  <si>
    <t>Tapsu</t>
  </si>
  <si>
    <t>panu</t>
  </si>
  <si>
    <t>ranjeet</t>
  </si>
  <si>
    <t>upendar</t>
  </si>
  <si>
    <t>gari</t>
  </si>
  <si>
    <t>Ranjay</t>
  </si>
  <si>
    <t>Rashid</t>
  </si>
  <si>
    <t>Kashir</t>
  </si>
  <si>
    <t>imam</t>
  </si>
  <si>
    <t>ujwal</t>
  </si>
  <si>
    <t>Taslim</t>
  </si>
  <si>
    <t>twinkle</t>
  </si>
  <si>
    <t>Javed</t>
  </si>
  <si>
    <t>DAV Pundag</t>
  </si>
  <si>
    <t>Ushnave</t>
  </si>
  <si>
    <t>Daruvala</t>
  </si>
  <si>
    <t>GIIS</t>
  </si>
  <si>
    <t>Khusbu</t>
  </si>
  <si>
    <t>tarun</t>
  </si>
  <si>
    <t>Jeetandra</t>
  </si>
  <si>
    <t>DPS public school</t>
  </si>
  <si>
    <t>tapan</t>
  </si>
  <si>
    <t>jVm</t>
  </si>
  <si>
    <t>Yashvant</t>
  </si>
  <si>
    <t>Shubam</t>
  </si>
  <si>
    <t>Urmila</t>
  </si>
  <si>
    <t>tanveer</t>
  </si>
  <si>
    <t>MUNDA</t>
  </si>
  <si>
    <t>Ranab</t>
  </si>
  <si>
    <t>Sivani</t>
  </si>
  <si>
    <t>Bodra</t>
  </si>
  <si>
    <t>Upasana</t>
  </si>
  <si>
    <t>tanu</t>
  </si>
  <si>
    <t>tanmay</t>
  </si>
  <si>
    <t>kachchap</t>
  </si>
  <si>
    <t>Gopal chand</t>
  </si>
  <si>
    <t>kum</t>
  </si>
  <si>
    <t>lakhan</t>
  </si>
  <si>
    <t>sardar</t>
  </si>
  <si>
    <t>Rambreet</t>
  </si>
  <si>
    <t>rakki</t>
  </si>
  <si>
    <t>surbhi</t>
  </si>
  <si>
    <t>Uatasav</t>
  </si>
  <si>
    <t>Utsav</t>
  </si>
  <si>
    <t>charles</t>
  </si>
  <si>
    <t>jasipal</t>
  </si>
  <si>
    <t>Baby</t>
  </si>
  <si>
    <t>Uma</t>
  </si>
  <si>
    <t>mohommad</t>
  </si>
  <si>
    <t>zaid</t>
  </si>
  <si>
    <t>sunny</t>
  </si>
  <si>
    <t>m.d.pasliv</t>
  </si>
  <si>
    <t>Deep</t>
  </si>
  <si>
    <t>Ujawal</t>
  </si>
  <si>
    <t>kesari</t>
  </si>
  <si>
    <t>SAN FRANCIS SCHOOL</t>
  </si>
  <si>
    <t>lovely</t>
  </si>
  <si>
    <t>lahangi</t>
  </si>
  <si>
    <t>prem</t>
  </si>
  <si>
    <t>meraj</t>
  </si>
  <si>
    <t>Perskash</t>
  </si>
  <si>
    <t>lokesh</t>
  </si>
  <si>
    <t>Sandeep</t>
  </si>
  <si>
    <t>husian</t>
  </si>
  <si>
    <t>mehul</t>
  </si>
  <si>
    <t>kispotta</t>
  </si>
  <si>
    <t>Praskesh</t>
  </si>
  <si>
    <t>Kendriya vidhyalaya no.1</t>
  </si>
  <si>
    <t>Naharlagun</t>
  </si>
  <si>
    <t>lalu</t>
  </si>
  <si>
    <t>raka</t>
  </si>
  <si>
    <t>ron</t>
  </si>
  <si>
    <t>Uatsav</t>
  </si>
  <si>
    <t>meghina</t>
  </si>
  <si>
    <t>st. francices</t>
  </si>
  <si>
    <t>Mantu</t>
  </si>
  <si>
    <t>shahu</t>
  </si>
  <si>
    <t>Sabinath</t>
  </si>
  <si>
    <t>Shradha nand balvidya mandir</t>
  </si>
  <si>
    <t>lalit</t>
  </si>
  <si>
    <t>Uasa</t>
  </si>
  <si>
    <t>Soren</t>
  </si>
  <si>
    <t>Aryaa</t>
  </si>
  <si>
    <t>Lourance public school</t>
  </si>
  <si>
    <t>BISHOP BOYS SCHOOL</t>
  </si>
  <si>
    <t>MInz</t>
  </si>
  <si>
    <t>bridge ford</t>
  </si>
  <si>
    <t>lala</t>
  </si>
  <si>
    <t>Tushar</t>
  </si>
  <si>
    <t>arora</t>
  </si>
  <si>
    <t>lugun</t>
  </si>
  <si>
    <t>kakshman</t>
  </si>
  <si>
    <t>dav baritu</t>
  </si>
  <si>
    <t>marajan</t>
  </si>
  <si>
    <t>jiha</t>
  </si>
  <si>
    <t>sumeet</t>
  </si>
  <si>
    <t>Sabita</t>
  </si>
  <si>
    <t>hm public school</t>
  </si>
  <si>
    <t>MANTU</t>
  </si>
  <si>
    <t>MISHRA</t>
  </si>
  <si>
    <t>Dav,bariyatu</t>
  </si>
  <si>
    <t>Tanuu</t>
  </si>
  <si>
    <t>st. thomas</t>
  </si>
  <si>
    <t>Ruhi</t>
  </si>
  <si>
    <t>rajender</t>
  </si>
  <si>
    <t>lago</t>
  </si>
  <si>
    <t>Bishnu</t>
  </si>
  <si>
    <t>ahuja</t>
  </si>
  <si>
    <t>Ranjit</t>
  </si>
  <si>
    <t>ladu</t>
  </si>
  <si>
    <t>Sanju</t>
  </si>
  <si>
    <t>manjit</t>
  </si>
  <si>
    <t>Chopra</t>
  </si>
  <si>
    <t>Ssvk</t>
  </si>
  <si>
    <t>sumana</t>
  </si>
  <si>
    <t>Kushal</t>
  </si>
  <si>
    <t>kushal</t>
  </si>
  <si>
    <t>Shubahm</t>
  </si>
  <si>
    <t>Karin</t>
  </si>
  <si>
    <t>Mahek</t>
  </si>
  <si>
    <t>Dhiraj</t>
  </si>
  <si>
    <t>kundan</t>
  </si>
  <si>
    <t>Shri</t>
  </si>
  <si>
    <t>Komd</t>
  </si>
  <si>
    <t>chitransh</t>
  </si>
  <si>
    <t>aftab</t>
  </si>
  <si>
    <t>Nandu</t>
  </si>
  <si>
    <t>Sourabh</t>
  </si>
  <si>
    <t>Debashis</t>
  </si>
  <si>
    <t>Jaweed</t>
  </si>
  <si>
    <t>Shohaib</t>
  </si>
  <si>
    <t>Anusha</t>
  </si>
  <si>
    <t>Kachap</t>
  </si>
  <si>
    <t>St. Francis public school</t>
  </si>
  <si>
    <t>Anshu</t>
  </si>
  <si>
    <t>garg</t>
  </si>
  <si>
    <t>St Stephen</t>
  </si>
  <si>
    <t>Shivlal</t>
  </si>
  <si>
    <t>shahedeo</t>
  </si>
  <si>
    <t>Tonni</t>
  </si>
  <si>
    <t>Sid</t>
  </si>
  <si>
    <t>Kamlesh</t>
  </si>
  <si>
    <t>Bal Govind</t>
  </si>
  <si>
    <t>Bitu</t>
  </si>
  <si>
    <t>Shivangi singh</t>
  </si>
  <si>
    <t>Chauhan</t>
  </si>
  <si>
    <t>Jafar</t>
  </si>
  <si>
    <t>Sumina</t>
  </si>
  <si>
    <t>Shishu</t>
  </si>
  <si>
    <t>Islam</t>
  </si>
  <si>
    <t>Nusrat</t>
  </si>
  <si>
    <t>Gulaabo</t>
  </si>
  <si>
    <t>singhaniya</t>
  </si>
  <si>
    <t>Sima</t>
  </si>
  <si>
    <t>Shasvat</t>
  </si>
  <si>
    <t>guljar</t>
  </si>
  <si>
    <t>Sonali</t>
  </si>
  <si>
    <t>Jushuf</t>
  </si>
  <si>
    <t>Sujeet</t>
  </si>
  <si>
    <t>Farwaz</t>
  </si>
  <si>
    <t>sujal</t>
  </si>
  <si>
    <t>Ravind</t>
  </si>
  <si>
    <t>St.charkles</t>
  </si>
  <si>
    <t>Larkra</t>
  </si>
  <si>
    <t>gope9</t>
  </si>
  <si>
    <t>Jahangir</t>
  </si>
  <si>
    <t>Mangal</t>
  </si>
  <si>
    <t>Oraon</t>
  </si>
  <si>
    <t>sufiyan</t>
  </si>
  <si>
    <t>kamar</t>
  </si>
  <si>
    <t>ST. LAWRENCE</t>
  </si>
  <si>
    <t>Najarul</t>
  </si>
  <si>
    <t>sudesh</t>
  </si>
  <si>
    <t>Ravina</t>
  </si>
  <si>
    <t>goswami</t>
  </si>
  <si>
    <t>H.M PUBLIC SCHOOL</t>
  </si>
  <si>
    <t>Suder</t>
  </si>
  <si>
    <t>sri</t>
  </si>
  <si>
    <t>vir</t>
  </si>
  <si>
    <t>Afjal</t>
  </si>
  <si>
    <t>Spandan</t>
  </si>
  <si>
    <t>Bisht</t>
  </si>
  <si>
    <t>kohli</t>
  </si>
  <si>
    <t>kuldeep</t>
  </si>
  <si>
    <t>st.luies</t>
  </si>
  <si>
    <t>Rima</t>
  </si>
  <si>
    <t>sohid</t>
  </si>
  <si>
    <t>sobha</t>
  </si>
  <si>
    <t>sid</t>
  </si>
  <si>
    <t>xaviers</t>
  </si>
  <si>
    <t>Nishi</t>
  </si>
  <si>
    <t>SHARDA GLOBAL SCHOOL</t>
  </si>
  <si>
    <t>VVM schoo</t>
  </si>
  <si>
    <t>anand</t>
  </si>
  <si>
    <t>Resham</t>
  </si>
  <si>
    <t>krish</t>
  </si>
  <si>
    <t>Rabender</t>
  </si>
  <si>
    <t>Prakesh midile school</t>
  </si>
  <si>
    <t>mamta</t>
  </si>
  <si>
    <t>Kajal</t>
  </si>
  <si>
    <t>koushal</t>
  </si>
  <si>
    <t>shudur</t>
  </si>
  <si>
    <t>Soniya</t>
  </si>
  <si>
    <t>Goli</t>
  </si>
  <si>
    <t>Aakash</t>
  </si>
  <si>
    <t>Sonal</t>
  </si>
  <si>
    <t>dav pundag</t>
  </si>
  <si>
    <t>THS</t>
  </si>
  <si>
    <t>Sai</t>
  </si>
  <si>
    <t>enterprises</t>
  </si>
  <si>
    <t>mahesh</t>
  </si>
  <si>
    <t>Rajeah</t>
  </si>
  <si>
    <t>m.n</t>
  </si>
  <si>
    <t>Afzal</t>
  </si>
  <si>
    <t>kk</t>
  </si>
  <si>
    <t>Hm</t>
  </si>
  <si>
    <t>sazid</t>
  </si>
  <si>
    <t>muhammad</t>
  </si>
  <si>
    <t>DAV dhurwa</t>
  </si>
  <si>
    <t>Diksha</t>
  </si>
  <si>
    <t>Soloni</t>
  </si>
  <si>
    <t>Singhania</t>
  </si>
  <si>
    <t>kilik</t>
  </si>
  <si>
    <t>Rais high school</t>
  </si>
  <si>
    <t>Thane</t>
  </si>
  <si>
    <t>khurid</t>
  </si>
  <si>
    <t>Gossener</t>
  </si>
  <si>
    <t>Mishva</t>
  </si>
  <si>
    <t>NEST PUBLIC SCHOOL</t>
  </si>
  <si>
    <t>Prabhash</t>
  </si>
  <si>
    <t>Pradip</t>
  </si>
  <si>
    <t>Ruchika</t>
  </si>
  <si>
    <t>Siya</t>
  </si>
  <si>
    <t>Dipu</t>
  </si>
  <si>
    <t>Zora</t>
  </si>
  <si>
    <t>Aftav</t>
  </si>
  <si>
    <t>Kri.</t>
  </si>
  <si>
    <t>St. thomas</t>
  </si>
  <si>
    <t>Rajen</t>
  </si>
  <si>
    <t>Kavishra</t>
  </si>
  <si>
    <t>Viraj</t>
  </si>
  <si>
    <t>Bhatt</t>
  </si>
  <si>
    <t>saurabh</t>
  </si>
  <si>
    <t>Bhenswar</t>
  </si>
  <si>
    <t>Punu</t>
  </si>
  <si>
    <t>David</t>
  </si>
  <si>
    <t>Shudhika</t>
  </si>
  <si>
    <t>Rajan</t>
  </si>
  <si>
    <t>rajpramod</t>
  </si>
  <si>
    <t>Bhumi</t>
  </si>
  <si>
    <t>pramod</t>
  </si>
  <si>
    <t>Priyam</t>
  </si>
  <si>
    <t>Swami pranabananda vidyapith</t>
  </si>
  <si>
    <t>Harmman</t>
  </si>
  <si>
    <t>Preet</t>
  </si>
  <si>
    <t>Kamaljeet</t>
  </si>
  <si>
    <t>Horro</t>
  </si>
  <si>
    <t>Eshar</t>
  </si>
  <si>
    <t>Milangrah balika vidyalaya</t>
  </si>
  <si>
    <t>HMPL singh</t>
  </si>
  <si>
    <t>Noddy</t>
  </si>
  <si>
    <t>v</t>
  </si>
  <si>
    <t>Ragini</t>
  </si>
  <si>
    <t>Anandshree</t>
  </si>
  <si>
    <t>Miraj</t>
  </si>
  <si>
    <t>Raghuwender</t>
  </si>
  <si>
    <t>Ritu Raj</t>
  </si>
  <si>
    <t>DAV pundag</t>
  </si>
  <si>
    <t>Bridge ford school</t>
  </si>
  <si>
    <t>Isha</t>
  </si>
  <si>
    <t>Rupa</t>
  </si>
  <si>
    <t>Apurv</t>
  </si>
  <si>
    <t>Raghu</t>
  </si>
  <si>
    <t>Pk</t>
  </si>
  <si>
    <t>RAHUL</t>
  </si>
  <si>
    <t>Tender Heart</t>
  </si>
  <si>
    <t>Birbal</t>
  </si>
  <si>
    <t>H.mpublic school</t>
  </si>
  <si>
    <t>Gopalgosi</t>
  </si>
  <si>
    <t>Baal vidhyalay mandir</t>
  </si>
  <si>
    <t>Preeti</t>
  </si>
  <si>
    <t>Holy Convent school</t>
  </si>
  <si>
    <t>Arjun</t>
  </si>
  <si>
    <t>rk</t>
  </si>
  <si>
    <t>puskar</t>
  </si>
  <si>
    <t>punit</t>
  </si>
  <si>
    <t>khalid</t>
  </si>
  <si>
    <t>hasan</t>
  </si>
  <si>
    <t>visionford</t>
  </si>
  <si>
    <t>Ahahna</t>
  </si>
  <si>
    <t>Fernandex</t>
  </si>
  <si>
    <t>Keshar</t>
  </si>
  <si>
    <t>kaushik</t>
  </si>
  <si>
    <t>chowdury</t>
  </si>
  <si>
    <t>bishop westcottt</t>
  </si>
  <si>
    <t>Dombosco</t>
  </si>
  <si>
    <t>puni</t>
  </si>
  <si>
    <t>karan</t>
  </si>
  <si>
    <t>punam</t>
  </si>
  <si>
    <t>r</t>
  </si>
  <si>
    <t>balmuchu</t>
  </si>
  <si>
    <t>St. Stephen</t>
  </si>
  <si>
    <t>Sumitsahu</t>
  </si>
  <si>
    <t>kanchan</t>
  </si>
  <si>
    <t>Faruk</t>
  </si>
  <si>
    <t>Kalicharan</t>
  </si>
  <si>
    <t>kalicharan</t>
  </si>
  <si>
    <t>kaif</t>
  </si>
  <si>
    <t>jhuwe</t>
  </si>
  <si>
    <t>oxford public school</t>
  </si>
  <si>
    <t>Royal</t>
  </si>
  <si>
    <t>Rittu</t>
  </si>
  <si>
    <t>jhaji</t>
  </si>
  <si>
    <t>store</t>
  </si>
  <si>
    <t>jayaram</t>
  </si>
  <si>
    <t>Arpan</t>
  </si>
  <si>
    <t>TIgga</t>
  </si>
  <si>
    <t>jaydeep</t>
  </si>
  <si>
    <t>karali</t>
  </si>
  <si>
    <t>Rita</t>
  </si>
  <si>
    <t>jayant</t>
  </si>
  <si>
    <t>Akslish</t>
  </si>
  <si>
    <t>Mandeep</t>
  </si>
  <si>
    <t>Narmila</t>
  </si>
  <si>
    <t>lagoon</t>
  </si>
  <si>
    <t>ujala</t>
  </si>
  <si>
    <t>Lalarajput ray high school</t>
  </si>
  <si>
    <t>H. M public school</t>
  </si>
  <si>
    <t>Bandox</t>
  </si>
  <si>
    <t>Mamlesh</t>
  </si>
  <si>
    <t>V.A</t>
  </si>
  <si>
    <t>SBOA matic &amp; hr sec school</t>
  </si>
  <si>
    <t>Chennai</t>
  </si>
  <si>
    <t>Parteek</t>
  </si>
  <si>
    <t>Mittal</t>
  </si>
  <si>
    <t>Arya se sec school</t>
  </si>
  <si>
    <t>Panipat</t>
  </si>
  <si>
    <t>Bharat ji saraswati inter college aonla</t>
  </si>
  <si>
    <t>Bareilly</t>
  </si>
  <si>
    <t>Ayan</t>
  </si>
  <si>
    <t>Payani</t>
  </si>
  <si>
    <t>Het</t>
  </si>
  <si>
    <t>Swaminarayan</t>
  </si>
  <si>
    <t>Krimal</t>
  </si>
  <si>
    <t>School of achiever</t>
  </si>
  <si>
    <t>Jaymin</t>
  </si>
  <si>
    <t>Arjun english school</t>
  </si>
  <si>
    <t>Joseph</t>
  </si>
  <si>
    <t>Neharika</t>
  </si>
  <si>
    <t>Vedant</t>
  </si>
  <si>
    <t>Sawanday</t>
  </si>
  <si>
    <t>Ananya</t>
  </si>
  <si>
    <t>Priyansh</t>
  </si>
  <si>
    <t>Best primary</t>
  </si>
  <si>
    <t>A.kushagra</t>
  </si>
  <si>
    <t>Divan ballu</t>
  </si>
  <si>
    <t>Bandna</t>
  </si>
  <si>
    <t>Good shepherd</t>
  </si>
  <si>
    <t>Godare</t>
  </si>
  <si>
    <t>Mansi</t>
  </si>
  <si>
    <t>Doon</t>
  </si>
  <si>
    <t>Hebron</t>
  </si>
  <si>
    <t>Ansh</t>
  </si>
  <si>
    <t>Sattra</t>
  </si>
  <si>
    <t>Plsv</t>
  </si>
  <si>
    <t>Yodara</t>
  </si>
  <si>
    <t>Goyeljiya</t>
  </si>
  <si>
    <t>Sattva</t>
  </si>
  <si>
    <t>Jannat</t>
  </si>
  <si>
    <t>Shaikh</t>
  </si>
  <si>
    <t>Lotus</t>
  </si>
  <si>
    <t>Rahi</t>
  </si>
  <si>
    <t>DIVINE LIFE</t>
  </si>
  <si>
    <t>KaPta</t>
  </si>
  <si>
    <t>RHKAPDIYA</t>
  </si>
  <si>
    <t>Kosh</t>
  </si>
  <si>
    <t>SDA</t>
  </si>
  <si>
    <t>Khatra</t>
  </si>
  <si>
    <t>CCIS</t>
  </si>
  <si>
    <t>Melove</t>
  </si>
  <si>
    <t>Shrijani</t>
  </si>
  <si>
    <t>Bhakshi</t>
  </si>
  <si>
    <t>Omble</t>
  </si>
  <si>
    <t>Jay somanth</t>
  </si>
  <si>
    <t>Kirtanjani</t>
  </si>
  <si>
    <t>Itkarsh</t>
  </si>
  <si>
    <t>S.D.A</t>
  </si>
  <si>
    <t>Christian</t>
  </si>
  <si>
    <t>Clerin</t>
  </si>
  <si>
    <t>Maithil</t>
  </si>
  <si>
    <t>Pooja</t>
  </si>
  <si>
    <t>Utpal</t>
  </si>
  <si>
    <t>Manthan</t>
  </si>
  <si>
    <t>D.S.O.E</t>
  </si>
  <si>
    <t>Them</t>
  </si>
  <si>
    <t>Jorin</t>
  </si>
  <si>
    <t>Ghomas</t>
  </si>
  <si>
    <t>Sevak</t>
  </si>
  <si>
    <t>Divan</t>
  </si>
  <si>
    <t>S.N.C.S</t>
  </si>
  <si>
    <t>B</t>
  </si>
  <si>
    <t>Ass</t>
  </si>
  <si>
    <t>Abhiraj</t>
  </si>
  <si>
    <t>Massey</t>
  </si>
  <si>
    <t>GLS</t>
  </si>
  <si>
    <t>Dharmlk</t>
  </si>
  <si>
    <t>KVM</t>
  </si>
  <si>
    <t>Pratham</t>
  </si>
  <si>
    <t>Harekrishna</t>
  </si>
  <si>
    <t>Bhtt</t>
  </si>
  <si>
    <t>Hiramani</t>
  </si>
  <si>
    <t>Bhavy</t>
  </si>
  <si>
    <t>Lalvani</t>
  </si>
  <si>
    <t>Nirmaan</t>
  </si>
  <si>
    <t>Mrunal</t>
  </si>
  <si>
    <t>Zala</t>
  </si>
  <si>
    <t>H.B.K</t>
  </si>
  <si>
    <t>Priyesh</t>
  </si>
  <si>
    <t>Cosmos</t>
  </si>
  <si>
    <t>Dhruva</t>
  </si>
  <si>
    <t>Heer</t>
  </si>
  <si>
    <t>Kumud</t>
  </si>
  <si>
    <t>Chak</t>
  </si>
  <si>
    <t>Fenny</t>
  </si>
  <si>
    <t>Jay Somanth</t>
  </si>
  <si>
    <t>Anexi</t>
  </si>
  <si>
    <t>Vansaj</t>
  </si>
  <si>
    <t>Koushik</t>
  </si>
  <si>
    <t>Dhruvil</t>
  </si>
  <si>
    <t>Rudra</t>
  </si>
  <si>
    <t>Sattva school</t>
  </si>
  <si>
    <t>Bikas</t>
  </si>
  <si>
    <t>Heabron</t>
  </si>
  <si>
    <t>Pinku</t>
  </si>
  <si>
    <t>St. Louis school</t>
  </si>
  <si>
    <t>Saini</t>
  </si>
  <si>
    <t>Verama</t>
  </si>
  <si>
    <t>Sudip</t>
  </si>
  <si>
    <t>S.t public school</t>
  </si>
  <si>
    <t>Azam</t>
  </si>
  <si>
    <t>Nalson</t>
  </si>
  <si>
    <t>Sudhan</t>
  </si>
  <si>
    <t>Salim</t>
  </si>
  <si>
    <t>Tank</t>
  </si>
  <si>
    <t>A-ONE</t>
  </si>
  <si>
    <t>Nakul</t>
  </si>
  <si>
    <t>Kacchapp</t>
  </si>
  <si>
    <t>Tirkey</t>
  </si>
  <si>
    <t>St xaviers</t>
  </si>
  <si>
    <t>Barik</t>
  </si>
  <si>
    <t>Chirag</t>
  </si>
  <si>
    <t>Makhwana</t>
  </si>
  <si>
    <t>T.</t>
  </si>
  <si>
    <t>Hiya</t>
  </si>
  <si>
    <t>Shahu</t>
  </si>
  <si>
    <t>EURO</t>
  </si>
  <si>
    <t>Manal</t>
  </si>
  <si>
    <t>GNS</t>
  </si>
  <si>
    <t>Meet</t>
  </si>
  <si>
    <t>Gokul</t>
  </si>
  <si>
    <t>Sweta</t>
  </si>
  <si>
    <t>Akhash</t>
  </si>
  <si>
    <t>Vadgana</t>
  </si>
  <si>
    <t>Bidisha</t>
  </si>
  <si>
    <t>Datta</t>
  </si>
  <si>
    <t>Podar international school</t>
  </si>
  <si>
    <t>Devang</t>
  </si>
  <si>
    <t>SSIS</t>
  </si>
  <si>
    <t>Rudrax</t>
  </si>
  <si>
    <t>Tirth</t>
  </si>
  <si>
    <t>B.</t>
  </si>
  <si>
    <t>Terf</t>
  </si>
  <si>
    <t>Parshvi</t>
  </si>
  <si>
    <t>Mahendra</t>
  </si>
  <si>
    <t>Princy</t>
  </si>
  <si>
    <t>K.R Rawal</t>
  </si>
  <si>
    <t>Shashi</t>
  </si>
  <si>
    <t>Nehra</t>
  </si>
  <si>
    <t>Shrey</t>
  </si>
  <si>
    <t>Nutan</t>
  </si>
  <si>
    <t>Arintam</t>
  </si>
  <si>
    <t>KVS</t>
  </si>
  <si>
    <t>Jhanvi</t>
  </si>
  <si>
    <t>Mirambika</t>
  </si>
  <si>
    <t>Clarissa</t>
  </si>
  <si>
    <t>D'souza</t>
  </si>
  <si>
    <t>St Louis convent High school</t>
  </si>
  <si>
    <t>Akshara</t>
  </si>
  <si>
    <t>P.l.S</t>
  </si>
  <si>
    <t>Aaryan</t>
  </si>
  <si>
    <t>Vyas</t>
  </si>
  <si>
    <t>IDP campus</t>
  </si>
  <si>
    <t>Paresh</t>
  </si>
  <si>
    <t>Alfiya</t>
  </si>
  <si>
    <t>JPS</t>
  </si>
  <si>
    <t>Demanyu</t>
  </si>
  <si>
    <t>Asia</t>
  </si>
  <si>
    <t>Gomase</t>
  </si>
  <si>
    <t>Trisha</t>
  </si>
  <si>
    <t>Pandhya</t>
  </si>
  <si>
    <t>Jainil</t>
  </si>
  <si>
    <t>K.V</t>
  </si>
  <si>
    <t>Saumya</t>
  </si>
  <si>
    <t>Swami Narayan</t>
  </si>
  <si>
    <t>Rishit</t>
  </si>
  <si>
    <t>Kr Raval</t>
  </si>
  <si>
    <t>Yug</t>
  </si>
  <si>
    <t>Kr raval</t>
  </si>
  <si>
    <t>Brajesh</t>
  </si>
  <si>
    <t>Pishir</t>
  </si>
  <si>
    <t>HBK</t>
  </si>
  <si>
    <t>Shivangi</t>
  </si>
  <si>
    <t>Singh Rajput</t>
  </si>
  <si>
    <t>Nakshtra</t>
  </si>
  <si>
    <t>Bright school</t>
  </si>
  <si>
    <t>Patle</t>
  </si>
  <si>
    <t>Anunay</t>
  </si>
  <si>
    <t>Kush</t>
  </si>
  <si>
    <t>Acharya</t>
  </si>
  <si>
    <t>asia</t>
  </si>
  <si>
    <t>Amrut English school</t>
  </si>
  <si>
    <t>Sushil</t>
  </si>
  <si>
    <t>Nemil</t>
  </si>
  <si>
    <t>A-one</t>
  </si>
  <si>
    <t>Panth</t>
  </si>
  <si>
    <t>Anay</t>
  </si>
  <si>
    <t>Sray</t>
  </si>
  <si>
    <t>Nalanda</t>
  </si>
  <si>
    <t>Sakar English school</t>
  </si>
  <si>
    <t>Pari</t>
  </si>
  <si>
    <t>Parekh</t>
  </si>
  <si>
    <t>Sashi</t>
  </si>
  <si>
    <t>Jenica</t>
  </si>
  <si>
    <t>P.l.s</t>
  </si>
  <si>
    <t>Devansh</t>
  </si>
  <si>
    <t>Megani</t>
  </si>
  <si>
    <t>St.Anss high school</t>
  </si>
  <si>
    <t>Pushkar</t>
  </si>
  <si>
    <t>Dayanand school</t>
  </si>
  <si>
    <t>Lala Lajpat Rai</t>
  </si>
  <si>
    <t>Kerali public school</t>
  </si>
  <si>
    <t>chinmay</t>
  </si>
  <si>
    <t>Rowshan</t>
  </si>
  <si>
    <t>chetanya</t>
  </si>
  <si>
    <t>Daksh</t>
  </si>
  <si>
    <t>chandan</t>
  </si>
  <si>
    <t>JVM SHYAMALI</t>
  </si>
  <si>
    <t>Delip</t>
  </si>
  <si>
    <t>Jharkhand public</t>
  </si>
  <si>
    <t>Chadan</t>
  </si>
  <si>
    <t>St.zeveyears</t>
  </si>
  <si>
    <t>bingy</t>
  </si>
  <si>
    <t>Deepake</t>
  </si>
  <si>
    <t>bhaskar</t>
  </si>
  <si>
    <t>Rajwar</t>
  </si>
  <si>
    <t>Maitree</t>
  </si>
  <si>
    <t>hingu</t>
  </si>
  <si>
    <t>Ladhima</t>
  </si>
  <si>
    <t>jere</t>
  </si>
  <si>
    <t>ZYDUS</t>
  </si>
  <si>
    <t>barat</t>
  </si>
  <si>
    <t>vidhi</t>
  </si>
  <si>
    <t>Panjabi</t>
  </si>
  <si>
    <t>MTCARMEL</t>
  </si>
  <si>
    <t>Bhumika</t>
  </si>
  <si>
    <t>J</t>
  </si>
  <si>
    <t>NALANDA VIDYALAY</t>
  </si>
  <si>
    <t>banky</t>
  </si>
  <si>
    <t>BERLIN PUBLIC SCHOOL</t>
  </si>
  <si>
    <t>Chbbey</t>
  </si>
  <si>
    <t>Jipsi</t>
  </si>
  <si>
    <t>Rishka singh</t>
  </si>
  <si>
    <t>Deeksha</t>
  </si>
  <si>
    <t>bankim</t>
  </si>
  <si>
    <t>Debasish</t>
  </si>
  <si>
    <t>baja hari</t>
  </si>
  <si>
    <t>D.S</t>
  </si>
  <si>
    <t>bahu</t>
  </si>
  <si>
    <t>Chotu</t>
  </si>
  <si>
    <t>Jayant</t>
  </si>
  <si>
    <t>Choto</t>
  </si>
  <si>
    <t>azhar</t>
  </si>
  <si>
    <t>Chotan</t>
  </si>
  <si>
    <t>ayushman</t>
  </si>
  <si>
    <t>Rijawan</t>
  </si>
  <si>
    <t>Guru nana k secondary school</t>
  </si>
  <si>
    <t>Rjhka</t>
  </si>
  <si>
    <t>Kumar1</t>
  </si>
  <si>
    <t>harish</t>
  </si>
  <si>
    <t>ratho</t>
  </si>
  <si>
    <t>Chanchal</t>
  </si>
  <si>
    <t>Dav kapil dev</t>
  </si>
  <si>
    <t>Biswanath</t>
  </si>
  <si>
    <t>Gangapuri siksha sadam high school</t>
  </si>
  <si>
    <t>Raj Singh</t>
  </si>
  <si>
    <t>Haroorat</t>
  </si>
  <si>
    <t>Ajhar</t>
  </si>
  <si>
    <t>Bipul</t>
  </si>
  <si>
    <t>Mintu</t>
  </si>
  <si>
    <t>karali school</t>
  </si>
  <si>
    <t>Bimlesh</t>
  </si>
  <si>
    <t>Darshay</t>
  </si>
  <si>
    <t>Kri</t>
  </si>
  <si>
    <t>Ranvir</t>
  </si>
  <si>
    <t>Nirmale</t>
  </si>
  <si>
    <t>Bhuvnesh</t>
  </si>
  <si>
    <t>asif</t>
  </si>
  <si>
    <t>rise academy</t>
  </si>
  <si>
    <t>oxfard</t>
  </si>
  <si>
    <t>Ambani</t>
  </si>
  <si>
    <t>G.I.I.S</t>
  </si>
  <si>
    <t>Rajhansh</t>
  </si>
  <si>
    <t>Tender heart</t>
  </si>
  <si>
    <t>Bhanu</t>
  </si>
  <si>
    <t>Sadabh</t>
  </si>
  <si>
    <t>balswar</t>
  </si>
  <si>
    <t>keseri</t>
  </si>
  <si>
    <t>Pratap</t>
  </si>
  <si>
    <t>sarla</t>
  </si>
  <si>
    <t>sankar</t>
  </si>
  <si>
    <t>Sarla Birla Public School</t>
  </si>
  <si>
    <t>K</t>
  </si>
  <si>
    <t>Binit</t>
  </si>
  <si>
    <t>baleshwar</t>
  </si>
  <si>
    <t>Shayan</t>
  </si>
  <si>
    <t>Baladeep</t>
  </si>
  <si>
    <t>sonal</t>
  </si>
  <si>
    <t>Badhal</t>
  </si>
  <si>
    <t>Mahta</t>
  </si>
  <si>
    <t>badrinath</t>
  </si>
  <si>
    <t>Oxford Public School</t>
  </si>
  <si>
    <t>Adil</t>
  </si>
  <si>
    <t>Sumitr</t>
  </si>
  <si>
    <t>Zakir</t>
  </si>
  <si>
    <t>Rounak</t>
  </si>
  <si>
    <t>Aswin</t>
  </si>
  <si>
    <t>Gargi</t>
  </si>
  <si>
    <t>kapil</t>
  </si>
  <si>
    <t>Goginder</t>
  </si>
  <si>
    <t>Mrityunjay</t>
  </si>
  <si>
    <t>Mithun</t>
  </si>
  <si>
    <t>Gopichand</t>
  </si>
  <si>
    <t>poonia</t>
  </si>
  <si>
    <t>Phuskar</t>
  </si>
  <si>
    <t>Kv public school</t>
  </si>
  <si>
    <t>Ekbal</t>
  </si>
  <si>
    <t>Jaydeep</t>
  </si>
  <si>
    <t>Jayanta</t>
  </si>
  <si>
    <t>Romesh</t>
  </si>
  <si>
    <t>St.marry school</t>
  </si>
  <si>
    <t>Indumati</t>
  </si>
  <si>
    <t>Akshat</t>
  </si>
  <si>
    <t>a</t>
  </si>
  <si>
    <t>Shuub</t>
  </si>
  <si>
    <t>Bablusahu</t>
  </si>
  <si>
    <t>rima</t>
  </si>
  <si>
    <t>Mahima</t>
  </si>
  <si>
    <t>Oxfard</t>
  </si>
  <si>
    <t>Tunnu</t>
  </si>
  <si>
    <t>Sanoj</t>
  </si>
  <si>
    <t>Bahu</t>
  </si>
  <si>
    <t>Rakhi</t>
  </si>
  <si>
    <t>anurag</t>
  </si>
  <si>
    <t>mathlo</t>
  </si>
  <si>
    <t>Dav,hehal</t>
  </si>
  <si>
    <t>arun</t>
  </si>
  <si>
    <t>aingh</t>
  </si>
  <si>
    <t>svm school</t>
  </si>
  <si>
    <t>Praful</t>
  </si>
  <si>
    <t>huamana</t>
  </si>
  <si>
    <t>Bahari</t>
  </si>
  <si>
    <t>Sarla birla</t>
  </si>
  <si>
    <t>Horshid</t>
  </si>
  <si>
    <t>Kesari</t>
  </si>
  <si>
    <t>rastogi</t>
  </si>
  <si>
    <t>H.m public school</t>
  </si>
  <si>
    <t>Harilal</t>
  </si>
  <si>
    <t>St Lawrence</t>
  </si>
  <si>
    <t>Gaurab</t>
  </si>
  <si>
    <t>kumra</t>
  </si>
  <si>
    <t>ASUTOSH</t>
  </si>
  <si>
    <t>Astha</t>
  </si>
  <si>
    <t>Dayanand</t>
  </si>
  <si>
    <t>Shubh</t>
  </si>
  <si>
    <t>Himardree</t>
  </si>
  <si>
    <t>Sandhya</t>
  </si>
  <si>
    <t>st paul</t>
  </si>
  <si>
    <t>Harshita</t>
  </si>
  <si>
    <t>Dav,kapildev</t>
  </si>
  <si>
    <t>Ashmito</t>
  </si>
  <si>
    <t>SAS</t>
  </si>
  <si>
    <t>ashok</t>
  </si>
  <si>
    <t>shaik</t>
  </si>
  <si>
    <t>Modern high school</t>
  </si>
  <si>
    <t>Guntur distr</t>
  </si>
  <si>
    <t>tiga</t>
  </si>
  <si>
    <t>Kapil dev</t>
  </si>
  <si>
    <t>Bishop boys school</t>
  </si>
  <si>
    <t>ashmat</t>
  </si>
  <si>
    <t>samu</t>
  </si>
  <si>
    <t>Prabodh</t>
  </si>
  <si>
    <t>Hasim</t>
  </si>
  <si>
    <t>Sharvan</t>
  </si>
  <si>
    <t>Asha</t>
  </si>
  <si>
    <t>Oro</t>
  </si>
  <si>
    <t>Jesmin</t>
  </si>
  <si>
    <t>Mahmud</t>
  </si>
  <si>
    <t>ARYAN</t>
  </si>
  <si>
    <t>MODI</t>
  </si>
  <si>
    <t>Hardeep</t>
  </si>
  <si>
    <t>asha</t>
  </si>
  <si>
    <t>Sunala</t>
  </si>
  <si>
    <t>Eklavya</t>
  </si>
  <si>
    <t>ARYAN PATEL</t>
  </si>
  <si>
    <t>SARVAYUGAN</t>
  </si>
  <si>
    <t>Bridgeford</t>
  </si>
  <si>
    <t>aashish</t>
  </si>
  <si>
    <t>bishop</t>
  </si>
  <si>
    <t>A.p.s</t>
  </si>
  <si>
    <t>warsi</t>
  </si>
  <si>
    <t>vk memorial</t>
  </si>
  <si>
    <t>sanju</t>
  </si>
  <si>
    <t>Aruhi</t>
  </si>
  <si>
    <t>arpit</t>
  </si>
  <si>
    <t>xalxo</t>
  </si>
  <si>
    <t>Lapuru</t>
  </si>
  <si>
    <t>jawed</t>
  </si>
  <si>
    <t>Yougesh</t>
  </si>
  <si>
    <t>Prakesh public school</t>
  </si>
  <si>
    <t>baksi</t>
  </si>
  <si>
    <t>bhuyian</t>
  </si>
  <si>
    <t>arpan</t>
  </si>
  <si>
    <t>Suphrana</t>
  </si>
  <si>
    <t>Yuvraj</t>
  </si>
  <si>
    <t>Giri</t>
  </si>
  <si>
    <t>arjun</t>
  </si>
  <si>
    <t>Vir</t>
  </si>
  <si>
    <t>Vijendra</t>
  </si>
  <si>
    <t>bipul</t>
  </si>
  <si>
    <t>Anuragh</t>
  </si>
  <si>
    <t>Arjas</t>
  </si>
  <si>
    <t>Siau mandir</t>
  </si>
  <si>
    <t>Harinath</t>
  </si>
  <si>
    <t>Sradhanand Baal vidhya Mandir</t>
  </si>
  <si>
    <t>Tupan</t>
  </si>
  <si>
    <t>ariz</t>
  </si>
  <si>
    <t>kachap</t>
  </si>
  <si>
    <t>Udit</t>
  </si>
  <si>
    <t>M.</t>
  </si>
  <si>
    <t>Gupata</t>
  </si>
  <si>
    <t>Gyanvi</t>
  </si>
  <si>
    <t>Govindsingh238@gmail.com</t>
  </si>
  <si>
    <t>Ansu</t>
  </si>
  <si>
    <t>Israr</t>
  </si>
  <si>
    <t>Siddhanth</t>
  </si>
  <si>
    <t>ANSHUKA</t>
  </si>
  <si>
    <t>JAMDADE</t>
  </si>
  <si>
    <t>Aline</t>
  </si>
  <si>
    <t>Sudas</t>
  </si>
  <si>
    <t>anzar</t>
  </si>
  <si>
    <t>shekh</t>
  </si>
  <si>
    <t>golu</t>
  </si>
  <si>
    <t>San francis school</t>
  </si>
  <si>
    <t>anshu</t>
  </si>
  <si>
    <t>Gautum</t>
  </si>
  <si>
    <t>Sheetash</t>
  </si>
  <si>
    <t>Pram</t>
  </si>
  <si>
    <t>gupata</t>
  </si>
  <si>
    <t>Dav. Durwa</t>
  </si>
  <si>
    <t>janti</t>
  </si>
  <si>
    <t>Mk</t>
  </si>
  <si>
    <t>ANURAG</t>
  </si>
  <si>
    <t>Gandhi</t>
  </si>
  <si>
    <t>Shanti</t>
  </si>
  <si>
    <t>kumri</t>
  </si>
  <si>
    <t>Divyika</t>
  </si>
  <si>
    <t>\singh</t>
  </si>
  <si>
    <t>Namandev</t>
  </si>
  <si>
    <t>st marry</t>
  </si>
  <si>
    <t>ganesh</t>
  </si>
  <si>
    <t>KASHYAP</t>
  </si>
  <si>
    <t>Carmelo school</t>
  </si>
  <si>
    <t>Feroz</t>
  </si>
  <si>
    <t>Shamma</t>
  </si>
  <si>
    <t>faruk</t>
  </si>
  <si>
    <t>Sanchita</t>
  </si>
  <si>
    <t>Shraddha</t>
  </si>
  <si>
    <t>Jawerika</t>
  </si>
  <si>
    <t>Samyak</t>
  </si>
  <si>
    <t>Sanadhya</t>
  </si>
  <si>
    <t>kishore</t>
  </si>
  <si>
    <t>Dayanand public school</t>
  </si>
  <si>
    <t>Luies school</t>
  </si>
  <si>
    <t>ST.FRANCIC</t>
  </si>
  <si>
    <t>paul</t>
  </si>
  <si>
    <t>Ankik</t>
  </si>
  <si>
    <t>Samir</t>
  </si>
  <si>
    <t>Chattri</t>
  </si>
  <si>
    <t>tewari</t>
  </si>
  <si>
    <t>jharkhand public</t>
  </si>
  <si>
    <t>Sahh</t>
  </si>
  <si>
    <t>Aanwar</t>
  </si>
  <si>
    <t>Savan</t>
  </si>
  <si>
    <t>Prity</t>
  </si>
  <si>
    <t>JHARKHAND PUBLIC</t>
  </si>
  <si>
    <t>Unnat</t>
  </si>
  <si>
    <t>Saksham</t>
  </si>
  <si>
    <t>Midha</t>
  </si>
  <si>
    <t>Sahasti</t>
  </si>
  <si>
    <t>Sajita</t>
  </si>
  <si>
    <t>ST.CHARLES</t>
  </si>
  <si>
    <t>ankur</t>
  </si>
  <si>
    <t>Naven</t>
  </si>
  <si>
    <t>Bishop West Cott</t>
  </si>
  <si>
    <t>susarala</t>
  </si>
  <si>
    <t>EKLAVYA</t>
  </si>
  <si>
    <t>dananaNJ</t>
  </si>
  <si>
    <t>Tabish</t>
  </si>
  <si>
    <t>Sabina</t>
  </si>
  <si>
    <t>shivam</t>
  </si>
  <si>
    <t>Guriya</t>
  </si>
  <si>
    <t>Ozfard</t>
  </si>
  <si>
    <t>Saanjh</t>
  </si>
  <si>
    <t>Matta</t>
  </si>
  <si>
    <t>Anupriya</t>
  </si>
  <si>
    <t>Omkar</t>
  </si>
  <si>
    <t>S.p</t>
  </si>
  <si>
    <t>Siman</t>
  </si>
  <si>
    <t>Mohani</t>
  </si>
  <si>
    <t>Ozford</t>
  </si>
  <si>
    <t>St marry</t>
  </si>
  <si>
    <t>Sara</t>
  </si>
  <si>
    <t>Millat school</t>
  </si>
  <si>
    <t>S.m</t>
  </si>
  <si>
    <t>Saint Anthony's public school</t>
  </si>
  <si>
    <t>S</t>
  </si>
  <si>
    <t>SINGAR</t>
  </si>
  <si>
    <t>S.k</t>
  </si>
  <si>
    <t>sunidhi</t>
  </si>
  <si>
    <t>S.f</t>
  </si>
  <si>
    <t>Mathoto</t>
  </si>
  <si>
    <t>Ram sundar</t>
  </si>
  <si>
    <t>Terkey</t>
  </si>
  <si>
    <t>Rajdeep</t>
  </si>
  <si>
    <t>Ram nath</t>
  </si>
  <si>
    <t>lala lajpat rai</t>
  </si>
  <si>
    <t>Ganeah</t>
  </si>
  <si>
    <t>Roshan lal</t>
  </si>
  <si>
    <t>AKHIESH</t>
  </si>
  <si>
    <t>RAJ</t>
  </si>
  <si>
    <t>Dhivanshu</t>
  </si>
  <si>
    <t>Rajbeer</t>
  </si>
  <si>
    <t>Harshad</t>
  </si>
  <si>
    <t>Jawaharlal vidhya memorial school</t>
  </si>
  <si>
    <t>Calrox public school</t>
  </si>
  <si>
    <t>Abhijay</t>
  </si>
  <si>
    <t>goshiwami</t>
  </si>
  <si>
    <t>Kendriya vidyalaya</t>
  </si>
  <si>
    <t>danish</t>
  </si>
  <si>
    <t>Vidya c school</t>
  </si>
  <si>
    <t>Churayu</t>
  </si>
  <si>
    <t>DPS whitefield</t>
  </si>
  <si>
    <t>Bangalore</t>
  </si>
  <si>
    <t>toopo</t>
  </si>
  <si>
    <t>Pathan</t>
  </si>
  <si>
    <t>Sweet</t>
  </si>
  <si>
    <t>Raj kumar</t>
  </si>
  <si>
    <t>Shive</t>
  </si>
  <si>
    <t>Rain</t>
  </si>
  <si>
    <t>metha</t>
  </si>
  <si>
    <t>Uama</t>
  </si>
  <si>
    <t>Green lane public school</t>
  </si>
  <si>
    <t>Moshin</t>
  </si>
  <si>
    <t>Haris</t>
  </si>
  <si>
    <t>Lala lajpat rai</t>
  </si>
  <si>
    <t>Savita</t>
  </si>
  <si>
    <t>Dav hihal</t>
  </si>
  <si>
    <t>Rajkeshor</t>
  </si>
  <si>
    <t>aniah</t>
  </si>
  <si>
    <t>SARASWATI SISU VIDYA MANDIR</t>
  </si>
  <si>
    <t>Prishu</t>
  </si>
  <si>
    <t>Athar</t>
  </si>
  <si>
    <t>Imam</t>
  </si>
  <si>
    <t>SHARMA</t>
  </si>
  <si>
    <t>angarika</t>
  </si>
  <si>
    <t>rachana school</t>
  </si>
  <si>
    <t>Prakash high school</t>
  </si>
  <si>
    <t>Goti</t>
  </si>
  <si>
    <t>San Francis Public School</t>
  </si>
  <si>
    <t>anash</t>
  </si>
  <si>
    <t>Ria</t>
  </si>
  <si>
    <t>single</t>
  </si>
  <si>
    <t>PODAR</t>
  </si>
  <si>
    <t>Raj kr.</t>
  </si>
  <si>
    <t>Harshil</t>
  </si>
  <si>
    <t>SANTS. SCHOOL</t>
  </si>
  <si>
    <t>Aashiya</t>
  </si>
  <si>
    <t>Bhanushali</t>
  </si>
  <si>
    <t>L.R.S.M Vissanji Academy</t>
  </si>
  <si>
    <t>dav halel public</t>
  </si>
  <si>
    <t>Sapna</t>
  </si>
  <si>
    <t>Pancham</t>
  </si>
  <si>
    <t>Mistry</t>
  </si>
  <si>
    <t>SAKAR</t>
  </si>
  <si>
    <t>Kaishar</t>
  </si>
  <si>
    <t>Sachidananda public school</t>
  </si>
  <si>
    <t>Sunder</t>
  </si>
  <si>
    <t>Pallavi</t>
  </si>
  <si>
    <t>PUNA INT. CBSE</t>
  </si>
  <si>
    <t>Prit</t>
  </si>
  <si>
    <t>Devendra</t>
  </si>
  <si>
    <t>MAYURI</t>
  </si>
  <si>
    <t>BHAKTI</t>
  </si>
  <si>
    <t>EARTH</t>
  </si>
  <si>
    <t>RIya</t>
  </si>
  <si>
    <t>Shayal</t>
  </si>
  <si>
    <t>Bhavna</t>
  </si>
  <si>
    <t>K.V SCHOOL</t>
  </si>
  <si>
    <t>Pretha</t>
  </si>
  <si>
    <t>Chakravarthy</t>
  </si>
  <si>
    <t>MAYUR</t>
  </si>
  <si>
    <t>NANWANI</t>
  </si>
  <si>
    <t>Saraswati Shishu Vidhya Mandir</t>
  </si>
  <si>
    <t>KRI</t>
  </si>
  <si>
    <t>KAIRALI SCHOOL</t>
  </si>
  <si>
    <t>Koushal</t>
  </si>
  <si>
    <t>kevin</t>
  </si>
  <si>
    <t>bhavsar</t>
  </si>
  <si>
    <t>GI SCHOOL</t>
  </si>
  <si>
    <t>Vinati</t>
  </si>
  <si>
    <t>Madhusthali vidyapeeth memorial school</t>
  </si>
  <si>
    <t>Shuruti</t>
  </si>
  <si>
    <t>india</t>
  </si>
  <si>
    <t>Dhurav</t>
  </si>
  <si>
    <t>ANANYA SCHOOL</t>
  </si>
  <si>
    <t>kotecha</t>
  </si>
  <si>
    <t>SWASTIK MOTERA</t>
  </si>
  <si>
    <t>DRASHTI</t>
  </si>
  <si>
    <t>THANKI</t>
  </si>
  <si>
    <t>JHANVI</t>
  </si>
  <si>
    <t>KHANDELWAL</t>
  </si>
  <si>
    <t>RAJASHTHAN SCHOOL</t>
  </si>
  <si>
    <t>tendar heart</t>
  </si>
  <si>
    <t>Atharva</t>
  </si>
  <si>
    <t>KENDRIYA VIDHYALAY</t>
  </si>
  <si>
    <t>pravin</t>
  </si>
  <si>
    <t>eagle</t>
  </si>
  <si>
    <t>Vinet</t>
  </si>
  <si>
    <t>Alan</t>
  </si>
  <si>
    <t>VAISHNAV</t>
  </si>
  <si>
    <t>PRITI</t>
  </si>
  <si>
    <t>Saima</t>
  </si>
  <si>
    <t>Sankit</t>
  </si>
  <si>
    <t>anisha</t>
  </si>
  <si>
    <t>VISONFORD SCHOOL</t>
  </si>
  <si>
    <t>Anand public school</t>
  </si>
  <si>
    <t>Chavda</t>
  </si>
  <si>
    <t>Kavya</t>
  </si>
  <si>
    <t>Saint mary school</t>
  </si>
  <si>
    <t>st mARRY SCHOOL</t>
  </si>
  <si>
    <t>amishree</t>
  </si>
  <si>
    <t>DRONA PUBLIC</t>
  </si>
  <si>
    <t>Khandelwa</t>
  </si>
  <si>
    <t>Rutu</t>
  </si>
  <si>
    <t>Dave</t>
  </si>
  <si>
    <t>Akshati</t>
  </si>
  <si>
    <t>animesh</t>
  </si>
  <si>
    <t>amir</t>
  </si>
  <si>
    <t>green land</t>
  </si>
  <si>
    <t>Franics Middle School</t>
  </si>
  <si>
    <t>Sabnam</t>
  </si>
  <si>
    <t>Shivnath shastri</t>
  </si>
  <si>
    <t>Nitin</t>
  </si>
  <si>
    <t>Shivnath sastry</t>
  </si>
  <si>
    <t>ambika</t>
  </si>
  <si>
    <t>Milangarh Balika Vidyalaya</t>
  </si>
  <si>
    <t>Lala lajpatrai</t>
  </si>
  <si>
    <t>Yogendra</t>
  </si>
  <si>
    <t>Loyola school</t>
  </si>
  <si>
    <t>Shiwani</t>
  </si>
  <si>
    <t>sah</t>
  </si>
  <si>
    <t>Milan girl high school</t>
  </si>
  <si>
    <t>ST.FRANCIS</t>
  </si>
  <si>
    <t>JVM school</t>
  </si>
  <si>
    <t>kandula</t>
  </si>
  <si>
    <t>Kalighat high school</t>
  </si>
  <si>
    <t>Tamanna</t>
  </si>
  <si>
    <t>ansurrahaman10012002@gmail.com</t>
  </si>
  <si>
    <t>aniket</t>
  </si>
  <si>
    <t>Raginin</t>
  </si>
  <si>
    <t>Ansur</t>
  </si>
  <si>
    <t>rahaman</t>
  </si>
  <si>
    <t>Yogada school</t>
  </si>
  <si>
    <t>jharkand public</t>
  </si>
  <si>
    <t>Anam</t>
  </si>
  <si>
    <t>Ram Krishna school</t>
  </si>
  <si>
    <t>Raghur</t>
  </si>
  <si>
    <t>Ragani</t>
  </si>
  <si>
    <t>Assini high school</t>
  </si>
  <si>
    <t>APEG residenial school</t>
  </si>
  <si>
    <t>Bislash</t>
  </si>
  <si>
    <t>sadhu</t>
  </si>
  <si>
    <t>Mejia High School</t>
  </si>
  <si>
    <t>AMAN</t>
  </si>
  <si>
    <t>VERMA</t>
  </si>
  <si>
    <t>Bhumji</t>
  </si>
  <si>
    <t>Pitts Modern school glomia</t>
  </si>
  <si>
    <t>Khalsha high school</t>
  </si>
  <si>
    <t>ALOK</t>
  </si>
  <si>
    <t>PRASAD</t>
  </si>
  <si>
    <t>GREEN LAND SCHOOL</t>
  </si>
  <si>
    <t>RAEENA</t>
  </si>
  <si>
    <t>ZEBAR</t>
  </si>
  <si>
    <t>Angels world school</t>
  </si>
  <si>
    <t>alen</t>
  </si>
  <si>
    <t>soya</t>
  </si>
  <si>
    <t>Swatika</t>
  </si>
  <si>
    <t>Vidya Niketan school</t>
  </si>
  <si>
    <t>Rachita</t>
  </si>
  <si>
    <t>ST.FRANCICES</t>
  </si>
  <si>
    <t>amant</t>
  </si>
  <si>
    <t>Saya</t>
  </si>
  <si>
    <t>Puskar</t>
  </si>
  <si>
    <t>amandeep</t>
  </si>
  <si>
    <t>Rathor</t>
  </si>
  <si>
    <t>Pushpa</t>
  </si>
  <si>
    <t>path</t>
  </si>
  <si>
    <t>Punam</t>
  </si>
  <si>
    <t>Manitha</t>
  </si>
  <si>
    <t>Sarla Birla public school</t>
  </si>
  <si>
    <t>Puja kri.</t>
  </si>
  <si>
    <t>Pryanka</t>
  </si>
  <si>
    <t>payal</t>
  </si>
  <si>
    <t>LITTLE FLOWER</t>
  </si>
  <si>
    <t>Prema</t>
  </si>
  <si>
    <t>afzal</t>
  </si>
  <si>
    <t>st.paul</t>
  </si>
  <si>
    <t>akshat</t>
  </si>
  <si>
    <t>Shurti</t>
  </si>
  <si>
    <t>akhilesh</t>
  </si>
  <si>
    <t>afreen</t>
  </si>
  <si>
    <t>chaudary</t>
  </si>
  <si>
    <t>aditya</t>
  </si>
  <si>
    <t>ajit</t>
  </si>
  <si>
    <t>Pritesh</t>
  </si>
  <si>
    <t>PRISHA</t>
  </si>
  <si>
    <t>SHASWAT</t>
  </si>
  <si>
    <t>Andrews high school</t>
  </si>
  <si>
    <t>aisha</t>
  </si>
  <si>
    <t>sandi</t>
  </si>
  <si>
    <t>Chand</t>
  </si>
  <si>
    <t>PODAR INTERNATIONAL SCHOOL</t>
  </si>
  <si>
    <t>bhola</t>
  </si>
  <si>
    <t>Sangeeta</t>
  </si>
  <si>
    <t>aditi</t>
  </si>
  <si>
    <t>jadav</t>
  </si>
  <si>
    <t>THE NEW LITTLE FLOWER SCHOOL</t>
  </si>
  <si>
    <t>Jethani</t>
  </si>
  <si>
    <t>CALROX PUBLIC SCHOOL</t>
  </si>
  <si>
    <t>Ritik</t>
  </si>
  <si>
    <t>Paswon</t>
  </si>
  <si>
    <t>Sujit</t>
  </si>
  <si>
    <t>Sonia</t>
  </si>
  <si>
    <t>DWISHA</t>
  </si>
  <si>
    <t>SHAH</t>
  </si>
  <si>
    <t>ASIA EMGILSH</t>
  </si>
  <si>
    <t>Dalal</t>
  </si>
  <si>
    <t>DHURNI</t>
  </si>
  <si>
    <t>SONI</t>
  </si>
  <si>
    <t>DEVARSHRI</t>
  </si>
  <si>
    <t>KASHIWALA</t>
  </si>
  <si>
    <t>ARYA</t>
  </si>
  <si>
    <t>SHRI.MALAV</t>
  </si>
  <si>
    <t>DHAIRYA</t>
  </si>
  <si>
    <t>VARDA</t>
  </si>
  <si>
    <t>PARMAR</t>
  </si>
  <si>
    <t>prajapati</t>
  </si>
  <si>
    <t>tarush</t>
  </si>
  <si>
    <t>bhooshan</t>
  </si>
  <si>
    <t>Podar International School</t>
  </si>
  <si>
    <t>ittan</t>
  </si>
  <si>
    <t>YOGDA</t>
  </si>
  <si>
    <t>NIKITA</t>
  </si>
  <si>
    <t>KUMARI</t>
  </si>
  <si>
    <t>Abhinav</t>
  </si>
  <si>
    <t>Green land</t>
  </si>
  <si>
    <t>adil</t>
  </si>
  <si>
    <t>Lax</t>
  </si>
  <si>
    <t>parwata</t>
  </si>
  <si>
    <t>KAVYA</t>
  </si>
  <si>
    <t>Wasya</t>
  </si>
  <si>
    <t>sakar English school</t>
  </si>
  <si>
    <t>Visnu</t>
  </si>
  <si>
    <t>Payal</t>
  </si>
  <si>
    <t>Sathwara</t>
  </si>
  <si>
    <t>SHEETAL R</t>
  </si>
  <si>
    <t>Rajpiut</t>
  </si>
  <si>
    <t>Lalji</t>
  </si>
  <si>
    <t>panchal</t>
  </si>
  <si>
    <t>Pritmani</t>
  </si>
  <si>
    <t>Podar international School</t>
  </si>
  <si>
    <t>Hritik</t>
  </si>
  <si>
    <t>abhijeet</t>
  </si>
  <si>
    <t>bharti</t>
  </si>
  <si>
    <t>Jaaka</t>
  </si>
  <si>
    <t>Patha</t>
  </si>
  <si>
    <t>Ssis</t>
  </si>
  <si>
    <t>Abhansh</t>
  </si>
  <si>
    <t>Podar international</t>
  </si>
  <si>
    <t>Goyal</t>
  </si>
  <si>
    <t>Sarita</t>
  </si>
  <si>
    <t>abhijay</t>
  </si>
  <si>
    <t>Vansh</t>
  </si>
  <si>
    <t>pandya</t>
  </si>
  <si>
    <t>Divyapath science school</t>
  </si>
  <si>
    <t>Aarushi</t>
  </si>
  <si>
    <t>purohit</t>
  </si>
  <si>
    <t>Ananya Vidhyalay ( Zundal )</t>
  </si>
  <si>
    <t>Manas</t>
  </si>
  <si>
    <t>Parihar</t>
  </si>
  <si>
    <t>Delhi Public school, Gandhinagar</t>
  </si>
  <si>
    <t>Shrimali</t>
  </si>
  <si>
    <t>TIRTH K</t>
  </si>
  <si>
    <t>UDAY</t>
  </si>
  <si>
    <t>KANSTIYA</t>
  </si>
  <si>
    <t>K.V.ONGC</t>
  </si>
  <si>
    <t>ADITYA</t>
  </si>
  <si>
    <t>Raval</t>
  </si>
  <si>
    <t>AMRUTA VIDHYALAY</t>
  </si>
  <si>
    <t>Eden</t>
  </si>
  <si>
    <t>Sachakov</t>
  </si>
  <si>
    <t>Naamat Lod</t>
  </si>
  <si>
    <t>Lod</t>
  </si>
  <si>
    <t>abhay</t>
  </si>
  <si>
    <t>khalko</t>
  </si>
  <si>
    <t>Little flower</t>
  </si>
  <si>
    <t>Aashvi</t>
  </si>
  <si>
    <t>simran</t>
  </si>
  <si>
    <t>Swastik high school</t>
  </si>
  <si>
    <t>Md.Tabrez</t>
  </si>
  <si>
    <t>Dharmi</t>
  </si>
  <si>
    <t>Aarti</t>
  </si>
  <si>
    <t>aarohi</t>
  </si>
  <si>
    <t>Maveesh</t>
  </si>
  <si>
    <t>Aarchi</t>
  </si>
  <si>
    <t>Aarpan high school</t>
  </si>
  <si>
    <t>Parth</t>
  </si>
  <si>
    <t>Priyankar</t>
  </si>
  <si>
    <t>DL RAVAL</t>
  </si>
  <si>
    <t>aarav</t>
  </si>
  <si>
    <t>Shagun</t>
  </si>
  <si>
    <t>Khandelwal</t>
  </si>
  <si>
    <t>AHEMDABAD</t>
  </si>
  <si>
    <t>Ishwa</t>
  </si>
  <si>
    <t>Aansh</t>
  </si>
  <si>
    <t>Guru Harkrishan Public School</t>
  </si>
  <si>
    <t>NEW DELHI</t>
  </si>
  <si>
    <t>Parshant</t>
  </si>
  <si>
    <t>S.t francis public school</t>
  </si>
  <si>
    <t>Aadrash</t>
  </si>
  <si>
    <t>Rajak</t>
  </si>
  <si>
    <t>SHREYA</t>
  </si>
  <si>
    <t>PORAMANE</t>
  </si>
  <si>
    <t>SAMEER</t>
  </si>
  <si>
    <t>NAIDU</t>
  </si>
  <si>
    <t>VAIDEHI</t>
  </si>
  <si>
    <t>PANJABI</t>
  </si>
  <si>
    <t>ST.ANNS</t>
  </si>
  <si>
    <t>DEVANSHI</t>
  </si>
  <si>
    <t>JADEJA</t>
  </si>
  <si>
    <t>d.b.a</t>
  </si>
  <si>
    <t>Parshan</t>
  </si>
  <si>
    <t>Aadarsh</t>
  </si>
  <si>
    <t>RUCHIKA</t>
  </si>
  <si>
    <t>K.V.OMGS</t>
  </si>
  <si>
    <t>Aabha</t>
  </si>
  <si>
    <t>SHUBHANGI</t>
  </si>
  <si>
    <t>JOSHI</t>
  </si>
  <si>
    <t>Devnath</t>
  </si>
  <si>
    <t>A.K</t>
  </si>
  <si>
    <t>NIL</t>
  </si>
  <si>
    <t>PAREKH</t>
  </si>
  <si>
    <t>ARTH</t>
  </si>
  <si>
    <t>KRISHNA</t>
  </si>
  <si>
    <t>GOYAL</t>
  </si>
  <si>
    <t>JUHI</t>
  </si>
  <si>
    <t>KATARIA</t>
  </si>
  <si>
    <t>AAYUSH</t>
  </si>
  <si>
    <t>RATHVA</t>
  </si>
  <si>
    <t>K V ONGC</t>
  </si>
  <si>
    <t>ANJALI</t>
  </si>
  <si>
    <t>PANKAJ</t>
  </si>
  <si>
    <t>GYANDIP</t>
  </si>
  <si>
    <t>GARGI</t>
  </si>
  <si>
    <t>AISHANI</t>
  </si>
  <si>
    <t>BASU</t>
  </si>
  <si>
    <t>Prajyoth</t>
  </si>
  <si>
    <t>Reddy</t>
  </si>
  <si>
    <t>SR Edu center, Wadepally</t>
  </si>
  <si>
    <t>Warangal</t>
  </si>
  <si>
    <t>AKSHAR</t>
  </si>
  <si>
    <t>VARMA</t>
  </si>
  <si>
    <t>IDP</t>
  </si>
  <si>
    <t>HARSHITA</t>
  </si>
  <si>
    <t>JUDIA</t>
  </si>
  <si>
    <t>DOON</t>
  </si>
  <si>
    <t>PRATHAM</t>
  </si>
  <si>
    <t>DIDWANIA</t>
  </si>
  <si>
    <t>ISHAN</t>
  </si>
  <si>
    <t>PT. L.S. Jha. Govt Model High School Of Excellence</t>
  </si>
  <si>
    <t>Jabalpur</t>
  </si>
  <si>
    <t>Vakil</t>
  </si>
  <si>
    <t>S.N.B.P international school</t>
  </si>
  <si>
    <t>Wagholi,pune</t>
  </si>
  <si>
    <t>Amanat</t>
  </si>
  <si>
    <t>kuldeeep</t>
  </si>
  <si>
    <t>Rahat</t>
  </si>
  <si>
    <t>Ekka</t>
  </si>
  <si>
    <t>Vivekanand vidya mandir</t>
  </si>
  <si>
    <t>FUNNY</t>
  </si>
  <si>
    <t>MEHTA</t>
  </si>
  <si>
    <t>dayanand public school</t>
  </si>
  <si>
    <t>Jitendar</t>
  </si>
  <si>
    <t>St paul's school</t>
  </si>
  <si>
    <t>SONU</t>
  </si>
  <si>
    <t>VIVEY</t>
  </si>
  <si>
    <t>Muskan</t>
  </si>
  <si>
    <t>Loyola public school</t>
  </si>
  <si>
    <t>SEJAL</t>
  </si>
  <si>
    <t>TANMAY</t>
  </si>
  <si>
    <t>San Francisco school</t>
  </si>
  <si>
    <t>HARISH</t>
  </si>
  <si>
    <t>Lala lajpat rai public school</t>
  </si>
  <si>
    <t>NAYAK</t>
  </si>
  <si>
    <t>ST PUBLIC SCHOOL</t>
  </si>
  <si>
    <t>AJAY</t>
  </si>
  <si>
    <t>Pinkey</t>
  </si>
  <si>
    <t>Piyanshu</t>
  </si>
  <si>
    <t>Sankar</t>
  </si>
  <si>
    <t>Shivkumar</t>
  </si>
  <si>
    <t>Nishu</t>
  </si>
  <si>
    <t>Luggun</t>
  </si>
  <si>
    <t>Kunar</t>
  </si>
  <si>
    <t>sirla</t>
  </si>
  <si>
    <t>Wasim</t>
  </si>
  <si>
    <t>Zabi</t>
  </si>
  <si>
    <t>Xafri</t>
  </si>
  <si>
    <t>Ashya</t>
  </si>
  <si>
    <t>Dos school</t>
  </si>
  <si>
    <t>Bishop public school</t>
  </si>
  <si>
    <t>Bishop Westcott Boy's School</t>
  </si>
  <si>
    <t>Chaman</t>
  </si>
  <si>
    <t>Sekhar</t>
  </si>
  <si>
    <t>Francis public school</t>
  </si>
  <si>
    <t>Anan</t>
  </si>
  <si>
    <t>Harpit</t>
  </si>
  <si>
    <t>Sign</t>
  </si>
  <si>
    <t>Naik</t>
  </si>
  <si>
    <t>Jaspit</t>
  </si>
  <si>
    <t>Pavitra</t>
  </si>
  <si>
    <t>Tendar haert</t>
  </si>
  <si>
    <t>San Francis college school</t>
  </si>
  <si>
    <t>Ratnesh</t>
  </si>
  <si>
    <t>Neeraj</t>
  </si>
  <si>
    <t>Akashkr</t>
  </si>
  <si>
    <t>Ragudeep</t>
  </si>
  <si>
    <t>Babluram</t>
  </si>
  <si>
    <t>Shobha</t>
  </si>
  <si>
    <t>Sarma</t>
  </si>
  <si>
    <t>Gurpit</t>
  </si>
  <si>
    <t>Vivekananda school</t>
  </si>
  <si>
    <t>Bishop Westcott'boys School</t>
  </si>
  <si>
    <t>Sunidhi</t>
  </si>
  <si>
    <t>Krmari</t>
  </si>
  <si>
    <t>Singar</t>
  </si>
  <si>
    <t>Paswan</t>
  </si>
  <si>
    <t>Bulbul</t>
  </si>
  <si>
    <t>Mayanksaw</t>
  </si>
  <si>
    <t>Saint Francis public school</t>
  </si>
  <si>
    <t>Jitan</t>
  </si>
  <si>
    <t>Sunitakumari</t>
  </si>
  <si>
    <t>Abhinash</t>
  </si>
  <si>
    <t>Rena</t>
  </si>
  <si>
    <t>Sawan</t>
  </si>
  <si>
    <t>Joshi</t>
  </si>
  <si>
    <t>Faran</t>
  </si>
  <si>
    <t>Subodh</t>
  </si>
  <si>
    <t>Shivan</t>
  </si>
  <si>
    <t>Kritika</t>
  </si>
  <si>
    <t>Ujjwal</t>
  </si>
  <si>
    <t>Hartiman public school</t>
  </si>
  <si>
    <t>Prassad</t>
  </si>
  <si>
    <t>Sirwastav</t>
  </si>
  <si>
    <t>Anjalia</t>
  </si>
  <si>
    <t>Barka</t>
  </si>
  <si>
    <t>Marry public school</t>
  </si>
  <si>
    <t>Sidhrrat</t>
  </si>
  <si>
    <t>Karlos</t>
  </si>
  <si>
    <t>Firayalal badka toli school</t>
  </si>
  <si>
    <t>Saraswati sisu Vidya Mandir</t>
  </si>
  <si>
    <t>Subina</t>
  </si>
  <si>
    <t>Lalarajput ray high secondary school</t>
  </si>
  <si>
    <t>Prakesh high medium school</t>
  </si>
  <si>
    <t>Harinder</t>
  </si>
  <si>
    <t>Kaur</t>
  </si>
  <si>
    <t>st.laurance school,hardag</t>
  </si>
  <si>
    <t>Rampal</t>
  </si>
  <si>
    <t>DPYA</t>
  </si>
  <si>
    <t>Siddhesh</t>
  </si>
  <si>
    <t>Vanshi</t>
  </si>
  <si>
    <t>JB Vachha</t>
  </si>
  <si>
    <t>Bashant</t>
  </si>
  <si>
    <t>Bhaveshi</t>
  </si>
  <si>
    <t>bengali education school</t>
  </si>
  <si>
    <t>Vedan</t>
  </si>
  <si>
    <t>AVM</t>
  </si>
  <si>
    <t>Nayar</t>
  </si>
  <si>
    <t>Ramgada</t>
  </si>
  <si>
    <t>Zia</t>
  </si>
  <si>
    <t>Vision food public school</t>
  </si>
  <si>
    <t>Serestin</t>
  </si>
  <si>
    <t>Ballimoria</t>
  </si>
  <si>
    <t>Ayaan</t>
  </si>
  <si>
    <t>Rahim</t>
  </si>
  <si>
    <t>Sheikh</t>
  </si>
  <si>
    <t>-</t>
  </si>
  <si>
    <t>Zoya</t>
  </si>
  <si>
    <t>Driyas</t>
  </si>
  <si>
    <t>Zeus</t>
  </si>
  <si>
    <t>Karthike</t>
  </si>
  <si>
    <t>Mohite</t>
  </si>
  <si>
    <t>Vaish</t>
  </si>
  <si>
    <t>Sarthak</t>
  </si>
  <si>
    <t>Markar</t>
  </si>
  <si>
    <t>canosa high school</t>
  </si>
  <si>
    <t>Kirat</t>
  </si>
  <si>
    <t>canossa high school</t>
  </si>
  <si>
    <t>Amna</t>
  </si>
  <si>
    <t>Chippa</t>
  </si>
  <si>
    <t>Vraj</t>
  </si>
  <si>
    <t>Birji</t>
  </si>
  <si>
    <t>antonia high school</t>
  </si>
  <si>
    <t>Yohan</t>
  </si>
  <si>
    <t>Makojia</t>
  </si>
  <si>
    <t>Rushil</t>
  </si>
  <si>
    <t>Jigna</t>
  </si>
  <si>
    <t>Pranil</t>
  </si>
  <si>
    <t>Rugued</t>
  </si>
  <si>
    <t>Minde</t>
  </si>
  <si>
    <t>IES</t>
  </si>
  <si>
    <t>Sultan</t>
  </si>
  <si>
    <t>Shrikant</t>
  </si>
  <si>
    <t>Khandekar</t>
  </si>
  <si>
    <t>Rashi</t>
  </si>
  <si>
    <t>Tanna</t>
  </si>
  <si>
    <t>Shirin</t>
  </si>
  <si>
    <t>Zaveri</t>
  </si>
  <si>
    <t>Hast</t>
  </si>
  <si>
    <t>Andhra association high school</t>
  </si>
  <si>
    <t>Panaya</t>
  </si>
  <si>
    <t>Gaba</t>
  </si>
  <si>
    <t>MET Inter</t>
  </si>
  <si>
    <t>Viddhi</t>
  </si>
  <si>
    <t>Jambhavdekar</t>
  </si>
  <si>
    <t>Navinya</t>
  </si>
  <si>
    <t>Yazaan</t>
  </si>
  <si>
    <t>Babara</t>
  </si>
  <si>
    <t>Hemal</t>
  </si>
  <si>
    <t>Diana</t>
  </si>
  <si>
    <t>Vrisha</t>
  </si>
  <si>
    <t>Sethia</t>
  </si>
  <si>
    <t>Yazvan</t>
  </si>
  <si>
    <t>Aarush</t>
  </si>
  <si>
    <t>Anahita</t>
  </si>
  <si>
    <t>Laranya</t>
  </si>
  <si>
    <t>Ajwani</t>
  </si>
  <si>
    <t>Ava</t>
  </si>
  <si>
    <t>Naveenta</t>
  </si>
  <si>
    <t>Bamane</t>
  </si>
  <si>
    <t>Barjis</t>
  </si>
  <si>
    <t>Vivaan</t>
  </si>
  <si>
    <t>Siddi</t>
  </si>
  <si>
    <t>Yuvika</t>
  </si>
  <si>
    <t>Makhariya</t>
  </si>
  <si>
    <t>Ruth</t>
  </si>
  <si>
    <t>Gadda</t>
  </si>
  <si>
    <t>Adhyan</t>
  </si>
  <si>
    <t>Makharia</t>
  </si>
  <si>
    <t>Oarshil</t>
  </si>
  <si>
    <t>Furia</t>
  </si>
  <si>
    <t>shishuvan</t>
  </si>
  <si>
    <t>Joshwan</t>
  </si>
  <si>
    <t>Pagdiwala</t>
  </si>
  <si>
    <t>Rutuja</t>
  </si>
  <si>
    <t>Wore</t>
  </si>
  <si>
    <t>Pawar</t>
  </si>
  <si>
    <t>Bohara</t>
  </si>
  <si>
    <t>Bombay sottish</t>
  </si>
  <si>
    <t>Hasini</t>
  </si>
  <si>
    <t>Mohak</t>
  </si>
  <si>
    <t>Khosla</t>
  </si>
  <si>
    <t>Hetvi</t>
  </si>
  <si>
    <t>Hashita</t>
  </si>
  <si>
    <t>Shiswan</t>
  </si>
  <si>
    <t>Shawari</t>
  </si>
  <si>
    <t>AVN</t>
  </si>
  <si>
    <t>bombay scottish</t>
  </si>
  <si>
    <t>Billa bong</t>
  </si>
  <si>
    <t>Rubee</t>
  </si>
  <si>
    <t>Krisha</t>
  </si>
  <si>
    <t>Tanisha</t>
  </si>
  <si>
    <t>Sia</t>
  </si>
  <si>
    <t>Drushi</t>
  </si>
  <si>
    <t>Kendrya vidyalaya</t>
  </si>
  <si>
    <t>Kanika</t>
  </si>
  <si>
    <t>Shetty</t>
  </si>
  <si>
    <t>Saraswati sisu vidya Mandir</t>
  </si>
  <si>
    <t>Abhishekh</t>
  </si>
  <si>
    <t>St.francies school</t>
  </si>
  <si>
    <t>Natik</t>
  </si>
  <si>
    <t>Mohan classes</t>
  </si>
  <si>
    <t>Parshad</t>
  </si>
  <si>
    <t>Krishti</t>
  </si>
  <si>
    <t>Sachi</t>
  </si>
  <si>
    <t>Nia</t>
  </si>
  <si>
    <t>Kachaap</t>
  </si>
  <si>
    <t>Shanaya</t>
  </si>
  <si>
    <t>Harshvi</t>
  </si>
  <si>
    <t>Zargas</t>
  </si>
  <si>
    <t>Bhanshank</t>
  </si>
  <si>
    <t>Manasvi</t>
  </si>
  <si>
    <t>Rehat</t>
  </si>
  <si>
    <t>Gaurika</t>
  </si>
  <si>
    <t>Tiya</t>
  </si>
  <si>
    <t>Farmaan</t>
  </si>
  <si>
    <t>Harmaz</t>
  </si>
  <si>
    <t>Sarosh</t>
  </si>
  <si>
    <t>Mehrore</t>
  </si>
  <si>
    <t>Vaishtivi</t>
  </si>
  <si>
    <t>NKS</t>
  </si>
  <si>
    <t>Yohaan</t>
  </si>
  <si>
    <t>Crawford</t>
  </si>
  <si>
    <t>Rishwar</t>
  </si>
  <si>
    <t>Shaurya</t>
  </si>
  <si>
    <t>Babal</t>
  </si>
  <si>
    <t>Vnama</t>
  </si>
  <si>
    <t>Cheda</t>
  </si>
  <si>
    <t>JBCN</t>
  </si>
  <si>
    <t>Hitansh</t>
  </si>
  <si>
    <t>BES</t>
  </si>
  <si>
    <t>Kartiki</t>
  </si>
  <si>
    <t>Tauthia</t>
  </si>
  <si>
    <t>St michael</t>
  </si>
  <si>
    <t>Saikhshifa</t>
  </si>
  <si>
    <t>Sayyed</t>
  </si>
  <si>
    <t>St joseph</t>
  </si>
  <si>
    <t>Ashmeet</t>
  </si>
  <si>
    <t>Bhasin</t>
  </si>
  <si>
    <t>Jasman</t>
  </si>
  <si>
    <t>Nalavalkar</t>
  </si>
  <si>
    <t>Krupa</t>
  </si>
  <si>
    <t>Shantanu</t>
  </si>
  <si>
    <t>Gatik</t>
  </si>
  <si>
    <t>Makhiya</t>
  </si>
  <si>
    <t>Aashi</t>
  </si>
  <si>
    <t>janki</t>
  </si>
  <si>
    <t>rawat</t>
  </si>
  <si>
    <t>I.E.S Katrap Vidyalaya</t>
  </si>
  <si>
    <t>Goal</t>
  </si>
  <si>
    <t>Roshini</t>
  </si>
  <si>
    <t>pasawn</t>
  </si>
  <si>
    <t>Juliwar</t>
  </si>
  <si>
    <t>Guru Nanak secondary</t>
  </si>
  <si>
    <t>harindra</t>
  </si>
  <si>
    <t>SXD</t>
  </si>
  <si>
    <t>Shylok</t>
  </si>
  <si>
    <t>O.P</t>
  </si>
  <si>
    <t>Ashotosh</t>
  </si>
  <si>
    <t>Vishwajeet</t>
  </si>
  <si>
    <t>Anu</t>
  </si>
  <si>
    <t>baharat</t>
  </si>
  <si>
    <t>D.N</t>
  </si>
  <si>
    <t>Mahir</t>
  </si>
  <si>
    <t>Shaina</t>
  </si>
  <si>
    <t>Sahijwant</t>
  </si>
  <si>
    <t>Sidharth</t>
  </si>
  <si>
    <t>Richie</t>
  </si>
  <si>
    <t>Rishaan</t>
  </si>
  <si>
    <t>Mankeet</t>
  </si>
  <si>
    <t>Vibhuti</t>
  </si>
  <si>
    <t>Dhanik</t>
  </si>
  <si>
    <t>Aklesh</t>
  </si>
  <si>
    <t>Roman</t>
  </si>
  <si>
    <t>Kosamgi</t>
  </si>
  <si>
    <t>Bhavik</t>
  </si>
  <si>
    <t>Wassan</t>
  </si>
  <si>
    <t>Keshari</t>
  </si>
  <si>
    <t>Maisa</t>
  </si>
  <si>
    <t>Radaye</t>
  </si>
  <si>
    <t>Birandar</t>
  </si>
  <si>
    <t>Nabeel</t>
  </si>
  <si>
    <t>Mustafa</t>
  </si>
  <si>
    <t>Dav nageshwar</t>
  </si>
  <si>
    <t>Adwait</t>
  </si>
  <si>
    <t>Bhagwe</t>
  </si>
  <si>
    <t>Bhatter</t>
  </si>
  <si>
    <t>Panbai International School</t>
  </si>
  <si>
    <t>Abeer</t>
  </si>
  <si>
    <t>Pranjal</t>
  </si>
  <si>
    <t>Salunke</t>
  </si>
  <si>
    <t>sanskar</t>
  </si>
  <si>
    <t>Neev</t>
  </si>
  <si>
    <t>Chipa</t>
  </si>
  <si>
    <t>Wandu</t>
  </si>
  <si>
    <t>joykita</t>
  </si>
  <si>
    <t>Pirral</t>
  </si>
  <si>
    <t>Behramkamdin</t>
  </si>
  <si>
    <t>Myrah</t>
  </si>
  <si>
    <t>Thakker</t>
  </si>
  <si>
    <t>Drishi</t>
  </si>
  <si>
    <t>Ahuja</t>
  </si>
  <si>
    <t>Bfs</t>
  </si>
  <si>
    <t>Dedhia</t>
  </si>
  <si>
    <t>Ankat</t>
  </si>
  <si>
    <t>Kerkar</t>
  </si>
  <si>
    <t>kasif</t>
  </si>
  <si>
    <t>GOGIA</t>
  </si>
  <si>
    <t>shaym</t>
  </si>
  <si>
    <t>HIMANI</t>
  </si>
  <si>
    <t>SENTENEE</t>
  </si>
  <si>
    <t>Shreya</t>
  </si>
  <si>
    <t>Ghadge</t>
  </si>
  <si>
    <t>SHREY</t>
  </si>
  <si>
    <t>PANDYA</t>
  </si>
  <si>
    <t>Grusha</t>
  </si>
  <si>
    <t>Dilbar</t>
  </si>
  <si>
    <t>VINIT</t>
  </si>
  <si>
    <t>AGRAWAL</t>
  </si>
  <si>
    <t>TAPOVAN</t>
  </si>
  <si>
    <t>Future Vision</t>
  </si>
  <si>
    <t>Bandipora</t>
  </si>
  <si>
    <t>Dps,ranchi</t>
  </si>
  <si>
    <t>St.peter</t>
  </si>
  <si>
    <t>St.Xavier</t>
  </si>
  <si>
    <t>Vedansh</t>
  </si>
  <si>
    <t>Kedilal</t>
  </si>
  <si>
    <t>AROHI</t>
  </si>
  <si>
    <t>Delhi Public School</t>
  </si>
  <si>
    <t>Urmi</t>
  </si>
  <si>
    <t>Narendra</t>
  </si>
  <si>
    <t>Udgam</t>
  </si>
  <si>
    <t>Dhwani</t>
  </si>
  <si>
    <t>Global india</t>
  </si>
  <si>
    <t>ramanuj</t>
  </si>
  <si>
    <t>Himanshi</t>
  </si>
  <si>
    <t>Live</t>
  </si>
  <si>
    <t>Dav,hatia</t>
  </si>
  <si>
    <t>Aashna</t>
  </si>
  <si>
    <t>Mana</t>
  </si>
  <si>
    <t>Loyla convent</t>
  </si>
  <si>
    <t>Vyom</t>
  </si>
  <si>
    <t>Sachdev</t>
  </si>
  <si>
    <t>Navya</t>
  </si>
  <si>
    <t>Ghatta</t>
  </si>
  <si>
    <t>Aayan</t>
  </si>
  <si>
    <t>Uro school</t>
  </si>
  <si>
    <t>Advait</t>
  </si>
  <si>
    <t>Vasavda</t>
  </si>
  <si>
    <t>Punikha</t>
  </si>
  <si>
    <t>A.one</t>
  </si>
  <si>
    <t>Regional ideal school</t>
  </si>
  <si>
    <t>Revant</t>
  </si>
  <si>
    <t>Brhambhatt</t>
  </si>
  <si>
    <t>Ans</t>
  </si>
  <si>
    <t>Risa</t>
  </si>
  <si>
    <t>Samariya</t>
  </si>
  <si>
    <t>Rudradatt</t>
  </si>
  <si>
    <t>St.annas school</t>
  </si>
  <si>
    <t>Millr</t>
  </si>
  <si>
    <t>SVV</t>
  </si>
  <si>
    <t>Aroh</t>
  </si>
  <si>
    <t>Chavde</t>
  </si>
  <si>
    <t>Sarkar school</t>
  </si>
  <si>
    <t>Its</t>
  </si>
  <si>
    <t>Kriday</t>
  </si>
  <si>
    <t>Nirman school</t>
  </si>
  <si>
    <t>Taambi</t>
  </si>
  <si>
    <t>Zydus</t>
  </si>
  <si>
    <t>BISHOP WESTCOTT</t>
  </si>
  <si>
    <t>Seth</t>
  </si>
  <si>
    <t>Kautilya</t>
  </si>
  <si>
    <t>Nay</t>
  </si>
  <si>
    <t>Kendriya vidyalay</t>
  </si>
  <si>
    <t>Sukhamit</t>
  </si>
  <si>
    <t>Nishita</t>
  </si>
  <si>
    <t>Littleflower</t>
  </si>
  <si>
    <t>Tanshi</t>
  </si>
  <si>
    <t>Khandha</t>
  </si>
  <si>
    <t>Janak</t>
  </si>
  <si>
    <t>St annas</t>
  </si>
  <si>
    <t>Shounya</t>
  </si>
  <si>
    <t>Jalpan</t>
  </si>
  <si>
    <t>Shrish</t>
  </si>
  <si>
    <t>Bhansali</t>
  </si>
  <si>
    <t>Apple global school</t>
  </si>
  <si>
    <t>Heem</t>
  </si>
  <si>
    <t>Mokshadamam</t>
  </si>
  <si>
    <t>Hill woods</t>
  </si>
  <si>
    <t>Nisarg</t>
  </si>
  <si>
    <t>Drona</t>
  </si>
  <si>
    <t>Vagh</t>
  </si>
  <si>
    <t>Turf</t>
  </si>
  <si>
    <t>Yesha</t>
  </si>
  <si>
    <t>Makhachu</t>
  </si>
  <si>
    <t>Bhavya</t>
  </si>
  <si>
    <t>Kothari</t>
  </si>
  <si>
    <t>SSRVM</t>
  </si>
  <si>
    <t>Sachee</t>
  </si>
  <si>
    <t>katre</t>
  </si>
  <si>
    <t>School of Scholars , Beltarodi</t>
  </si>
  <si>
    <t>Nagpur</t>
  </si>
  <si>
    <t>HARDIK</t>
  </si>
  <si>
    <t>LUKE</t>
  </si>
  <si>
    <t>SANSKRITI</t>
  </si>
  <si>
    <t>KV</t>
  </si>
  <si>
    <t>BHAVYA</t>
  </si>
  <si>
    <t>Sunbeam English school bhagwanpur</t>
  </si>
  <si>
    <t>Varanasi</t>
  </si>
  <si>
    <t>DHAIYA</t>
  </si>
  <si>
    <t>GUPTA</t>
  </si>
  <si>
    <t>DASHTI</t>
  </si>
  <si>
    <t>VASIHANVI</t>
  </si>
  <si>
    <t>Khari</t>
  </si>
  <si>
    <t>The Srijan School</t>
  </si>
  <si>
    <t>Zihan</t>
  </si>
  <si>
    <t>Jadhav</t>
  </si>
  <si>
    <t>Ketul</t>
  </si>
  <si>
    <t>Bhavsar</t>
  </si>
  <si>
    <t>Soloras</t>
  </si>
  <si>
    <t>Vrishti</t>
  </si>
  <si>
    <t>Katura</t>
  </si>
  <si>
    <t>LML</t>
  </si>
  <si>
    <t>Kellogg</t>
  </si>
  <si>
    <t>Dhamsania</t>
  </si>
  <si>
    <t>Mount carmel</t>
  </si>
  <si>
    <t>Om</t>
  </si>
  <si>
    <t>St.mary</t>
  </si>
  <si>
    <t>Divyapath campus</t>
  </si>
  <si>
    <t>Aaron</t>
  </si>
  <si>
    <t>Fernandez</t>
  </si>
  <si>
    <t>abhi</t>
  </si>
  <si>
    <t>Shannen</t>
  </si>
  <si>
    <t>Fernande</t>
  </si>
  <si>
    <t>prashant</t>
  </si>
  <si>
    <t>Darshil</t>
  </si>
  <si>
    <t>Malar</t>
  </si>
  <si>
    <t>arshu</t>
  </si>
  <si>
    <t>Gajar</t>
  </si>
  <si>
    <t>Shrujal</t>
  </si>
  <si>
    <t>Anand niketan</t>
  </si>
  <si>
    <t>kher</t>
  </si>
  <si>
    <t>darshil</t>
  </si>
  <si>
    <t>seventh dag</t>
  </si>
  <si>
    <t>pratham</t>
  </si>
  <si>
    <t>thakkar</t>
  </si>
  <si>
    <t>denisha</t>
  </si>
  <si>
    <t>kariya</t>
  </si>
  <si>
    <t>nirma</t>
  </si>
  <si>
    <t>heer</t>
  </si>
  <si>
    <t>teswani</t>
  </si>
  <si>
    <t>rkits</t>
  </si>
  <si>
    <t>kalondara</t>
  </si>
  <si>
    <t>ismail abdula qureshi</t>
  </si>
  <si>
    <t>PUNA INTERNATIONAL</t>
  </si>
  <si>
    <t>palakshi</t>
  </si>
  <si>
    <t>Srujal</t>
  </si>
  <si>
    <t>K.V.ongc chandkheda</t>
  </si>
  <si>
    <t>Kabra</t>
  </si>
  <si>
    <t>I.D.P</t>
  </si>
  <si>
    <t>Thakor</t>
  </si>
  <si>
    <t>H.B.k</t>
  </si>
  <si>
    <t>Barot</t>
  </si>
  <si>
    <t>Mahapragya vista niketa</t>
  </si>
  <si>
    <t>Tanishka</t>
  </si>
  <si>
    <t>Vaskale</t>
  </si>
  <si>
    <t>DPS gandhinagar</t>
  </si>
  <si>
    <t>Guru Nanak Secondary School</t>
  </si>
  <si>
    <t>AKASH</t>
  </si>
  <si>
    <t>Sarla brila public school</t>
  </si>
  <si>
    <t>VARUN</t>
  </si>
  <si>
    <t>Kishna</t>
  </si>
  <si>
    <t>RANJU</t>
  </si>
  <si>
    <t>DEVI</t>
  </si>
  <si>
    <t>Ricky</t>
  </si>
  <si>
    <t>J.k</t>
  </si>
  <si>
    <t>parajapati</t>
  </si>
  <si>
    <t>shaile</t>
  </si>
  <si>
    <t>PURNIMA</t>
  </si>
  <si>
    <t>KR.</t>
  </si>
  <si>
    <t>Sarla birla public school</t>
  </si>
  <si>
    <t>Rrakash</t>
  </si>
  <si>
    <t>Shanakar</t>
  </si>
  <si>
    <t>BILASH</t>
  </si>
  <si>
    <t>S.M</t>
  </si>
  <si>
    <t>Bennorgy</t>
  </si>
  <si>
    <t>Rastogi</t>
  </si>
  <si>
    <t>SOURAV</t>
  </si>
  <si>
    <t>CHUDHARY</t>
  </si>
  <si>
    <t>Narender</t>
  </si>
  <si>
    <t>Sarla brila school</t>
  </si>
  <si>
    <t>sakshi</t>
  </si>
  <si>
    <t>miami</t>
  </si>
  <si>
    <t>mandal</t>
  </si>
  <si>
    <t>brashant</t>
  </si>
  <si>
    <t>TOOFANI</t>
  </si>
  <si>
    <t>Vishmu</t>
  </si>
  <si>
    <t>janali</t>
  </si>
  <si>
    <t>Gridi</t>
  </si>
  <si>
    <t>birbal</t>
  </si>
  <si>
    <t>khees</t>
  </si>
  <si>
    <t>badhal</t>
  </si>
  <si>
    <t>Syama</t>
  </si>
  <si>
    <t>Situ</t>
  </si>
  <si>
    <t>SATISH</t>
  </si>
  <si>
    <t>YADAV</t>
  </si>
  <si>
    <t>Narash</t>
  </si>
  <si>
    <t>Prasand</t>
  </si>
  <si>
    <t>Atish</t>
  </si>
  <si>
    <t>sunti</t>
  </si>
  <si>
    <t>mukood</t>
  </si>
  <si>
    <t>firoz</t>
  </si>
  <si>
    <t>SURENDRA</t>
  </si>
  <si>
    <t>salim</t>
  </si>
  <si>
    <t>Shree</t>
  </si>
  <si>
    <t>Devesh</t>
  </si>
  <si>
    <t>Narayan</t>
  </si>
  <si>
    <t>Om Prakash</t>
  </si>
  <si>
    <t>Birenadar</t>
  </si>
  <si>
    <t>JAGAR</t>
  </si>
  <si>
    <t>NATH</t>
  </si>
  <si>
    <t>Masmati</t>
  </si>
  <si>
    <t>Nashim</t>
  </si>
  <si>
    <t>Ramgarh</t>
  </si>
  <si>
    <t>kunsav</t>
  </si>
  <si>
    <t>kishan</t>
  </si>
  <si>
    <t>Durga</t>
  </si>
  <si>
    <t>RAHUL KR</t>
  </si>
  <si>
    <t>SHANI</t>
  </si>
  <si>
    <t>jai</t>
  </si>
  <si>
    <t>ram prasad</t>
  </si>
  <si>
    <t>D.P</t>
  </si>
  <si>
    <t>St Stephen's</t>
  </si>
  <si>
    <t>dos</t>
  </si>
  <si>
    <t>susnita</t>
  </si>
  <si>
    <t>chopra</t>
  </si>
  <si>
    <t>deepak</t>
  </si>
  <si>
    <t>niranjan</t>
  </si>
  <si>
    <t>munja</t>
  </si>
  <si>
    <t>rajiv</t>
  </si>
  <si>
    <t>JAISMIN</t>
  </si>
  <si>
    <t>Anil kumar</t>
  </si>
  <si>
    <t>KVs</t>
  </si>
  <si>
    <t>SOHIB</t>
  </si>
  <si>
    <t>DAV Public School</t>
  </si>
  <si>
    <t>Gurugram</t>
  </si>
  <si>
    <t>Bhatia</t>
  </si>
  <si>
    <t>M.R.CITI.SR.SEC.PUBLIC SCHOLL</t>
  </si>
  <si>
    <t>Balachaur</t>
  </si>
  <si>
    <t>Pinko</t>
  </si>
  <si>
    <t>Keaeri</t>
  </si>
  <si>
    <t>Singh BHADORIYA</t>
  </si>
  <si>
    <t>DELHI PUBLIC SCHOOL NOIDA</t>
  </si>
  <si>
    <t>Noida</t>
  </si>
  <si>
    <t>Surendra nath public school</t>
  </si>
  <si>
    <t>Kanchana</t>
  </si>
  <si>
    <t>J.P</t>
  </si>
  <si>
    <t>MANDAL</t>
  </si>
  <si>
    <t>Altharav</t>
  </si>
  <si>
    <t>Jeevan</t>
  </si>
  <si>
    <t>Alpana</t>
  </si>
  <si>
    <t>Dayanand Saraswati</t>
  </si>
  <si>
    <t>SATNARAYAN</t>
  </si>
  <si>
    <t>upendra</t>
  </si>
  <si>
    <t>Barla</t>
  </si>
  <si>
    <t>soren</t>
  </si>
  <si>
    <t>VK Memorial</t>
  </si>
  <si>
    <t>kesor</t>
  </si>
  <si>
    <t>jiya</t>
  </si>
  <si>
    <t>manta</t>
  </si>
  <si>
    <t>parjapati</t>
  </si>
  <si>
    <t>rajen</t>
  </si>
  <si>
    <t>july</t>
  </si>
  <si>
    <t>xavier</t>
  </si>
  <si>
    <t>tanushree</t>
  </si>
  <si>
    <t>Devash</t>
  </si>
  <si>
    <t>rushil</t>
  </si>
  <si>
    <t>setal</t>
  </si>
  <si>
    <t>deepanshu</t>
  </si>
  <si>
    <t>rashmi</t>
  </si>
  <si>
    <t>sudhir</t>
  </si>
  <si>
    <t>mohammed</t>
  </si>
  <si>
    <t>nadeem</t>
  </si>
  <si>
    <t>St. Xavier's school</t>
  </si>
  <si>
    <t>keshav</t>
  </si>
  <si>
    <t>mahant</t>
  </si>
  <si>
    <t>vivekananda school</t>
  </si>
  <si>
    <t>choudary</t>
  </si>
  <si>
    <t>pummy</t>
  </si>
  <si>
    <t>gautam</t>
  </si>
  <si>
    <t>shubam</t>
  </si>
  <si>
    <t>green lane public school</t>
  </si>
  <si>
    <t>Akanksha</t>
  </si>
  <si>
    <t>Muralidharan</t>
  </si>
  <si>
    <t>Devashish</t>
  </si>
  <si>
    <t>yogesh</t>
  </si>
  <si>
    <t>patle</t>
  </si>
  <si>
    <t>manci</t>
  </si>
  <si>
    <t>Adityar</t>
  </si>
  <si>
    <t>sairf</t>
  </si>
  <si>
    <t>pal</t>
  </si>
  <si>
    <t>Rnti college</t>
  </si>
  <si>
    <t>puja</t>
  </si>
  <si>
    <t>SWETA</t>
  </si>
  <si>
    <t>kamala</t>
  </si>
  <si>
    <t>ji</t>
  </si>
  <si>
    <t>mansaur</t>
  </si>
  <si>
    <t>smriti</t>
  </si>
  <si>
    <t>gorak</t>
  </si>
  <si>
    <t>parsad</t>
  </si>
  <si>
    <t>lalan</t>
  </si>
  <si>
    <t>dayal</t>
  </si>
  <si>
    <t>gopi</t>
  </si>
  <si>
    <t>R K</t>
  </si>
  <si>
    <t>san francis school</t>
  </si>
  <si>
    <t>Vvm,dhurwa</t>
  </si>
  <si>
    <t>partab</t>
  </si>
  <si>
    <t>subodh</t>
  </si>
  <si>
    <t>aksah</t>
  </si>
  <si>
    <t>namita</t>
  </si>
  <si>
    <t>awdesh</t>
  </si>
  <si>
    <t>Sunbeam English School Bhagwanpur</t>
  </si>
  <si>
    <t>Vanishri</t>
  </si>
  <si>
    <t>Bharat</t>
  </si>
  <si>
    <t>dewasant</t>
  </si>
  <si>
    <t>Prateek</t>
  </si>
  <si>
    <t>Hajare</t>
  </si>
  <si>
    <t>AISSMS</t>
  </si>
  <si>
    <t>parnaya</t>
  </si>
  <si>
    <t>Aadharshila Vidya Peeth</t>
  </si>
  <si>
    <t>Disai</t>
  </si>
  <si>
    <t>Varyan</t>
  </si>
  <si>
    <t>Somani</t>
  </si>
  <si>
    <t>Jumani</t>
  </si>
  <si>
    <t>St.kabir</t>
  </si>
  <si>
    <t>SOA</t>
  </si>
  <si>
    <t>Talin</t>
  </si>
  <si>
    <t>Kevorkian</t>
  </si>
  <si>
    <t>Boyar high</t>
  </si>
  <si>
    <t>Jerusalem</t>
  </si>
  <si>
    <t>Mastuel</t>
  </si>
  <si>
    <t>Motcha</t>
  </si>
  <si>
    <t>Branko weiss</t>
  </si>
  <si>
    <t>Beit shemesh ,jerusalem</t>
  </si>
  <si>
    <t>Raghavendra</t>
  </si>
  <si>
    <t>Venkey</t>
  </si>
  <si>
    <t>Cr public school</t>
  </si>
  <si>
    <t>West Godavari</t>
  </si>
  <si>
    <t>shruti</t>
  </si>
  <si>
    <t>rita</t>
  </si>
  <si>
    <t>SNBP INTERNATIONAL SCHOOL, Wagholi</t>
  </si>
  <si>
    <t>bitu</t>
  </si>
  <si>
    <t>P.d</t>
  </si>
  <si>
    <t>Yadhav</t>
  </si>
  <si>
    <t>lanu</t>
  </si>
  <si>
    <t>minaj</t>
  </si>
  <si>
    <t>Rachna school</t>
  </si>
  <si>
    <t>Nirang</t>
  </si>
  <si>
    <t>Padhya</t>
  </si>
  <si>
    <t>S.S.V.M.PS</t>
  </si>
  <si>
    <t>govind</t>
  </si>
  <si>
    <t>Jaimin</t>
  </si>
  <si>
    <t>Makwana</t>
  </si>
  <si>
    <t>Riti</t>
  </si>
  <si>
    <t>Bishop west Scott namkum</t>
  </si>
  <si>
    <t>Kadam</t>
  </si>
  <si>
    <t>Grover</t>
  </si>
  <si>
    <t>Columbia foundation school</t>
  </si>
  <si>
    <t>Vanshit</t>
  </si>
  <si>
    <t>Chheda</t>
  </si>
  <si>
    <t>St. John's Universal School</t>
  </si>
  <si>
    <t>Eva Ekaterina</t>
  </si>
  <si>
    <t>Skrebets Karaseva</t>
  </si>
  <si>
    <t>Yemin-Orde</t>
  </si>
  <si>
    <t>Haifa</t>
  </si>
  <si>
    <t>Manav</t>
  </si>
  <si>
    <t>Chothani</t>
  </si>
  <si>
    <t>St.johns universal school</t>
  </si>
  <si>
    <t>Bhakat</t>
  </si>
  <si>
    <t>Delhi Public School, Farakka</t>
  </si>
  <si>
    <t>aupam</t>
  </si>
  <si>
    <t>roshini</t>
  </si>
  <si>
    <t>Kumari8</t>
  </si>
  <si>
    <t>Kamlijeet</t>
  </si>
  <si>
    <t>Ambika</t>
  </si>
  <si>
    <t>karish</t>
  </si>
  <si>
    <t>duber</t>
  </si>
  <si>
    <t>Rainbow International School</t>
  </si>
  <si>
    <t>Kangra</t>
  </si>
  <si>
    <t>franklin</t>
  </si>
  <si>
    <t>jessica</t>
  </si>
  <si>
    <t>Loreto Convent school</t>
  </si>
  <si>
    <t>Nawjeet</t>
  </si>
  <si>
    <t>Shailesh</t>
  </si>
  <si>
    <t>R.k</t>
  </si>
  <si>
    <t>Karyikeya</t>
  </si>
  <si>
    <t>dewp</t>
  </si>
  <si>
    <t>binit</t>
  </si>
  <si>
    <t>indrani</t>
  </si>
  <si>
    <t>singha</t>
  </si>
  <si>
    <t>KAPISTA HIGH SCHOOL</t>
  </si>
  <si>
    <t>Agrahari</t>
  </si>
  <si>
    <t>Sunbeam English school bhagwanpu</t>
  </si>
  <si>
    <t>Matsud</t>
  </si>
  <si>
    <t>DELHI PUBLIC</t>
  </si>
  <si>
    <t>dutta</t>
  </si>
  <si>
    <t>KENDRIYA VIDYALAYA SANTRAGACHI</t>
  </si>
  <si>
    <t>soreng</t>
  </si>
  <si>
    <t>ojha</t>
  </si>
  <si>
    <t>SWATI PRABANADA VIDYAPATH</t>
  </si>
  <si>
    <t>nandraj</t>
  </si>
  <si>
    <t>R.N</t>
  </si>
  <si>
    <t>shaw</t>
  </si>
  <si>
    <t>Rashma</t>
  </si>
  <si>
    <t>SETH SORJAMULLI JALAN BALIKA VIDYALAYA</t>
  </si>
  <si>
    <t>siddhart</t>
  </si>
  <si>
    <t>Braj</t>
  </si>
  <si>
    <t>Taxil</t>
  </si>
  <si>
    <t>Lucky</t>
  </si>
  <si>
    <t>Gari</t>
  </si>
  <si>
    <t>param</t>
  </si>
  <si>
    <t>SANT KABIR</t>
  </si>
  <si>
    <t>vedansh</t>
  </si>
  <si>
    <t>AKSYA</t>
  </si>
  <si>
    <t>R.N.P</t>
  </si>
  <si>
    <t>smith</t>
  </si>
  <si>
    <t>PATEL</t>
  </si>
  <si>
    <t>A ONE</t>
  </si>
  <si>
    <t>madit</t>
  </si>
  <si>
    <t>agraval</t>
  </si>
  <si>
    <t>kushan</t>
  </si>
  <si>
    <t>NIRMAN HIGH SCHOOL</t>
  </si>
  <si>
    <t>paritosh</t>
  </si>
  <si>
    <t>francis public school</t>
  </si>
  <si>
    <t>Vikkey</t>
  </si>
  <si>
    <t>dhanvin</t>
  </si>
  <si>
    <t>vora</t>
  </si>
  <si>
    <t>Hardev</t>
  </si>
  <si>
    <t>Kv dabla</t>
  </si>
  <si>
    <t>Jaisalmer</t>
  </si>
  <si>
    <t>Santoshi</t>
  </si>
  <si>
    <t>tejvani</t>
  </si>
  <si>
    <t>martin</t>
  </si>
  <si>
    <t>phenon</t>
  </si>
  <si>
    <t>ANAND NIKETAN</t>
  </si>
  <si>
    <t>krishi</t>
  </si>
  <si>
    <t>SATVA VIKAS</t>
  </si>
  <si>
    <t>Munna</t>
  </si>
  <si>
    <t>St. Francis School</t>
  </si>
  <si>
    <t>dldav model school pitampura</t>
  </si>
  <si>
    <t>delhi</t>
  </si>
  <si>
    <t>azit</t>
  </si>
  <si>
    <t>binay</t>
  </si>
  <si>
    <t>Hardik</t>
  </si>
  <si>
    <t>Krishn</t>
  </si>
  <si>
    <t>Kedia</t>
  </si>
  <si>
    <t>GD Goenka World School</t>
  </si>
  <si>
    <t>riva</t>
  </si>
  <si>
    <t>pratapshi</t>
  </si>
  <si>
    <t>SGVP</t>
  </si>
  <si>
    <t>St Francis Public school</t>
  </si>
  <si>
    <t>Shushil</t>
  </si>
  <si>
    <t>Ranju</t>
  </si>
  <si>
    <t>Dps public School</t>
  </si>
  <si>
    <t>arga</t>
  </si>
  <si>
    <t>sayan</t>
  </si>
  <si>
    <t>Dps School</t>
  </si>
  <si>
    <t>Aggarwal</t>
  </si>
  <si>
    <t>AVISHKAR</t>
  </si>
  <si>
    <t>Akkala</t>
  </si>
  <si>
    <t>samudraraj</t>
  </si>
  <si>
    <t>army public school barrackpore</t>
  </si>
  <si>
    <t>24pgs N</t>
  </si>
  <si>
    <t>SIIS</t>
  </si>
  <si>
    <t>Tamang</t>
  </si>
  <si>
    <t>Ruchita</t>
  </si>
  <si>
    <t>Amity international school Mayur vihar</t>
  </si>
  <si>
    <t>hossain</t>
  </si>
  <si>
    <t>Darasr</t>
  </si>
  <si>
    <t>Archit</t>
  </si>
  <si>
    <t>Sumbean Bhagwanpop</t>
  </si>
  <si>
    <t>Swrasaati sisu vidya mandir</t>
  </si>
  <si>
    <t>VIVEKANAND VIDYA MANDIR</t>
  </si>
  <si>
    <t>Dav kapildev</t>
  </si>
  <si>
    <t>saurab</t>
  </si>
  <si>
    <t>bashant</t>
  </si>
  <si>
    <t>Laiba</t>
  </si>
  <si>
    <t>St Louis</t>
  </si>
  <si>
    <t>sanjiv</t>
  </si>
  <si>
    <t>Prashad</t>
  </si>
  <si>
    <t>Bitash</t>
  </si>
  <si>
    <t>chotu</t>
  </si>
  <si>
    <t>Delhi public</t>
  </si>
  <si>
    <t>pamder</t>
  </si>
  <si>
    <t>Dps schoo</t>
  </si>
  <si>
    <t>Pawar Public School</t>
  </si>
  <si>
    <t>ayan</t>
  </si>
  <si>
    <t>bhayal</t>
  </si>
  <si>
    <t>antrix</t>
  </si>
  <si>
    <t>kumat</t>
  </si>
  <si>
    <t>shlok</t>
  </si>
  <si>
    <t>VK memorial school</t>
  </si>
  <si>
    <t>Vikesh</t>
  </si>
  <si>
    <t>bhavan</t>
  </si>
  <si>
    <t>kashish</t>
  </si>
  <si>
    <t>dixita</t>
  </si>
  <si>
    <t>mitansh</t>
  </si>
  <si>
    <t>aanand</t>
  </si>
  <si>
    <t>Rup</t>
  </si>
  <si>
    <t>murarka</t>
  </si>
  <si>
    <t>MAHAPRAGYUL</t>
  </si>
  <si>
    <t>Sacred Heart</t>
  </si>
  <si>
    <t>Saksena</t>
  </si>
  <si>
    <t>Oakridge International School</t>
  </si>
  <si>
    <t>Hyderabad</t>
  </si>
  <si>
    <t>suhani</t>
  </si>
  <si>
    <t>ajmera</t>
  </si>
  <si>
    <t>M.V.M</t>
  </si>
  <si>
    <t>manan</t>
  </si>
  <si>
    <t>karamchanda</t>
  </si>
  <si>
    <t>ST. LOYALA</t>
  </si>
  <si>
    <t>kartik</t>
  </si>
  <si>
    <t>JAHEM</t>
  </si>
  <si>
    <t>mistri</t>
  </si>
  <si>
    <t>Kairali Public School</t>
  </si>
  <si>
    <t>Mistri</t>
  </si>
  <si>
    <t>yug</t>
  </si>
  <si>
    <t>VASU INTERNATIONAL</t>
  </si>
  <si>
    <t>pavan</t>
  </si>
  <si>
    <t>suthar</t>
  </si>
  <si>
    <t>oza</t>
  </si>
  <si>
    <t>devasya</t>
  </si>
  <si>
    <t>ridham</t>
  </si>
  <si>
    <t>I.D.P SCHOOL</t>
  </si>
  <si>
    <t>harshika</t>
  </si>
  <si>
    <t>singhi</t>
  </si>
  <si>
    <t>MAHARAJA AGRESAN VIDHYALAY</t>
  </si>
  <si>
    <t>harshida</t>
  </si>
  <si>
    <t>ramnani</t>
  </si>
  <si>
    <t>Shumbham</t>
  </si>
  <si>
    <t>fahad</t>
  </si>
  <si>
    <t>masira</t>
  </si>
  <si>
    <t>nalanda</t>
  </si>
  <si>
    <t>Dav ,hatia</t>
  </si>
  <si>
    <t>kali</t>
  </si>
  <si>
    <t>kari</t>
  </si>
  <si>
    <t>gupts</t>
  </si>
  <si>
    <t>Jeshu</t>
  </si>
  <si>
    <t>tanishka</t>
  </si>
  <si>
    <t>MOUNT CARMEL SCHOOL</t>
  </si>
  <si>
    <t>prachi</t>
  </si>
  <si>
    <t>razvi</t>
  </si>
  <si>
    <t>bhaehbatt</t>
  </si>
  <si>
    <t>EARTH SCHOOL</t>
  </si>
  <si>
    <t>purtvi</t>
  </si>
  <si>
    <t>rai</t>
  </si>
  <si>
    <t>Darbhanga</t>
  </si>
  <si>
    <t>Pawki</t>
  </si>
  <si>
    <t>Varanasi/Uttar Pradesh</t>
  </si>
  <si>
    <t>Maxfort school dwarka</t>
  </si>
  <si>
    <t>Dwarka, New delhi</t>
  </si>
  <si>
    <t>Gaur</t>
  </si>
  <si>
    <t>ST. MARYS</t>
  </si>
  <si>
    <t>Sunil Kumar</t>
  </si>
  <si>
    <t>S.n.b.p international school wagholi,pune</t>
  </si>
  <si>
    <t>Sadaf</t>
  </si>
  <si>
    <t>Mansha</t>
  </si>
  <si>
    <t>Tagore senior secondary school</t>
  </si>
  <si>
    <t>Tanish</t>
  </si>
  <si>
    <t>Tagore sr. sec. School</t>
  </si>
  <si>
    <t>Mayapuri</t>
  </si>
  <si>
    <t>August</t>
  </si>
  <si>
    <t>Seth Anandram Jaipuria School</t>
  </si>
  <si>
    <t>Mundhra</t>
  </si>
  <si>
    <t>D G Khetan International School</t>
  </si>
  <si>
    <t>santhosh</t>
  </si>
  <si>
    <t>Amrita Vidyalayam</t>
  </si>
  <si>
    <t>Meghna</t>
  </si>
  <si>
    <t>Bankura</t>
  </si>
  <si>
    <t>Tushit</t>
  </si>
  <si>
    <t>Chatterjee</t>
  </si>
  <si>
    <t>Sunbeam English school, Bhagwanpur</t>
  </si>
  <si>
    <t>Vidhi</t>
  </si>
  <si>
    <t>Momaya</t>
  </si>
  <si>
    <t>rukmini devi public school</t>
  </si>
  <si>
    <t>rohini</t>
  </si>
  <si>
    <t>Shresth</t>
  </si>
  <si>
    <t>Sunbeam English School Bhagwanpur, Varanasi</t>
  </si>
  <si>
    <t>VARANASI</t>
  </si>
  <si>
    <t>Sunbeam english school bhagwanpur</t>
  </si>
  <si>
    <t>Sonebhadra</t>
  </si>
  <si>
    <t>Army public scholl LBS Marg.</t>
  </si>
  <si>
    <t>LUCKNOW</t>
  </si>
  <si>
    <t>Paramjeet</t>
  </si>
  <si>
    <t>Kaur Khalsa</t>
  </si>
  <si>
    <t>Tirathbai kalachand school</t>
  </si>
  <si>
    <t>Indore</t>
  </si>
  <si>
    <t>Arushi</t>
  </si>
  <si>
    <t>Amity International School, Mayur Vihar</t>
  </si>
  <si>
    <t>L.R.&amp;S.M Vissanji Academy</t>
  </si>
  <si>
    <t>Rakshit</t>
  </si>
  <si>
    <t>SUNBEAM ENGLISH SCHOOL</t>
  </si>
  <si>
    <t>PATNA</t>
  </si>
  <si>
    <t>Swami shivanand inatar collage</t>
  </si>
  <si>
    <t>Hatharas</t>
  </si>
  <si>
    <t>Mehrotra</t>
  </si>
  <si>
    <t>Army public school</t>
  </si>
  <si>
    <t>Teleni Para</t>
  </si>
  <si>
    <t>Ritrisha</t>
  </si>
  <si>
    <t>Army Public School Barrackpore</t>
  </si>
  <si>
    <t>Mayank singh</t>
  </si>
  <si>
    <t>Sunbeam English school BHAGWANPUR</t>
  </si>
  <si>
    <t>Ritam</t>
  </si>
  <si>
    <t>Chanda</t>
  </si>
  <si>
    <t>Army public school barrackpore</t>
  </si>
  <si>
    <t>Tannu</t>
  </si>
  <si>
    <t>DAV Police Public School</t>
  </si>
  <si>
    <t>Hembram</t>
  </si>
  <si>
    <t>Army Public School bkp</t>
  </si>
  <si>
    <t>Barrackpore</t>
  </si>
  <si>
    <t>Shubha</t>
  </si>
  <si>
    <t>GS</t>
  </si>
  <si>
    <t>Don Bosco ICSE school chitradurga district Karnataka India</t>
  </si>
  <si>
    <t>Chitradurga</t>
  </si>
  <si>
    <t>Army Public School, Barrackpore</t>
  </si>
  <si>
    <t>Barrackpore, North 24 Paraganas</t>
  </si>
  <si>
    <t>Angel</t>
  </si>
  <si>
    <t>Sunbeam English shool,BGN</t>
  </si>
  <si>
    <t>Bidita</t>
  </si>
  <si>
    <t>Chakraborty</t>
  </si>
  <si>
    <t>Barrackpore, Kolkata</t>
  </si>
  <si>
    <t>NARANG</t>
  </si>
  <si>
    <t>SALWAN PUBLIC SCHOOL</t>
  </si>
  <si>
    <t>Srijan</t>
  </si>
  <si>
    <t>Singh Visen</t>
  </si>
  <si>
    <t>Sunbeam Bhagwanpur</t>
  </si>
  <si>
    <t>Tanushree</t>
  </si>
  <si>
    <t>Sunbeam school Bhagwanpur</t>
  </si>
  <si>
    <t>Delhi /south west</t>
  </si>
  <si>
    <t>Biswas</t>
  </si>
  <si>
    <t>Army public school, Barrackpore</t>
  </si>
  <si>
    <t>Kolkata , North 24 parganas</t>
  </si>
  <si>
    <t>Vidushi</t>
  </si>
  <si>
    <t>Challa</t>
  </si>
  <si>
    <t>Oakridge</t>
  </si>
  <si>
    <t>Samadrita</t>
  </si>
  <si>
    <t>Bairagi</t>
  </si>
  <si>
    <t>Techno India Group Public School</t>
  </si>
  <si>
    <t>New Barrackpur, North 24 paraganas</t>
  </si>
  <si>
    <t>test</t>
  </si>
  <si>
    <t>Jalna</t>
  </si>
  <si>
    <t>Tanay</t>
  </si>
  <si>
    <t>Saxena</t>
  </si>
  <si>
    <t>Dma</t>
  </si>
  <si>
    <t>Meerut</t>
  </si>
  <si>
    <t>Taneja</t>
  </si>
  <si>
    <t>Salwan Public School</t>
  </si>
  <si>
    <t>Purvasha</t>
  </si>
  <si>
    <t>Dayawati Modi Academy</t>
  </si>
  <si>
    <t>Debarghya</t>
  </si>
  <si>
    <t>tapadar</t>
  </si>
  <si>
    <t>Army Public School , Kolkata</t>
  </si>
  <si>
    <t>Sreejan</t>
  </si>
  <si>
    <t>Chinmaya Vidhyalaya chala Kannur</t>
  </si>
  <si>
    <t>Kerela</t>
  </si>
  <si>
    <t>Anshul</t>
  </si>
  <si>
    <t>DAV Public School Koylanagar</t>
  </si>
  <si>
    <t>Dhanbad</t>
  </si>
  <si>
    <t>Shardul</t>
  </si>
  <si>
    <t>Dabholkar</t>
  </si>
  <si>
    <t>St.Joseph High School ( wadala)</t>
  </si>
  <si>
    <t>Mumbai/Maharashtra</t>
  </si>
  <si>
    <t>Samanvay</t>
  </si>
  <si>
    <t>Tagore.sr.sec School</t>
  </si>
  <si>
    <t>L R &amp; S M VISSANJI ACADEMY</t>
  </si>
  <si>
    <t>Laahwin</t>
  </si>
  <si>
    <t>Rk</t>
  </si>
  <si>
    <t>Care</t>
  </si>
  <si>
    <t>Thrichy</t>
  </si>
  <si>
    <t>Black</t>
  </si>
  <si>
    <t>Mask</t>
  </si>
  <si>
    <t>Sainik School</t>
  </si>
  <si>
    <t>chittranjan</t>
  </si>
  <si>
    <t>Haritha</t>
  </si>
  <si>
    <t>Anbazhaghan</t>
  </si>
  <si>
    <t>Nandana</t>
  </si>
  <si>
    <t>shubh</t>
  </si>
  <si>
    <t>Army Public School</t>
  </si>
  <si>
    <t>Barrackpore, North 24 Parganas</t>
  </si>
  <si>
    <t>G</t>
  </si>
  <si>
    <t>Sariya</t>
  </si>
  <si>
    <t>Firdous</t>
  </si>
  <si>
    <t>Springfielddsschool</t>
  </si>
  <si>
    <t>Telengana</t>
  </si>
  <si>
    <t>Adwitiya</t>
  </si>
  <si>
    <t>Mini</t>
  </si>
  <si>
    <t>Kapat</t>
  </si>
  <si>
    <t>Aayushi</t>
  </si>
  <si>
    <t>ARMY PUBLIC SCHOOL BARRACKPORE</t>
  </si>
  <si>
    <t>Kanchrapara</t>
  </si>
  <si>
    <t>Aayra</t>
  </si>
  <si>
    <t>Rius</t>
  </si>
  <si>
    <t>Maiti</t>
  </si>
  <si>
    <t>Javeriya M</t>
  </si>
  <si>
    <t>Tabassum</t>
  </si>
  <si>
    <t>Vidya vikas vidya samsthe</t>
  </si>
  <si>
    <t>Nishanth</t>
  </si>
  <si>
    <t>AV</t>
  </si>
  <si>
    <t>Sanjivani</t>
  </si>
  <si>
    <t>Nag</t>
  </si>
  <si>
    <t>24 Parganas (N)</t>
  </si>
  <si>
    <t>..</t>
  </si>
  <si>
    <t>Kottey</t>
  </si>
  <si>
    <t>Vikas The Concept School</t>
  </si>
  <si>
    <t>Hyderabad/Rangareddy District</t>
  </si>
  <si>
    <t>Maxfort School Dwarka</t>
  </si>
  <si>
    <t>JOHN</t>
  </si>
  <si>
    <t>J KARIAN</t>
  </si>
  <si>
    <t>MAR THOMA PUBLIC SCHOOL</t>
  </si>
  <si>
    <t>COCHIN</t>
  </si>
  <si>
    <t>Rupela</t>
  </si>
  <si>
    <t>Bharti Public School</t>
  </si>
  <si>
    <t>DELHI</t>
  </si>
  <si>
    <t>Hiten</t>
  </si>
  <si>
    <t>Jangra</t>
  </si>
  <si>
    <t>Anirudh</t>
  </si>
  <si>
    <t>Dagar</t>
  </si>
  <si>
    <t>KRMangalam World School</t>
  </si>
  <si>
    <t>Jeeya</t>
  </si>
  <si>
    <t>Udgam school</t>
  </si>
  <si>
    <t>Tambe</t>
  </si>
  <si>
    <t>St.Joseph's High School</t>
  </si>
  <si>
    <t>Dav police public school</t>
  </si>
  <si>
    <t>Samala</t>
  </si>
  <si>
    <t>Saiteja</t>
  </si>
  <si>
    <t>Geetanjali Global School</t>
  </si>
  <si>
    <t>NIZAMABAD</t>
  </si>
  <si>
    <t>gowda</t>
  </si>
  <si>
    <t>Narayana jr collage</t>
  </si>
  <si>
    <t>Banglore urban</t>
  </si>
  <si>
    <t>Arman</t>
  </si>
  <si>
    <t>D.A.V. Public School, Pushpanjali Enclave</t>
  </si>
  <si>
    <t>Delhi / Rohini</t>
  </si>
  <si>
    <t>Manya</t>
  </si>
  <si>
    <t>D.A.V Public School, Pushpanjali Enclave</t>
  </si>
  <si>
    <t>abhiram</t>
  </si>
  <si>
    <t>ruthala</t>
  </si>
  <si>
    <t>oakridge international school, newton campus</t>
  </si>
  <si>
    <t>hyderbad</t>
  </si>
  <si>
    <t>Atharv</t>
  </si>
  <si>
    <t>Nishtha</t>
  </si>
  <si>
    <t>Sachdeva</t>
  </si>
  <si>
    <t>Crista</t>
  </si>
  <si>
    <t>Loren Maria</t>
  </si>
  <si>
    <t>Cronos</t>
  </si>
  <si>
    <t>Bucharest</t>
  </si>
  <si>
    <t>Madhvi</t>
  </si>
  <si>
    <t>Monga</t>
  </si>
  <si>
    <t>Sawan public school</t>
  </si>
  <si>
    <t>Sirsa</t>
  </si>
  <si>
    <t>Batra</t>
  </si>
  <si>
    <t>Cambridge Foundation School, Rajouri Garden, New Delhi 110027</t>
  </si>
  <si>
    <t>karthik</t>
  </si>
  <si>
    <t>thota</t>
  </si>
  <si>
    <t>School of India</t>
  </si>
  <si>
    <t>Adi</t>
  </si>
  <si>
    <t>Eldan Miller</t>
  </si>
  <si>
    <t>Reut</t>
  </si>
  <si>
    <t>Mahimasree</t>
  </si>
  <si>
    <t>C S</t>
  </si>
  <si>
    <t>Suguna PIP School</t>
  </si>
  <si>
    <t>Chai</t>
  </si>
  <si>
    <t>Moriah</t>
  </si>
  <si>
    <t>Reut Jerusalem</t>
  </si>
  <si>
    <t>Efrat</t>
  </si>
  <si>
    <t>MOHANANANDA</t>
  </si>
  <si>
    <t>CHAKRABORTY</t>
  </si>
  <si>
    <t>DELHI PUBLIC SCHOOL DHANBAD</t>
  </si>
  <si>
    <t>DHANBAD</t>
  </si>
  <si>
    <t>Tavisha</t>
  </si>
  <si>
    <t>Kher</t>
  </si>
  <si>
    <t>Hitika</t>
  </si>
  <si>
    <t>Vaishali</t>
  </si>
  <si>
    <t>Dixit</t>
  </si>
  <si>
    <t>Lucknow</t>
  </si>
  <si>
    <t>Indus Valley Public School</t>
  </si>
  <si>
    <t>Saira</t>
  </si>
  <si>
    <t>Spring fields school</t>
  </si>
  <si>
    <t>F.P.S</t>
  </si>
  <si>
    <t>Jamia Senior Secondary School</t>
  </si>
  <si>
    <t>Mariah</t>
  </si>
  <si>
    <t>Akhunji</t>
  </si>
  <si>
    <t>Smpic Faculty Of Commerce</t>
  </si>
  <si>
    <t>Tirath bai kalchand school</t>
  </si>
  <si>
    <t>Shaurya and Naman</t>
  </si>
  <si>
    <t>Bhatia and Mandwawewala</t>
  </si>
  <si>
    <t>Maxfort Dwarka</t>
  </si>
  <si>
    <t>Samreen</t>
  </si>
  <si>
    <t>Meraj</t>
  </si>
  <si>
    <t>Springfields School</t>
  </si>
  <si>
    <t>Bhakti</t>
  </si>
  <si>
    <t>Andhare</t>
  </si>
  <si>
    <t>Army public school kirkee</t>
  </si>
  <si>
    <t>Army Public School Kirkee</t>
  </si>
  <si>
    <t>Hange</t>
  </si>
  <si>
    <t>Vishesh</t>
  </si>
  <si>
    <t>Bharti Public School, mayur vihar phase 3, delhi 110096</t>
  </si>
  <si>
    <t>Nainwaya</t>
  </si>
  <si>
    <t>Subodh Public School Rambagh</t>
  </si>
  <si>
    <t>Jaipur</t>
  </si>
  <si>
    <t>Somyaranjan</t>
  </si>
  <si>
    <t>Mohanty</t>
  </si>
  <si>
    <t>JNV deogarh</t>
  </si>
  <si>
    <t>Dhenkanal</t>
  </si>
  <si>
    <t>Dhiman</t>
  </si>
  <si>
    <t>Army public school lbs Lucknow</t>
  </si>
  <si>
    <t>Divine</t>
  </si>
  <si>
    <t>Vyara</t>
  </si>
  <si>
    <t>Spandana</t>
  </si>
  <si>
    <t>Mohapatra</t>
  </si>
  <si>
    <t>Indus Valley Public School, Noida</t>
  </si>
  <si>
    <t>Bhubaneswar</t>
  </si>
  <si>
    <t>kanishk</t>
  </si>
  <si>
    <t>Delhi Public School Varanasi</t>
  </si>
  <si>
    <t>Krishna Public School</t>
  </si>
  <si>
    <t>Raipur</t>
  </si>
  <si>
    <t>D.A.V. Public School, Pushpanjali Enclave, Delhi</t>
  </si>
  <si>
    <t>Kanishka</t>
  </si>
  <si>
    <t>Vij</t>
  </si>
  <si>
    <t>Khera</t>
  </si>
  <si>
    <t>Palash</t>
  </si>
  <si>
    <t>Tejas</t>
  </si>
  <si>
    <t>Vidya Vikasa Vidya Samsthe</t>
  </si>
  <si>
    <t>CHITRADURGA</t>
  </si>
  <si>
    <t>Meera</t>
  </si>
  <si>
    <t>Mohiddin</t>
  </si>
  <si>
    <t>Gvk chinmaya vidyalaya</t>
  </si>
  <si>
    <t>Nellore</t>
  </si>
  <si>
    <t>Jainer</t>
  </si>
  <si>
    <t>Antriksh Shiva</t>
  </si>
  <si>
    <t>Navedhyam</t>
  </si>
  <si>
    <t>Periwal</t>
  </si>
  <si>
    <t>bangalore</t>
  </si>
  <si>
    <t>Shivansh</t>
  </si>
  <si>
    <t>Shah Chawla</t>
  </si>
  <si>
    <t>DLDAV Model School, Pitampura, New Delhi</t>
  </si>
  <si>
    <t>Tiana</t>
  </si>
  <si>
    <t>JBCN International school</t>
  </si>
  <si>
    <t>SAUMYA</t>
  </si>
  <si>
    <t>HATHI</t>
  </si>
  <si>
    <t>JBCN INTERNATIONAL SCHOOL, BORIVALI WEST</t>
  </si>
  <si>
    <t>Chawla</t>
  </si>
  <si>
    <t>Sriram</t>
  </si>
  <si>
    <t>Venkittanarayanan</t>
  </si>
  <si>
    <t>Dinakaran</t>
  </si>
  <si>
    <t>Sundaresan</t>
  </si>
  <si>
    <t>Vidushee</t>
  </si>
  <si>
    <t>Mandloi</t>
  </si>
  <si>
    <t>Rewa</t>
  </si>
  <si>
    <t>xyz international</t>
  </si>
  <si>
    <t>Devina</t>
  </si>
  <si>
    <t>R.V</t>
  </si>
  <si>
    <t>Vidya Vikas Vidya Samaste</t>
  </si>
  <si>
    <t>Ambala</t>
  </si>
  <si>
    <t>Gaikwad</t>
  </si>
  <si>
    <t>Sainik school chandrapur</t>
  </si>
  <si>
    <t>7709980030/9175846084</t>
  </si>
  <si>
    <t>Maayan</t>
  </si>
  <si>
    <t>Asaraf</t>
  </si>
  <si>
    <t>Maayanot kfar dumim</t>
  </si>
  <si>
    <t>kfar Adumim</t>
  </si>
  <si>
    <t>CHINMAYEE</t>
  </si>
  <si>
    <t>SA</t>
  </si>
  <si>
    <t>DALMIA VIDYA MANDIR</t>
  </si>
  <si>
    <t>SUNDERGARH</t>
  </si>
  <si>
    <t>Sumedh</t>
  </si>
  <si>
    <t>Gunjal</t>
  </si>
  <si>
    <t>St Joseph's High School</t>
  </si>
  <si>
    <t>aumkar</t>
  </si>
  <si>
    <t>menon kayappurath</t>
  </si>
  <si>
    <t>deens academy whitefield</t>
  </si>
  <si>
    <t>bengaluru</t>
  </si>
  <si>
    <t>Kashika</t>
  </si>
  <si>
    <t>DPS, GBN Expressway</t>
  </si>
  <si>
    <t>Ziv</t>
  </si>
  <si>
    <t>Bina</t>
  </si>
  <si>
    <t>Ben-Zvi High School</t>
  </si>
  <si>
    <t>Kiryat Ono</t>
  </si>
  <si>
    <t>Dutt</t>
  </si>
  <si>
    <t>Delhi Public School, Roorkee</t>
  </si>
  <si>
    <t>Roorkee</t>
  </si>
  <si>
    <t>Adrija</t>
  </si>
  <si>
    <t>Basu</t>
  </si>
  <si>
    <t>DAV MODEL SCHOOL,DURGAPUR</t>
  </si>
  <si>
    <t>Durgapur</t>
  </si>
  <si>
    <t>Ruchira</t>
  </si>
  <si>
    <t>Delhi Public School Roorkee</t>
  </si>
  <si>
    <t>ARMY PUBLIC SCHOOL</t>
  </si>
  <si>
    <t>Nandani</t>
  </si>
  <si>
    <t>Jalan</t>
  </si>
  <si>
    <t>Krishna Public school</t>
  </si>
  <si>
    <t>Gov.sr.sec.school</t>
  </si>
  <si>
    <t>Samridh</t>
  </si>
  <si>
    <t>Army Public School, Dhaula Kuan</t>
  </si>
  <si>
    <t>Soumili</t>
  </si>
  <si>
    <t>Mahanty</t>
  </si>
  <si>
    <t>DAV MODEL SCHOOL DUGRAPUR</t>
  </si>
  <si>
    <t>SAMRIDDHI</t>
  </si>
  <si>
    <t>PANDEY</t>
  </si>
  <si>
    <t>ROHAN</t>
  </si>
  <si>
    <t>Chandrawanshi</t>
  </si>
  <si>
    <t>Krishna public school dunda raipur chhatisgarh</t>
  </si>
  <si>
    <t>Niyati</t>
  </si>
  <si>
    <t>Ritul</t>
  </si>
  <si>
    <t>Suhani</t>
  </si>
  <si>
    <t>Amity international school</t>
  </si>
  <si>
    <t>Ifra</t>
  </si>
  <si>
    <t>Amtullah</t>
  </si>
  <si>
    <t>Prasad Dwivedi</t>
  </si>
  <si>
    <t>K.V.No.1 Rewa (M.P.)</t>
  </si>
  <si>
    <t>Yakov</t>
  </si>
  <si>
    <t>Linoy</t>
  </si>
  <si>
    <t>Ben Zvi</t>
  </si>
  <si>
    <t>Or Yehuda</t>
  </si>
  <si>
    <t>Pakhi</t>
  </si>
  <si>
    <t>Priyamvada</t>
  </si>
  <si>
    <t>St. Helena's School</t>
  </si>
  <si>
    <t>SARANSH</t>
  </si>
  <si>
    <t>MOHANTA</t>
  </si>
  <si>
    <t>Army Public School - 3 , LBS Marg , Lucknow Cantt &amp;lt; lucknow</t>
  </si>
  <si>
    <t>anmol</t>
  </si>
  <si>
    <t>goel</t>
  </si>
  <si>
    <t>Darbari Lal DAV Model School, Pitampura, Delhi</t>
  </si>
  <si>
    <t>pitampura</t>
  </si>
  <si>
    <t>Garg</t>
  </si>
  <si>
    <t>Dps Dwarka</t>
  </si>
  <si>
    <t>Yukti</t>
  </si>
  <si>
    <t>Kanojia</t>
  </si>
  <si>
    <t>DPS GBN</t>
  </si>
  <si>
    <t>titiksha</t>
  </si>
  <si>
    <t>manav</t>
  </si>
  <si>
    <t>maxfort dwarka</t>
  </si>
  <si>
    <t>nangal raya , new delhi</t>
  </si>
  <si>
    <t>Tanirika</t>
  </si>
  <si>
    <t>Ghosh</t>
  </si>
  <si>
    <t>Pearl</t>
  </si>
  <si>
    <t>Dua</t>
  </si>
  <si>
    <t>Army Public school</t>
  </si>
  <si>
    <t>Dhrangadhra</t>
  </si>
  <si>
    <t>Kansal</t>
  </si>
  <si>
    <t>Bal bharati Public School,Rohini</t>
  </si>
  <si>
    <t>Remiya</t>
  </si>
  <si>
    <t>Polar International school</t>
  </si>
  <si>
    <t>Ivps</t>
  </si>
  <si>
    <t>Sreya</t>
  </si>
  <si>
    <t>Shaktidhar</t>
  </si>
  <si>
    <t>Oswal</t>
  </si>
  <si>
    <t>Sanjay ghodawat international school</t>
  </si>
  <si>
    <t>Kolhapur</t>
  </si>
  <si>
    <t>KARTIK</t>
  </si>
  <si>
    <t>HARSHA</t>
  </si>
  <si>
    <t>APARAJITA</t>
  </si>
  <si>
    <t>AVANISH</t>
  </si>
  <si>
    <t>ARPIT</t>
  </si>
  <si>
    <t>MOHAPATRA</t>
  </si>
  <si>
    <t>ISHIKA</t>
  </si>
  <si>
    <t>Achary</t>
  </si>
  <si>
    <t>Sundergarh</t>
  </si>
  <si>
    <t>Gems akademia International school</t>
  </si>
  <si>
    <t>Bhagwat</t>
  </si>
  <si>
    <t>Vidya Vikas Academy</t>
  </si>
  <si>
    <t>Margao</t>
  </si>
  <si>
    <t>Abir</t>
  </si>
  <si>
    <t>Ramagya International School</t>
  </si>
  <si>
    <t>Zonish</t>
  </si>
  <si>
    <t>Siddiqui</t>
  </si>
  <si>
    <t>DPS, GBN</t>
  </si>
  <si>
    <t>Ishaan</t>
  </si>
  <si>
    <t>Lohumi</t>
  </si>
  <si>
    <t>Delhi Public School Gautam Budh Nagar</t>
  </si>
  <si>
    <t>Bageshwar</t>
  </si>
  <si>
    <t>Zoheb</t>
  </si>
  <si>
    <t>Nakhwa</t>
  </si>
  <si>
    <t>St Joseph's High school,wadala</t>
  </si>
  <si>
    <t>Battu</t>
  </si>
  <si>
    <t>sai shanmukh</t>
  </si>
  <si>
    <t>Amrita vidyalayam</t>
  </si>
  <si>
    <t>Singh Charan</t>
  </si>
  <si>
    <t>SIES (DR APJ ABDUL KALAM MEMORIAL) HIGH SCHOOL</t>
  </si>
  <si>
    <t>faraaz</t>
  </si>
  <si>
    <t>Deens Academy</t>
  </si>
  <si>
    <t>Aman s</t>
  </si>
  <si>
    <t>The School of the Good Shepherd</t>
  </si>
  <si>
    <t>Trivandrum</t>
  </si>
  <si>
    <t>Adarsh</t>
  </si>
  <si>
    <t>D.A.V Pushpanjali Enclave</t>
  </si>
  <si>
    <t>Purushotma</t>
  </si>
  <si>
    <t>Chhabra</t>
  </si>
  <si>
    <t>Bal Bharati Public School, Rohini</t>
  </si>
  <si>
    <t>Sanchit</t>
  </si>
  <si>
    <t>Ramagya School</t>
  </si>
  <si>
    <t>Noida (New Okhla Industrial Development Authority)</t>
  </si>
  <si>
    <t>Terrence</t>
  </si>
  <si>
    <t>St Joseph High School</t>
  </si>
  <si>
    <t>Pranshu</t>
  </si>
  <si>
    <t>Ramagya</t>
  </si>
  <si>
    <t>Jasmeet Singh</t>
  </si>
  <si>
    <t>Gurgaon</t>
  </si>
  <si>
    <t>Chouhan</t>
  </si>
  <si>
    <t>Gangal</t>
  </si>
  <si>
    <t>RAMAGYA</t>
  </si>
  <si>
    <t>Bhatnagar</t>
  </si>
  <si>
    <t>At. Joseph's high school wadala</t>
  </si>
  <si>
    <t>Padhy</t>
  </si>
  <si>
    <t>Indus valley Public School</t>
  </si>
  <si>
    <t>Vatsal</t>
  </si>
  <si>
    <t>O.P. Jindal School</t>
  </si>
  <si>
    <t>Raigarh</t>
  </si>
  <si>
    <t>komya</t>
  </si>
  <si>
    <t>kaustubha</t>
  </si>
  <si>
    <t>ITL Public school</t>
  </si>
  <si>
    <t>Bharti public school</t>
  </si>
  <si>
    <t>Trity</t>
  </si>
  <si>
    <t>Saikia</t>
  </si>
  <si>
    <t>Noida/GBN</t>
  </si>
  <si>
    <t>Navistha</t>
  </si>
  <si>
    <t>divyanshi</t>
  </si>
  <si>
    <t>maxfort school dwarka</t>
  </si>
  <si>
    <t>new delhi</t>
  </si>
  <si>
    <t>Hussain</t>
  </si>
  <si>
    <t>Billabong high</t>
  </si>
  <si>
    <t>Bhopal</t>
  </si>
  <si>
    <t>Iyer</t>
  </si>
  <si>
    <t>Samhitha Academy</t>
  </si>
  <si>
    <t>Bengaluru</t>
  </si>
  <si>
    <t>Shifa</t>
  </si>
  <si>
    <t>Prakarshi</t>
  </si>
  <si>
    <t>DPS, GBN Expressway 132</t>
  </si>
  <si>
    <t>Noida / Uttar Pradesh</t>
  </si>
  <si>
    <t>Kushagra</t>
  </si>
  <si>
    <t>Sacred Heart School</t>
  </si>
  <si>
    <t>Saanvi</t>
  </si>
  <si>
    <t>DPS,GBN Expressway 132</t>
  </si>
  <si>
    <t>Noida Uttar Pradesh</t>
  </si>
  <si>
    <t>Kavitha</t>
  </si>
  <si>
    <t>Gopalan</t>
  </si>
  <si>
    <t>Kokwani</t>
  </si>
  <si>
    <t>Shree Shajand Group Of Colledgse</t>
  </si>
  <si>
    <t>Bhavnagar</t>
  </si>
  <si>
    <t>saatvik</t>
  </si>
  <si>
    <t>tyagi</t>
  </si>
  <si>
    <t>maxfort</t>
  </si>
  <si>
    <t>dwarka</t>
  </si>
  <si>
    <t>Aanya</t>
  </si>
  <si>
    <t>Maxfort school, Dwarka</t>
  </si>
  <si>
    <t>Dhruthi</t>
  </si>
  <si>
    <t>N</t>
  </si>
  <si>
    <t>Deccan International School</t>
  </si>
  <si>
    <t>Sejwal</t>
  </si>
  <si>
    <t>Chinmaya Vidyalaya Vasant vihar</t>
  </si>
  <si>
    <t>Anat</t>
  </si>
  <si>
    <t>Bogomolov</t>
  </si>
  <si>
    <t>Irony Hey</t>
  </si>
  <si>
    <t>Ojas</t>
  </si>
  <si>
    <t>Nahta</t>
  </si>
  <si>
    <t>Mayo college</t>
  </si>
  <si>
    <t>Bikaner</t>
  </si>
  <si>
    <t>Bhat</t>
  </si>
  <si>
    <t>Sarvodaya National Public School</t>
  </si>
  <si>
    <t>Achyut</t>
  </si>
  <si>
    <t>D.A.V Public School</t>
  </si>
  <si>
    <t>Ahren</t>
  </si>
  <si>
    <t>Nabeeha</t>
  </si>
  <si>
    <t>Rizvi</t>
  </si>
  <si>
    <t>Aryav</t>
  </si>
  <si>
    <t>Madaan</t>
  </si>
  <si>
    <t>Dps sector 132 gautan budh nagar</t>
  </si>
  <si>
    <t>Uttar pradesg</t>
  </si>
  <si>
    <t>Bansal</t>
  </si>
  <si>
    <t>Dav Police Public School</t>
  </si>
  <si>
    <t>Uniyal</t>
  </si>
  <si>
    <t>Indus valley public school</t>
  </si>
  <si>
    <t>Amity International School, Saket</t>
  </si>
  <si>
    <t>Delhi Public School, GBN</t>
  </si>
  <si>
    <t>Akshit</t>
  </si>
  <si>
    <t>Delhi public school,GBN</t>
  </si>
  <si>
    <t>Sharan</t>
  </si>
  <si>
    <t>Teja</t>
  </si>
  <si>
    <t>Narayana</t>
  </si>
  <si>
    <t>Hayathnagar</t>
  </si>
  <si>
    <t>Krishnaveni</t>
  </si>
  <si>
    <t>S A</t>
  </si>
  <si>
    <t>Paramekkavu Vidya Mandir</t>
  </si>
  <si>
    <t>Thrissur</t>
  </si>
  <si>
    <t>s</t>
  </si>
  <si>
    <t>sss</t>
  </si>
  <si>
    <t>Axitha</t>
  </si>
  <si>
    <t>Mudavathu</t>
  </si>
  <si>
    <t>Defence laboratories school</t>
  </si>
  <si>
    <t>Zunera Kounain</t>
  </si>
  <si>
    <t>Shaik</t>
  </si>
  <si>
    <t>Smaran</t>
  </si>
  <si>
    <t>SJCS</t>
  </si>
  <si>
    <t>Banglore</t>
  </si>
  <si>
    <t>Adarsh Vikas Vidyalaya</t>
  </si>
  <si>
    <t>Patna</t>
  </si>
  <si>
    <t>Bharath Raghavendra</t>
  </si>
  <si>
    <t>Perni</t>
  </si>
  <si>
    <t>Mahatma Vidyalaya</t>
  </si>
  <si>
    <t>Vanshika</t>
  </si>
  <si>
    <t>Manchanda</t>
  </si>
  <si>
    <t>Shiksha Bharati Vidyalaya</t>
  </si>
  <si>
    <t>Rohtak</t>
  </si>
  <si>
    <t>Tikam</t>
  </si>
  <si>
    <t>Rk paradise Academy</t>
  </si>
  <si>
    <t>Jodhpur</t>
  </si>
  <si>
    <t>DAV public school patiala</t>
  </si>
  <si>
    <t>Patiala</t>
  </si>
  <si>
    <t>Abdullah bin</t>
  </si>
  <si>
    <t>Mohammed naseeruddin</t>
  </si>
  <si>
    <t>Springfields school masabtank</t>
  </si>
  <si>
    <t>Sharma shiksan sanstha</t>
  </si>
  <si>
    <t>SIHAG</t>
  </si>
  <si>
    <t>DAVPS, SECTOR 49 , GURGUGRAM</t>
  </si>
  <si>
    <t>GURUGRAM</t>
  </si>
  <si>
    <t>Bhowmick</t>
  </si>
  <si>
    <t>Ibraheem</t>
  </si>
  <si>
    <t>Basheer</t>
  </si>
  <si>
    <t>Spring Field School</t>
  </si>
  <si>
    <t>Telangana</t>
  </si>
  <si>
    <t>Altamas</t>
  </si>
  <si>
    <t>SPRING FIELDS SCHOOL</t>
  </si>
  <si>
    <t>Seyan</t>
  </si>
  <si>
    <t>Pawar Public School , Kandivali (W)</t>
  </si>
  <si>
    <t>Kalsi</t>
  </si>
  <si>
    <t>GMSSS 10</t>
  </si>
  <si>
    <t>Chandigarh</t>
  </si>
  <si>
    <t>Firozabad</t>
  </si>
  <si>
    <t>Akhuli</t>
  </si>
  <si>
    <t>Sainik School Purulia</t>
  </si>
  <si>
    <t>Fatema</t>
  </si>
  <si>
    <t>Najam</t>
  </si>
  <si>
    <t>Universal high school</t>
  </si>
  <si>
    <t>Amity International School Mayur Vihar</t>
  </si>
  <si>
    <t>Nanda Kumar</t>
  </si>
  <si>
    <t>Kasetty</t>
  </si>
  <si>
    <t>VNR Vignana Jyothi</t>
  </si>
  <si>
    <t>Bihar</t>
  </si>
  <si>
    <t>Gyan joti memorials college</t>
  </si>
  <si>
    <t>Hazaribagh</t>
  </si>
  <si>
    <t>Baldava</t>
  </si>
  <si>
    <t>Chatrabhuj Narsee Memorial School</t>
  </si>
  <si>
    <t>Mumbai Suburban</t>
  </si>
  <si>
    <t>Monisha</t>
  </si>
  <si>
    <t>VELAMMAL BODHI CAMPUS KANCHIPURAM</t>
  </si>
  <si>
    <t>Kanchipuram</t>
  </si>
  <si>
    <t>Aayush</t>
  </si>
  <si>
    <t>Parui</t>
  </si>
  <si>
    <t>St Joseph</t>
  </si>
  <si>
    <t>Malik</t>
  </si>
  <si>
    <t>Bvm</t>
  </si>
  <si>
    <t>Ludhiana</t>
  </si>
  <si>
    <t>avni</t>
  </si>
  <si>
    <t>ganjoo</t>
  </si>
  <si>
    <t>delhi public school gautam buddh nagar</t>
  </si>
  <si>
    <t>noida</t>
  </si>
  <si>
    <t>Hafsa Maryam</t>
  </si>
  <si>
    <t>Springfields School, Masab Tank</t>
  </si>
  <si>
    <t>Shritha Shivani</t>
  </si>
  <si>
    <t>Mangari</t>
  </si>
  <si>
    <t>Oakridge International</t>
  </si>
  <si>
    <t>Shivendra</t>
  </si>
  <si>
    <t>Krishna public school</t>
  </si>
  <si>
    <t>SpringField School</t>
  </si>
  <si>
    <t>Children's Academy</t>
  </si>
  <si>
    <t>Angelika</t>
  </si>
  <si>
    <t>Delhi Public School , GBN</t>
  </si>
  <si>
    <t>Abrar</t>
  </si>
  <si>
    <t>Mohiuddin</t>
  </si>
  <si>
    <t>hyderabad</t>
  </si>
  <si>
    <t>Vinu</t>
  </si>
  <si>
    <t>Bgs National public school</t>
  </si>
  <si>
    <t>5thgrade</t>
  </si>
  <si>
    <t>Mavi</t>
  </si>
  <si>
    <t>Delhi public School ,GBN</t>
  </si>
  <si>
    <t>Gautam Buddh Nagar</t>
  </si>
  <si>
    <t>Borkar</t>
  </si>
  <si>
    <t>Tirathbai Kalachand school</t>
  </si>
  <si>
    <t>Tavish</t>
  </si>
  <si>
    <t>Fahjwj</t>
  </si>
  <si>
    <t>Fshsjns</t>
  </si>
  <si>
    <t>Hsjsj</t>
  </si>
  <si>
    <t>Ahad</t>
  </si>
  <si>
    <t>Ryan International school Noida</t>
  </si>
  <si>
    <t>Abdul , Samyak</t>
  </si>
  <si>
    <t>Ahad , Mishra</t>
  </si>
  <si>
    <t>Ryan interanation school Noida</t>
  </si>
  <si>
    <t>Vaid</t>
  </si>
  <si>
    <t>Army Public School, Ambala Cantt</t>
  </si>
  <si>
    <t>Ambala Cantt</t>
  </si>
  <si>
    <t>Kalouni</t>
  </si>
  <si>
    <t>Noida, Gautam Buddh Nagar</t>
  </si>
  <si>
    <t>Aadit</t>
  </si>
  <si>
    <t>Army Public School, Ambala</t>
  </si>
  <si>
    <t>Samdarsh</t>
  </si>
  <si>
    <t>Mahajan</t>
  </si>
  <si>
    <t>Army Public School Ambala cantt</t>
  </si>
  <si>
    <t>thiru</t>
  </si>
  <si>
    <t>G.K. Shetty Vivekananda Vidyalaya</t>
  </si>
  <si>
    <t>chennai</t>
  </si>
  <si>
    <t>Shruthi</t>
  </si>
  <si>
    <t>Sns academy</t>
  </si>
  <si>
    <t>Syed</t>
  </si>
  <si>
    <t>Abbas</t>
  </si>
  <si>
    <t>Delhi Public School, Gautam Buddh Nagar</t>
  </si>
  <si>
    <t>Ishayu</t>
  </si>
  <si>
    <t>Samant</t>
  </si>
  <si>
    <t>Vidya vikas academy</t>
  </si>
  <si>
    <t>Margoa</t>
  </si>
  <si>
    <t>Tejal</t>
  </si>
  <si>
    <t>Kundu</t>
  </si>
  <si>
    <t>Delhi Public School, Gautum Buddh Nagar, Sector 132, Noida</t>
  </si>
  <si>
    <t>Abhay</t>
  </si>
  <si>
    <t>Prajapat</t>
  </si>
  <si>
    <t>Bhardwaj</t>
  </si>
  <si>
    <t>Kumar Singh</t>
  </si>
  <si>
    <t>.</t>
  </si>
  <si>
    <t>O. P. Jindal school</t>
  </si>
  <si>
    <t>Raigarh C.G.</t>
  </si>
  <si>
    <t>Lakhani</t>
  </si>
  <si>
    <t>Tirathbai Kalachand School</t>
  </si>
  <si>
    <t>Krutagya</t>
  </si>
  <si>
    <t>Kuwadiya</t>
  </si>
  <si>
    <t>Tirath bai kalachand school</t>
  </si>
  <si>
    <t>Dhawal</t>
  </si>
  <si>
    <t>RGPV</t>
  </si>
  <si>
    <t>Saara</t>
  </si>
  <si>
    <t>Mathur</t>
  </si>
  <si>
    <t>Jayshree Periwal High School</t>
  </si>
  <si>
    <t>Kumar Nath</t>
  </si>
  <si>
    <t>Delhi Public School, Gautam Buddha Nagar</t>
  </si>
  <si>
    <t>Noida, Gautam Buddha Nagar</t>
  </si>
  <si>
    <t>Saba</t>
  </si>
  <si>
    <t>Delhi public school, Gautam Buddh nagar</t>
  </si>
  <si>
    <t>M</t>
  </si>
  <si>
    <t>Opjs</t>
  </si>
  <si>
    <t>Dps gbn</t>
  </si>
  <si>
    <t>Garvit</t>
  </si>
  <si>
    <t>Bhavishya</t>
  </si>
  <si>
    <t>Lalwani</t>
  </si>
  <si>
    <t>Delhi Public School Expressway Sector - 132</t>
  </si>
  <si>
    <t>Wadhwa</t>
  </si>
  <si>
    <t>Pathfinder Global School</t>
  </si>
  <si>
    <t>Abdul Aziz</t>
  </si>
  <si>
    <t>Creekside International School</t>
  </si>
  <si>
    <t>Hyderabad,Bandlaguda jagir Suncity</t>
  </si>
  <si>
    <t>Pandit</t>
  </si>
  <si>
    <t>Delhi Public School GBN</t>
  </si>
  <si>
    <t>Dabas</t>
  </si>
  <si>
    <t>Bal Bharati Public School, Pitampura</t>
  </si>
  <si>
    <t>Meiraj</t>
  </si>
  <si>
    <t>Fatima</t>
  </si>
  <si>
    <t>Spring feilds school</t>
  </si>
  <si>
    <t>Purusharth</t>
  </si>
  <si>
    <t>Arwachin Bharti Bhawan Vivek Vihar</t>
  </si>
  <si>
    <t>Divija</t>
  </si>
  <si>
    <t>Bal Bharati Public School</t>
  </si>
  <si>
    <t>Noida/ Gautam Buddha Nagar</t>
  </si>
  <si>
    <t>Dav public School sec 49 gurugram</t>
  </si>
  <si>
    <t>Apaar</t>
  </si>
  <si>
    <t>Khare</t>
  </si>
  <si>
    <t>demo</t>
  </si>
  <si>
    <t>Sadhana.</t>
  </si>
  <si>
    <t>T.P</t>
  </si>
  <si>
    <t>SEA Primary And Higher Secondary School</t>
  </si>
  <si>
    <t>Vasant Valley School</t>
  </si>
  <si>
    <t>Anika</t>
  </si>
  <si>
    <t>Akash yogi</t>
  </si>
  <si>
    <t>Yarlagadda</t>
  </si>
  <si>
    <t>Ashlesha</t>
  </si>
  <si>
    <t>Daga</t>
  </si>
  <si>
    <t>Delhi public school gbn</t>
  </si>
  <si>
    <t>Divij</t>
  </si>
  <si>
    <t>Delhi public school gautam buddh nagar</t>
  </si>
  <si>
    <t>Zaima</t>
  </si>
  <si>
    <t>Sarvataman</t>
  </si>
  <si>
    <t>Delhi Public School, Gbn</t>
  </si>
  <si>
    <t>Aryaman</t>
  </si>
  <si>
    <t>DPS,GBN</t>
  </si>
  <si>
    <t>Manglik</t>
  </si>
  <si>
    <t>Delhi Public School G.B.N Expressway</t>
  </si>
  <si>
    <t>Shourya</t>
  </si>
  <si>
    <t>Yashi</t>
  </si>
  <si>
    <t>Raigar</t>
  </si>
  <si>
    <t>Sarvatamam</t>
  </si>
  <si>
    <t>Dps,Gbn</t>
  </si>
  <si>
    <t>Delhi Public School, Gautam Budh Nagar</t>
  </si>
  <si>
    <t>Sidra</t>
  </si>
  <si>
    <t>Akshaj</t>
  </si>
  <si>
    <t>sushil</t>
  </si>
  <si>
    <t>Mungekar</t>
  </si>
  <si>
    <t>Shishuvan</t>
  </si>
  <si>
    <t>samriddhi</t>
  </si>
  <si>
    <t>Dps Gbn</t>
  </si>
  <si>
    <t>Samridhi</t>
  </si>
  <si>
    <t>Greater Noida</t>
  </si>
  <si>
    <t>Delhi public school, GBN</t>
  </si>
  <si>
    <t>Karunya</t>
  </si>
  <si>
    <t>Muskaan</t>
  </si>
  <si>
    <t>Pitti</t>
  </si>
  <si>
    <t>Oakridge international school</t>
  </si>
  <si>
    <t>Monish</t>
  </si>
  <si>
    <t>Balusu</t>
  </si>
  <si>
    <t>Hyderabad /rangareddy</t>
  </si>
  <si>
    <t>Kunwar</t>
  </si>
  <si>
    <t>Op Jindal school</t>
  </si>
  <si>
    <t>ARMY PUBLIC SCHOOL RANCHI</t>
  </si>
  <si>
    <t>Vridhi</t>
  </si>
  <si>
    <t>Anhad Singh</t>
  </si>
  <si>
    <t>Makar</t>
  </si>
  <si>
    <t>Amity International school, Mayur Vihar</t>
  </si>
  <si>
    <t>Amity International School</t>
  </si>
  <si>
    <t>Chaitanya</t>
  </si>
  <si>
    <t>Dps GBn</t>
  </si>
  <si>
    <t>Sharbani</t>
  </si>
  <si>
    <t>Siliguri</t>
  </si>
  <si>
    <t>Garima</t>
  </si>
  <si>
    <t>St Teresa school</t>
  </si>
  <si>
    <t>Sanjith</t>
  </si>
  <si>
    <t>Sathish</t>
  </si>
  <si>
    <t>St. John’s Public school</t>
  </si>
  <si>
    <t>Gaurisha</t>
  </si>
  <si>
    <t>Araaf</t>
  </si>
  <si>
    <t>zaidi</t>
  </si>
  <si>
    <t>Delhi public school G.B.N</t>
  </si>
  <si>
    <t>Mannya</t>
  </si>
  <si>
    <t>Singhal</t>
  </si>
  <si>
    <t>Shashwat</t>
  </si>
  <si>
    <t>Chandel</t>
  </si>
  <si>
    <t>O.P Jindal School</t>
  </si>
  <si>
    <t>Hammad uddin</t>
  </si>
  <si>
    <t>Springfields school</t>
  </si>
  <si>
    <t>Bhavay</t>
  </si>
  <si>
    <t>Rathi</t>
  </si>
  <si>
    <t>O.P. Jindal school</t>
  </si>
  <si>
    <t>Aarnik</t>
  </si>
  <si>
    <t>Tomar</t>
  </si>
  <si>
    <t>NOIDA</t>
  </si>
  <si>
    <t>East Delhi</t>
  </si>
  <si>
    <t>M ZEESHAN</t>
  </si>
  <si>
    <t>AHMED KHAN</t>
  </si>
  <si>
    <t>Spring Fields School</t>
  </si>
  <si>
    <t>Devanshi</t>
  </si>
  <si>
    <t>St. Thomas Schools, Mandir Marg</t>
  </si>
  <si>
    <t>Ishana</t>
  </si>
  <si>
    <t>Delhi Public School, Gautum Buddh Nagar</t>
  </si>
  <si>
    <t>Gautum Buddh Nagar</t>
  </si>
  <si>
    <t>Ansumaan</t>
  </si>
  <si>
    <t>Patnaik</t>
  </si>
  <si>
    <t>Kartikey</t>
  </si>
  <si>
    <t>Tyagi</t>
  </si>
  <si>
    <t>House no. B-11 Street no.7 New Govindpura, New Delhi</t>
  </si>
  <si>
    <t>amity International school ,Mayur Vihar P-1</t>
  </si>
  <si>
    <t>Aishwarya</t>
  </si>
  <si>
    <t>St. Teresa School</t>
  </si>
  <si>
    <t>Indirapuram , Ghaziabad</t>
  </si>
  <si>
    <t>Singla</t>
  </si>
  <si>
    <t>White Leaf Public School</t>
  </si>
  <si>
    <t>O.P jindal school Raigarh</t>
  </si>
  <si>
    <t>Aarna</t>
  </si>
  <si>
    <t>Akankshya</t>
  </si>
  <si>
    <t>rath</t>
  </si>
  <si>
    <t>dps gbn</t>
  </si>
  <si>
    <t>Jappan</t>
  </si>
  <si>
    <t>Gujral</t>
  </si>
  <si>
    <t>Army public school Ranchi</t>
  </si>
  <si>
    <t>Mehak</t>
  </si>
  <si>
    <t>Little Flowers Public Sr. Sec. School</t>
  </si>
  <si>
    <t>Shahdara</t>
  </si>
  <si>
    <t>Alaina</t>
  </si>
  <si>
    <t>Goel</t>
  </si>
  <si>
    <t>Lavanya</t>
  </si>
  <si>
    <t>Delhi public school, GBN , greater noida</t>
  </si>
  <si>
    <t>Delhi, noida</t>
  </si>
  <si>
    <t>PRAVESH KUMAR</t>
  </si>
  <si>
    <t>SINGH TOMAR</t>
  </si>
  <si>
    <t>Bvm usn</t>
  </si>
  <si>
    <t>Ludhiana punjab</t>
  </si>
  <si>
    <t>Nysa</t>
  </si>
  <si>
    <t>DPS, Gautam Buddh Nagar</t>
  </si>
  <si>
    <t>Saatvik</t>
  </si>
  <si>
    <t>Negi</t>
  </si>
  <si>
    <t>TRISHALA</t>
  </si>
  <si>
    <t>ABHINAV</t>
  </si>
  <si>
    <t>Army public school, dipatoli,Ranchi</t>
  </si>
  <si>
    <t>Sakina</t>
  </si>
  <si>
    <t>Springfeilds school</t>
  </si>
  <si>
    <t>Hyderabad Telangana</t>
  </si>
  <si>
    <t>RIYANSHU</t>
  </si>
  <si>
    <t>ARMY PUBLIC SCHOOL, RANCHI</t>
  </si>
  <si>
    <t>Adwita</t>
  </si>
  <si>
    <t>srivastava</t>
  </si>
  <si>
    <t>Gauravi</t>
  </si>
  <si>
    <t>Jayshree periwal high school</t>
  </si>
  <si>
    <t>shivika</t>
  </si>
  <si>
    <t>sethi</t>
  </si>
  <si>
    <t>jaipur</t>
  </si>
  <si>
    <t>Rupesh Kumar</t>
  </si>
  <si>
    <t>Army Public School, Ranchi</t>
  </si>
  <si>
    <t>Army public school ambala cantt.</t>
  </si>
  <si>
    <t>Saniya</t>
  </si>
  <si>
    <t>Faheem</t>
  </si>
  <si>
    <t>Springfields(tc)</t>
  </si>
  <si>
    <t>ABHISHEK</t>
  </si>
  <si>
    <t>TIWARI</t>
  </si>
  <si>
    <t>Amtul</t>
  </si>
  <si>
    <t>Sabooha</t>
  </si>
  <si>
    <t>Army public school ranchi</t>
  </si>
  <si>
    <t>Varshney</t>
  </si>
  <si>
    <t>AISMV</t>
  </si>
  <si>
    <t>Bhartiya Vidya Mandir USN</t>
  </si>
  <si>
    <t>Khurana</t>
  </si>
  <si>
    <t>Delhi public School, G.B.N</t>
  </si>
  <si>
    <t>narayana</t>
  </si>
  <si>
    <t>Faridabad</t>
  </si>
  <si>
    <t>Sarhadi</t>
  </si>
  <si>
    <t>Delhi Public School, G.B.N</t>
  </si>
  <si>
    <t>Mohammed</t>
  </si>
  <si>
    <t>Spring fields</t>
  </si>
  <si>
    <t>Aadit, Tejas</t>
  </si>
  <si>
    <t>Sarhadi, Bhardwaj</t>
  </si>
  <si>
    <t>BHARTI PUBLIC SCHOOL</t>
  </si>
  <si>
    <t>Maghdoom Mohiuddin.</t>
  </si>
  <si>
    <t>Syed.</t>
  </si>
  <si>
    <t>Yuva</t>
  </si>
  <si>
    <t>Ilango</t>
  </si>
  <si>
    <t>Oakridge Internation School Newton Campus</t>
  </si>
  <si>
    <t>Snehaa</t>
  </si>
  <si>
    <t>Pahwa</t>
  </si>
  <si>
    <t>Bal bharati public school</t>
  </si>
  <si>
    <t>Kondaskar</t>
  </si>
  <si>
    <t>Indira national school</t>
  </si>
  <si>
    <t>pune</t>
  </si>
  <si>
    <t>Arfa</t>
  </si>
  <si>
    <t>Zainab</t>
  </si>
  <si>
    <t>Springfields school (tolichowki)</t>
  </si>
  <si>
    <t>M. Rishi</t>
  </si>
  <si>
    <t>Kanth</t>
  </si>
  <si>
    <t>PMG Matriculation Higher Secondary School</t>
  </si>
  <si>
    <t>Indrapuram</t>
  </si>
  <si>
    <t>Babbar</t>
  </si>
  <si>
    <t>Bharti Public School , swasthya vihar</t>
  </si>
  <si>
    <t>Amity International School, Sector 44, Noida</t>
  </si>
  <si>
    <t>Ojasvi</t>
  </si>
  <si>
    <t>uddin</t>
  </si>
  <si>
    <t>farhan</t>
  </si>
  <si>
    <t>sheerazi</t>
  </si>
  <si>
    <t>zora high school</t>
  </si>
  <si>
    <t>SHARAD</t>
  </si>
  <si>
    <t>JAIN</t>
  </si>
  <si>
    <t>Berry Global Discovery School</t>
  </si>
  <si>
    <t>Kapurthala</t>
  </si>
  <si>
    <t>Hridyanshu</t>
  </si>
  <si>
    <t>Malviya Nagar, New Delhi</t>
  </si>
  <si>
    <t>Visaria</t>
  </si>
  <si>
    <t>Vikas</t>
  </si>
  <si>
    <t>Gowda</t>
  </si>
  <si>
    <t>De Paul International Residential School</t>
  </si>
  <si>
    <t>Mysore</t>
  </si>
  <si>
    <t>Prateek Singh</t>
  </si>
  <si>
    <t>Bhullar</t>
  </si>
  <si>
    <t>Army public school, Ambala cantt</t>
  </si>
  <si>
    <t>Aggrwal</t>
  </si>
  <si>
    <t>Maloo</t>
  </si>
  <si>
    <t>Suchitra Academy</t>
  </si>
  <si>
    <t>Secundrabad</t>
  </si>
  <si>
    <t>Gala</t>
  </si>
  <si>
    <t>Mohammed Rizwan</t>
  </si>
  <si>
    <t>Uddin</t>
  </si>
  <si>
    <t>SpringFields School</t>
  </si>
  <si>
    <t>Hapur</t>
  </si>
  <si>
    <t>Priyanshi</t>
  </si>
  <si>
    <t>Tandon</t>
  </si>
  <si>
    <t>Jessica</t>
  </si>
  <si>
    <t>Bajaj</t>
  </si>
  <si>
    <t>Haryana</t>
  </si>
  <si>
    <t>Sai Saket</t>
  </si>
  <si>
    <t>Bhandar</t>
  </si>
  <si>
    <t>Oakridge International Newton Campus</t>
  </si>
  <si>
    <t>DL DAV MODEL SCHOOL,PITAMPURA</t>
  </si>
  <si>
    <t>Sameeksha</t>
  </si>
  <si>
    <t>Ambala cantt/ambala District</t>
  </si>
  <si>
    <t>Vikas-The Concept School</t>
  </si>
  <si>
    <t>Videh</t>
  </si>
  <si>
    <t>Ambala City</t>
  </si>
  <si>
    <t>DAV Model School, Durgapur</t>
  </si>
  <si>
    <t>Mithil</t>
  </si>
  <si>
    <t>DG Khetan International School</t>
  </si>
  <si>
    <t>Akshita</t>
  </si>
  <si>
    <t>AVB</t>
  </si>
  <si>
    <t>Bhargava</t>
  </si>
  <si>
    <t>Anushree</t>
  </si>
  <si>
    <t>Amity International School , Mayur Vihar</t>
  </si>
  <si>
    <t>jagamohan</t>
  </si>
  <si>
    <t>Parida</t>
  </si>
  <si>
    <t>xavier School</t>
  </si>
  <si>
    <t>Hadi</t>
  </si>
  <si>
    <t>Springfields</t>
  </si>
  <si>
    <t>Sumedha</t>
  </si>
  <si>
    <t>DLDAV Model School, Pitampura</t>
  </si>
  <si>
    <t>DL DAV MODEL SCHOOL</t>
  </si>
  <si>
    <t>Raghaw</t>
  </si>
  <si>
    <t>Bhoomishka</t>
  </si>
  <si>
    <t>DC MODEL SR. SEC. SCHOOL</t>
  </si>
  <si>
    <t>SAARTHAK</t>
  </si>
  <si>
    <t>Modern school vasant vihar</t>
  </si>
  <si>
    <t>Arunima Acharya</t>
  </si>
  <si>
    <t>SCHOOL</t>
  </si>
  <si>
    <t>SETH ANANDRAM JAIPURIA SCHOOL</t>
  </si>
  <si>
    <t>Kanpur</t>
  </si>
  <si>
    <t>Indira</t>
  </si>
  <si>
    <t>Priyadharsini</t>
  </si>
  <si>
    <t>Skv vidhyaashram</t>
  </si>
  <si>
    <t>Thoothukudi</t>
  </si>
  <si>
    <t>Vora</t>
  </si>
  <si>
    <t>D.G. KHETAN INTERNATIONAL SCHOOL</t>
  </si>
  <si>
    <t>Delhi Public School R.K Puram</t>
  </si>
  <si>
    <t>B.karthi</t>
  </si>
  <si>
    <t>Keyan</t>
  </si>
  <si>
    <t>St Joseph higher secondary school Cuddalore</t>
  </si>
  <si>
    <t>Sirkali city,nagai district</t>
  </si>
  <si>
    <t>Chaubey</t>
  </si>
  <si>
    <t>Annika</t>
  </si>
  <si>
    <t>Saraswat</t>
  </si>
  <si>
    <t>DL DAV Model School pitampura</t>
  </si>
  <si>
    <t>New dehli</t>
  </si>
  <si>
    <t>Band</t>
  </si>
  <si>
    <t>DEENS Academy Gunjur</t>
  </si>
  <si>
    <t>D.L DAV Model School, PitamPura</t>
  </si>
  <si>
    <t>Krishaang</t>
  </si>
  <si>
    <t>Dogra</t>
  </si>
  <si>
    <t>Bal Bharati Public School, Pitam Pura</t>
  </si>
  <si>
    <t>DL DAV Model School Pitampura</t>
  </si>
  <si>
    <t>Thakar</t>
  </si>
  <si>
    <t>ASIA English School</t>
  </si>
  <si>
    <t>Seth Anadram Jaipuria School,Kanpur</t>
  </si>
  <si>
    <t>Hriday</t>
  </si>
  <si>
    <t>Bhilare</t>
  </si>
  <si>
    <t>D G Khetan international School</t>
  </si>
  <si>
    <t>Tuli</t>
  </si>
  <si>
    <t>Kukreja</t>
  </si>
  <si>
    <t>Asija</t>
  </si>
  <si>
    <t>DTEA Sr. Sec. School</t>
  </si>
  <si>
    <t>Jash</t>
  </si>
  <si>
    <t>Vakharia</t>
  </si>
  <si>
    <t>Shlok</t>
  </si>
  <si>
    <t>Aravind</t>
  </si>
  <si>
    <t>Hariharan</t>
  </si>
  <si>
    <t>The Deens Academy, E.C.C Road,Whitefield</t>
  </si>
  <si>
    <t>Harsimar Kaur</t>
  </si>
  <si>
    <t>Duggal</t>
  </si>
  <si>
    <t>Kartihikesh</t>
  </si>
  <si>
    <t>J.G</t>
  </si>
  <si>
    <t>Sivakasi Nadars Matriculation Higher Secondary School</t>
  </si>
  <si>
    <t>Madurai</t>
  </si>
  <si>
    <t>Annu</t>
  </si>
  <si>
    <t>Army Public School Ambala Cantt</t>
  </si>
  <si>
    <t>D.G.K.I.S</t>
  </si>
  <si>
    <t>delhi public school , raipur</t>
  </si>
  <si>
    <t>Sreshtha</t>
  </si>
  <si>
    <t>Gems Akademia International School</t>
  </si>
  <si>
    <t>Parakh</t>
  </si>
  <si>
    <t>Gems akademia international school</t>
  </si>
  <si>
    <t>Reetu</t>
  </si>
  <si>
    <t>Vadehra</t>
  </si>
  <si>
    <t>Amity international school, Mayur Vihar</t>
  </si>
  <si>
    <t>Divisha</t>
  </si>
  <si>
    <t>Amity International School Mayur Vihar Phase I</t>
  </si>
  <si>
    <t>Kerala public school,kadma</t>
  </si>
  <si>
    <t>Jharkhand</t>
  </si>
  <si>
    <t>AKSHAJ</t>
  </si>
  <si>
    <t>AGGARWAL</t>
  </si>
  <si>
    <t>Ambala city</t>
  </si>
  <si>
    <t>Parshva</t>
  </si>
  <si>
    <t>Lalith</t>
  </si>
  <si>
    <t>GTCS</t>
  </si>
  <si>
    <t>Amity International school ,mayur vihar</t>
  </si>
  <si>
    <t>Siri</t>
  </si>
  <si>
    <t>Chandana</t>
  </si>
  <si>
    <t>Vijayawada</t>
  </si>
  <si>
    <t>Abhinaw</t>
  </si>
  <si>
    <t>Kerela Public school Burmamines</t>
  </si>
  <si>
    <t>Jamshedpur, East Singhbhum</t>
  </si>
  <si>
    <t>Vajpayee</t>
  </si>
  <si>
    <t>Kerala Public school,Kadma</t>
  </si>
  <si>
    <t>Jamshedpur/Purabi singhbhum</t>
  </si>
  <si>
    <t>Sidhant</t>
  </si>
  <si>
    <t>Sidana</t>
  </si>
  <si>
    <t>Ryan International</t>
  </si>
  <si>
    <t>Sammi</t>
  </si>
  <si>
    <t>Gd Goenka World School</t>
  </si>
  <si>
    <t>Chamba</t>
  </si>
  <si>
    <t>DAV Model School, IIT Campus Kharagpur</t>
  </si>
  <si>
    <t>Kharagpur</t>
  </si>
  <si>
    <t>Gunaj</t>
  </si>
  <si>
    <t>AMBALA</t>
  </si>
  <si>
    <t>PIYUSH</t>
  </si>
  <si>
    <t>Kendriya vidyalaya Vikaspuri</t>
  </si>
  <si>
    <t>Koshlendra</t>
  </si>
  <si>
    <t>Pratap singh</t>
  </si>
  <si>
    <t>Amity International school, mayur vihar,delhi</t>
  </si>
  <si>
    <t>Noida/ Gautam buddh nagar</t>
  </si>
  <si>
    <t>Hrishikesh</t>
  </si>
  <si>
    <t>Dandwate</t>
  </si>
  <si>
    <t>Can Bridge International School</t>
  </si>
  <si>
    <t>Sujaan</t>
  </si>
  <si>
    <t>Durrani</t>
  </si>
  <si>
    <t>Kerala public school kadma</t>
  </si>
  <si>
    <t>Jamshedpur</t>
  </si>
  <si>
    <t>Moksh</t>
  </si>
  <si>
    <t>Saanchi</t>
  </si>
  <si>
    <t>NEOGI</t>
  </si>
  <si>
    <t>Gems akademia global school</t>
  </si>
  <si>
    <t>Madeeba</t>
  </si>
  <si>
    <t>Altaf</t>
  </si>
  <si>
    <t>Green valley educational institute</t>
  </si>
  <si>
    <t>Ganderbal</t>
  </si>
  <si>
    <t>Prajwal</t>
  </si>
  <si>
    <t>J.S.S Shri Manjunatheshwara Central School</t>
  </si>
  <si>
    <t>Dharwad</t>
  </si>
  <si>
    <t>Haldar</t>
  </si>
  <si>
    <t>SUMIT</t>
  </si>
  <si>
    <t>SINHA</t>
  </si>
  <si>
    <t>RANIGANJ LIONS J.D.M.CHANANI D.A.V PUBLIC SCHOOL</t>
  </si>
  <si>
    <t>RANIGANJ</t>
  </si>
  <si>
    <t>Pulkit</t>
  </si>
  <si>
    <t>Satluj Public School</t>
  </si>
  <si>
    <t>Ellenabad</t>
  </si>
  <si>
    <t>Insha</t>
  </si>
  <si>
    <t>Haidar</t>
  </si>
  <si>
    <t>DAV Model school</t>
  </si>
  <si>
    <t>Asansol</t>
  </si>
  <si>
    <t>Harshit Rai</t>
  </si>
  <si>
    <t>Kulachi Hansraj Model School</t>
  </si>
  <si>
    <t>Thapar</t>
  </si>
  <si>
    <t>Dass and Brown World school</t>
  </si>
  <si>
    <t>Ferozepur</t>
  </si>
  <si>
    <t>Sindhuja</t>
  </si>
  <si>
    <t>Venkataraman</t>
  </si>
  <si>
    <t>Prajith</t>
  </si>
  <si>
    <t>M.R</t>
  </si>
  <si>
    <t>Lalagi Memorial Omega International School</t>
  </si>
  <si>
    <t>Siddhantika</t>
  </si>
  <si>
    <t>Hardhik</t>
  </si>
  <si>
    <t>Arashanapalli</t>
  </si>
  <si>
    <t>Suchitra academy</t>
  </si>
  <si>
    <t>Praseeda</t>
  </si>
  <si>
    <t>Nutheti</t>
  </si>
  <si>
    <t>Mizznna</t>
  </si>
  <si>
    <t>Sharief</t>
  </si>
  <si>
    <t>Delhi International School Edge</t>
  </si>
  <si>
    <t>Dwarka,Delhi</t>
  </si>
  <si>
    <t>DC Model Sr Sec School</t>
  </si>
  <si>
    <t>YUVARAJ</t>
  </si>
  <si>
    <t>R</t>
  </si>
  <si>
    <t>LMOIS</t>
  </si>
  <si>
    <t>Dakshesh</t>
  </si>
  <si>
    <t>Dass and brown world school</t>
  </si>
  <si>
    <t>RANIGANJ LIONS J.D.M.CHANANI DAV PUBLIC SCHOOL</t>
  </si>
  <si>
    <t>Sardar</t>
  </si>
  <si>
    <t>Gems academia international School</t>
  </si>
  <si>
    <t>South 24paraganas</t>
  </si>
  <si>
    <t>ARIJIT</t>
  </si>
  <si>
    <t>MUKHERJEE</t>
  </si>
  <si>
    <t>SHIVA CHARAN</t>
  </si>
  <si>
    <t>JAGATA</t>
  </si>
  <si>
    <t>HYDERABAD</t>
  </si>
  <si>
    <t>Parkhi</t>
  </si>
  <si>
    <t>FEROZEPUR</t>
  </si>
  <si>
    <t>Sharihuddin</t>
  </si>
  <si>
    <t>Creekside international school</t>
  </si>
  <si>
    <t>Zarmeenah</t>
  </si>
  <si>
    <t>Nuzhath Zain</t>
  </si>
  <si>
    <t>Devgan</t>
  </si>
  <si>
    <t>Dass&amp;Brown World School</t>
  </si>
  <si>
    <t>sk</t>
  </si>
  <si>
    <t>shreedharsha</t>
  </si>
  <si>
    <t>DTEA senior secondary school</t>
  </si>
  <si>
    <t>Dhanesar</t>
  </si>
  <si>
    <t>YSP School</t>
  </si>
  <si>
    <t>Barnala</t>
  </si>
  <si>
    <t>Zohaib Ali</t>
  </si>
  <si>
    <t>Khushi....</t>
  </si>
  <si>
    <t>Malhotra.</t>
  </si>
  <si>
    <t>Gada</t>
  </si>
  <si>
    <t>Sreyansh</t>
  </si>
  <si>
    <t>Mukerji</t>
  </si>
  <si>
    <t>Oishik</t>
  </si>
  <si>
    <t>Gakhar</t>
  </si>
  <si>
    <t>Guruhar Sahai</t>
  </si>
  <si>
    <t>Pawar Public School Kandivali</t>
  </si>
  <si>
    <t>Yashila</t>
  </si>
  <si>
    <t>Yahiya</t>
  </si>
  <si>
    <t>Yazdani</t>
  </si>
  <si>
    <t>Springfields international school</t>
  </si>
  <si>
    <t>Keerthana</t>
  </si>
  <si>
    <t>Rohith</t>
  </si>
  <si>
    <t>St. John's Public School</t>
  </si>
  <si>
    <t>Lunkad</t>
  </si>
  <si>
    <t>Anousha</t>
  </si>
  <si>
    <t>Sumati</t>
  </si>
  <si>
    <t>Thilak</t>
  </si>
  <si>
    <t>St. john's public school</t>
  </si>
  <si>
    <t>Saravana Kumar</t>
  </si>
  <si>
    <t>Tanmayee</t>
  </si>
  <si>
    <t>Ravipati</t>
  </si>
  <si>
    <t>Tanav</t>
  </si>
  <si>
    <t>Eligapalli</t>
  </si>
  <si>
    <t>Delhi Public School , Hapur</t>
  </si>
  <si>
    <t>anandini</t>
  </si>
  <si>
    <t>chhibbar</t>
  </si>
  <si>
    <t>podar international school IB</t>
  </si>
  <si>
    <t>77386 73447</t>
  </si>
  <si>
    <t>Navyaa</t>
  </si>
  <si>
    <t>abcd</t>
  </si>
  <si>
    <t>faridabad</t>
  </si>
  <si>
    <t>Yahvi</t>
  </si>
  <si>
    <t>Nandwani</t>
  </si>
  <si>
    <t>Bal Bharati Public School , Pitampura</t>
  </si>
  <si>
    <t>Pushppavalli</t>
  </si>
  <si>
    <t>Venkatramanan</t>
  </si>
  <si>
    <t>St.Jhons Public School</t>
  </si>
  <si>
    <t>Capoor</t>
  </si>
  <si>
    <t>Secunderabad</t>
  </si>
  <si>
    <t>Ananth</t>
  </si>
  <si>
    <t>Dhotre</t>
  </si>
  <si>
    <t>Dia</t>
  </si>
  <si>
    <t>Abraham</t>
  </si>
  <si>
    <t>Sapphire International School</t>
  </si>
  <si>
    <t>Devna</t>
  </si>
  <si>
    <t>Oakridge International School, Gachibowli</t>
  </si>
  <si>
    <t>Eishaan</t>
  </si>
  <si>
    <t>Khatri</t>
  </si>
  <si>
    <t>Delhi Public School, Hapur</t>
  </si>
  <si>
    <t>Rishika</t>
  </si>
  <si>
    <t>Chattopadhyay</t>
  </si>
  <si>
    <t>J Trishitha</t>
  </si>
  <si>
    <t>Suchitra Academy International School</t>
  </si>
  <si>
    <t>Pratika</t>
  </si>
  <si>
    <t>Vuppala</t>
  </si>
  <si>
    <t>Suchitra Academy international school</t>
  </si>
  <si>
    <t>Nichani</t>
  </si>
  <si>
    <t>Murtuza</t>
  </si>
  <si>
    <t>Sanghavi</t>
  </si>
  <si>
    <t>Maharashtra</t>
  </si>
  <si>
    <t>Valmiki</t>
  </si>
  <si>
    <t>Swayam</t>
  </si>
  <si>
    <t>Columbia Foundation School</t>
  </si>
  <si>
    <t>Kashvi</t>
  </si>
  <si>
    <t>Pawar public school Kandivali west</t>
  </si>
  <si>
    <t>Thrisha</t>
  </si>
  <si>
    <t>Ravuri</t>
  </si>
  <si>
    <t>Poddar international school</t>
  </si>
  <si>
    <t>Swastik</t>
  </si>
  <si>
    <t>Dalmia Vidya Mandir</t>
  </si>
  <si>
    <t>Rajgangpur</t>
  </si>
  <si>
    <t>DCM presidency school</t>
  </si>
  <si>
    <t>Mustapure</t>
  </si>
  <si>
    <t>Freyah</t>
  </si>
  <si>
    <t>Shelly</t>
  </si>
  <si>
    <t>Akashita</t>
  </si>
  <si>
    <t>Dhawan</t>
  </si>
  <si>
    <t>Divyam</t>
  </si>
  <si>
    <t>Yuval</t>
  </si>
  <si>
    <t>Droan</t>
  </si>
  <si>
    <t>Sethi</t>
  </si>
  <si>
    <t>Columbia Foundation Scho</t>
  </si>
  <si>
    <t>Uttam Nagar</t>
  </si>
  <si>
    <t>K.T.ROHITH</t>
  </si>
  <si>
    <t>Tamildurai</t>
  </si>
  <si>
    <t>Lmois</t>
  </si>
  <si>
    <t>Thiruvallur</t>
  </si>
  <si>
    <t>Likhitha</t>
  </si>
  <si>
    <t>Kandikatla</t>
  </si>
  <si>
    <t>Vikas - The Concept School</t>
  </si>
  <si>
    <t>Biswal</t>
  </si>
  <si>
    <t>Parnika</t>
  </si>
  <si>
    <t>Skv no.1 shakti nagar</t>
  </si>
  <si>
    <t>Prajjwal</t>
  </si>
  <si>
    <t>Gems akademia International school kolkata</t>
  </si>
  <si>
    <t>Motihari</t>
  </si>
  <si>
    <t>Ramakanth</t>
  </si>
  <si>
    <t>Siddhi Koundinya Pendyala</t>
  </si>
  <si>
    <t>JOhnson Grammar School</t>
  </si>
  <si>
    <t>Hyderabad , RangaReddy District</t>
  </si>
  <si>
    <t>Tripura</t>
  </si>
  <si>
    <t>Kalavacharla</t>
  </si>
  <si>
    <t>Vikas the concept school</t>
  </si>
  <si>
    <t>Sreyoshi</t>
  </si>
  <si>
    <t>Purabi</t>
  </si>
  <si>
    <t>Eupheus</t>
  </si>
  <si>
    <t>Girish</t>
  </si>
  <si>
    <t>SANIYA</t>
  </si>
  <si>
    <t>JATAV</t>
  </si>
  <si>
    <t>S.k.v. shakti nagar no. 1 Delhi-110007</t>
  </si>
  <si>
    <t>reshma</t>
  </si>
  <si>
    <t>St aMarys</t>
  </si>
  <si>
    <t>Makkar</t>
  </si>
  <si>
    <t>Bal bharati public school pitampura</t>
  </si>
  <si>
    <t>V. P. S</t>
  </si>
  <si>
    <t>Shankara</t>
  </si>
  <si>
    <t>L. M. O. I. S</t>
  </si>
  <si>
    <t>Vrishil</t>
  </si>
  <si>
    <t>Boriwali</t>
  </si>
  <si>
    <t>N.M.L Kerala Public School</t>
  </si>
  <si>
    <t>Sneha saini</t>
  </si>
  <si>
    <t>S.k.V No.1 Shakti Nagar</t>
  </si>
  <si>
    <t>AYUSH</t>
  </si>
  <si>
    <t>D.A.V centenary public school</t>
  </si>
  <si>
    <t>Sukhveer.</t>
  </si>
  <si>
    <t>Brar</t>
  </si>
  <si>
    <t>Vasu</t>
  </si>
  <si>
    <t>Bal Bharati Public School Pitampura</t>
  </si>
  <si>
    <t>Pitampura</t>
  </si>
  <si>
    <t>DAV Model School IIT Campus</t>
  </si>
  <si>
    <t>Rukmini Devi Public School</t>
  </si>
  <si>
    <t>Kapur</t>
  </si>
  <si>
    <t>Bal bharati public school Pitampura</t>
  </si>
  <si>
    <t>Hridayesh</t>
  </si>
  <si>
    <t>Nyrah</t>
  </si>
  <si>
    <t>Maharastra, Mumbai</t>
  </si>
  <si>
    <t>Arshiya</t>
  </si>
  <si>
    <t>Jaideep</t>
  </si>
  <si>
    <t>Galgali</t>
  </si>
  <si>
    <t>SKV SHAKTI NAGAR NO.1</t>
  </si>
  <si>
    <t>Raj Kumar</t>
  </si>
  <si>
    <t>SKV shakti nagar no. 1</t>
  </si>
  <si>
    <t>Shashank</t>
  </si>
  <si>
    <t>Kataria</t>
  </si>
  <si>
    <t>Kerala public school burmamines</t>
  </si>
  <si>
    <t>Afsar</t>
  </si>
  <si>
    <t>Kerala public school</t>
  </si>
  <si>
    <t>Sarvodaya kanya vidyalya ,No.1 , Shakti nagar</t>
  </si>
  <si>
    <t>Ashok Vihar</t>
  </si>
  <si>
    <t>Iftekhar</t>
  </si>
  <si>
    <t>Momin Ahmed</t>
  </si>
  <si>
    <t>St. Joseph High school Wadala</t>
  </si>
  <si>
    <t>Mumbai Maharashtra</t>
  </si>
  <si>
    <t>Rungta International School</t>
  </si>
  <si>
    <t>Bhavika</t>
  </si>
  <si>
    <t>Skv no 1 Shakti Nagar</t>
  </si>
  <si>
    <t>S.k.v. no-1 Shakti nagar</t>
  </si>
  <si>
    <t>S.k.v no.1 shakti nagar delhi 110007</t>
  </si>
  <si>
    <t>Shastri Nagar</t>
  </si>
  <si>
    <t>SKV shakti nagar No 1</t>
  </si>
  <si>
    <t>Mamta</t>
  </si>
  <si>
    <t>SKV no.1 shakti Nagar</t>
  </si>
  <si>
    <t>0844 855 2050</t>
  </si>
  <si>
    <t>Sarvodaya Kanya Vidyalaya No.1 Shakti Nagar</t>
  </si>
  <si>
    <t>Shefali</t>
  </si>
  <si>
    <t>Sahni</t>
  </si>
  <si>
    <t>DAV Model School</t>
  </si>
  <si>
    <t>Maharshi</t>
  </si>
  <si>
    <t>DAV Model School, IIT Campus</t>
  </si>
  <si>
    <t>MANICKA AISHWARYA</t>
  </si>
  <si>
    <t>SUBBIAH VIDYALAYAM GIRLS HSS</t>
  </si>
  <si>
    <t>LAASYA</t>
  </si>
  <si>
    <t>TAWARE</t>
  </si>
  <si>
    <t>VIDYA VIKASA VIDYA SAMASTHE</t>
  </si>
  <si>
    <t>10th A</t>
  </si>
  <si>
    <t>S. K. V. No. 1 Shakti Nagar</t>
  </si>
  <si>
    <t>Sirohi</t>
  </si>
  <si>
    <t>SKV Shakti Nagar No 1</t>
  </si>
  <si>
    <t>North District</t>
  </si>
  <si>
    <t>Shikhar</t>
  </si>
  <si>
    <t>Gangare</t>
  </si>
  <si>
    <t>Kendriya vidyalaya amla</t>
  </si>
  <si>
    <t>AMLAAmla depot</t>
  </si>
  <si>
    <t>Tanush</t>
  </si>
  <si>
    <t>st.teresa.school</t>
  </si>
  <si>
    <t>DevanKandi</t>
  </si>
  <si>
    <t>PM</t>
  </si>
  <si>
    <t>Modern senior secondary school</t>
  </si>
  <si>
    <t>CHENNAI</t>
  </si>
  <si>
    <t>Kathiresan</t>
  </si>
  <si>
    <t>Velammal matric higher secondary school</t>
  </si>
  <si>
    <t>Cuddalore</t>
  </si>
  <si>
    <t>Anant Raj</t>
  </si>
  <si>
    <t>Khatuwala</t>
  </si>
  <si>
    <t>Geetansh</t>
  </si>
  <si>
    <t>Bal Bharati Public School, Pitampura, Delhi-110034</t>
  </si>
  <si>
    <t>AKSHAT</t>
  </si>
  <si>
    <t>Nailwal</t>
  </si>
  <si>
    <t>ST TERESA SCHOOL</t>
  </si>
  <si>
    <t>Ramsriprasaath</t>
  </si>
  <si>
    <t>Devasenan</t>
  </si>
  <si>
    <t>Kamaraj matriculation Higher secondary school</t>
  </si>
  <si>
    <t>Bal Bharati Public School Pitampura New Delhi</t>
  </si>
  <si>
    <t>Aarth</t>
  </si>
  <si>
    <t>Singal</t>
  </si>
  <si>
    <t>Delhi/Moti Nagar</t>
  </si>
  <si>
    <t>Swaroop</t>
  </si>
  <si>
    <t>Bist</t>
  </si>
  <si>
    <t>ST.Teresa.School</t>
  </si>
  <si>
    <t>GHAZIABAD</t>
  </si>
  <si>
    <t>Kerala Public School Gamharia</t>
  </si>
  <si>
    <t>Sheza</t>
  </si>
  <si>
    <t>Nishat</t>
  </si>
  <si>
    <t>Azra public school</t>
  </si>
  <si>
    <t>Gurnoor</t>
  </si>
  <si>
    <t>ST. TERESA SCHOOL</t>
  </si>
  <si>
    <t>ST.TERESA SCHOOL</t>
  </si>
  <si>
    <t>Deepes</t>
  </si>
  <si>
    <t>Eupheus Test</t>
  </si>
  <si>
    <t>Bengalure</t>
  </si>
  <si>
    <t>ST. Teresa school</t>
  </si>
  <si>
    <t>DISHA</t>
  </si>
  <si>
    <t>DWIVEDI</t>
  </si>
  <si>
    <t>BAL BHARATI PUBLIC SCHOOL</t>
  </si>
  <si>
    <t>98377 80500</t>
  </si>
  <si>
    <t>Saransh</t>
  </si>
  <si>
    <t>Kendriya vidyalalya ekklinggarh no.2 udaipur</t>
  </si>
  <si>
    <t>Udaipur</t>
  </si>
  <si>
    <t>Summi</t>
  </si>
  <si>
    <t>Trinity international school</t>
  </si>
  <si>
    <t>Atrayee DAV public place</t>
  </si>
  <si>
    <t>Dakshin Dinajpur</t>
  </si>
  <si>
    <t>Manan</t>
  </si>
  <si>
    <t>Sehgal</t>
  </si>
  <si>
    <t>Delhi Public School, Dwarka</t>
  </si>
  <si>
    <t>Dhana Om</t>
  </si>
  <si>
    <t>Pranesh</t>
  </si>
  <si>
    <t>SNS ACADEMY</t>
  </si>
  <si>
    <t>Kavundampalayam</t>
  </si>
  <si>
    <t>Ayati</t>
  </si>
  <si>
    <t>St. Teresa School, Indrapuram</t>
  </si>
  <si>
    <t>Ruia</t>
  </si>
  <si>
    <t>Delhi Public School,Hapur</t>
  </si>
  <si>
    <t>Kaushik</t>
  </si>
  <si>
    <t>BK.SR.SCE.PUBLIC.SCHOOL.</t>
  </si>
  <si>
    <t>Bhiwani</t>
  </si>
  <si>
    <t>Khana</t>
  </si>
  <si>
    <t>St.Teresa school</t>
  </si>
  <si>
    <t>Trishita</t>
  </si>
  <si>
    <t>Dey</t>
  </si>
  <si>
    <t>Atreyee DAV Public School</t>
  </si>
  <si>
    <t>Balurghat</t>
  </si>
  <si>
    <t>Midun santhosh</t>
  </si>
  <si>
    <t>The velammal international school</t>
  </si>
  <si>
    <t>Palakkad</t>
  </si>
  <si>
    <t>tanwar</t>
  </si>
  <si>
    <t>BKSSPS</t>
  </si>
  <si>
    <t>BHIWANI</t>
  </si>
  <si>
    <t>vignesh</t>
  </si>
  <si>
    <t>velappan</t>
  </si>
  <si>
    <t>the velammal international school</t>
  </si>
  <si>
    <t>kanyakumari</t>
  </si>
  <si>
    <t>himansh</t>
  </si>
  <si>
    <t>indirapuram public school</t>
  </si>
  <si>
    <t>indirapuram,gaziabad</t>
  </si>
  <si>
    <t>Gautam Buddha Nagar</t>
  </si>
  <si>
    <t>RACHIT</t>
  </si>
  <si>
    <t>Nandita</t>
  </si>
  <si>
    <t>ST.TERESASCHOOL,INDIRAPURAM , SHAKTI KHAND 2</t>
  </si>
  <si>
    <t>Aisiri</t>
  </si>
  <si>
    <t>M Shetty</t>
  </si>
  <si>
    <t>Jaspinder</t>
  </si>
  <si>
    <t>YSP School, Handiaya</t>
  </si>
  <si>
    <t>DTEA Sr.Sec. school</t>
  </si>
  <si>
    <t>Lakshya</t>
  </si>
  <si>
    <t>ST. Teresa School</t>
  </si>
  <si>
    <t>Vasundhara , Ghaziabad</t>
  </si>
  <si>
    <t>Hrishik</t>
  </si>
  <si>
    <t>Ladia</t>
  </si>
  <si>
    <t>St. Teresa School Indirapuram</t>
  </si>
  <si>
    <t>Kaushambi Ghaziabad Uttar Pradesh</t>
  </si>
  <si>
    <t>Prangav</t>
  </si>
  <si>
    <t>St.teresa school</t>
  </si>
  <si>
    <t>Indirapuram, Ghaziabad</t>
  </si>
  <si>
    <t>Nihal</t>
  </si>
  <si>
    <t>St . Teresa school</t>
  </si>
  <si>
    <t>Indirapuram</t>
  </si>
  <si>
    <t>Mahanta</t>
  </si>
  <si>
    <t>Atreyee D.A.V public school</t>
  </si>
  <si>
    <t>BANSAL</t>
  </si>
  <si>
    <t>ANAND NIKETAN MANINAGAR</t>
  </si>
  <si>
    <t>HIMAY</t>
  </si>
  <si>
    <t>Bk Sr Sec Public school</t>
  </si>
  <si>
    <t>VPO Mandhana , district bhiwani</t>
  </si>
  <si>
    <t>Siddharth</t>
  </si>
  <si>
    <t>K.v.no2 udaipur</t>
  </si>
  <si>
    <t>076 6547 2556</t>
  </si>
  <si>
    <t>Farand</t>
  </si>
  <si>
    <t>DAV Police Public School Panipat</t>
  </si>
  <si>
    <t>Harshili</t>
  </si>
  <si>
    <t>Sawant</t>
  </si>
  <si>
    <t>Dr Sarvapalli Radhakrishnan international school</t>
  </si>
  <si>
    <t>Mahaeashtra</t>
  </si>
  <si>
    <t>Sukhdeep</t>
  </si>
  <si>
    <t>Saffron public school</t>
  </si>
  <si>
    <t>Phagwara</t>
  </si>
  <si>
    <t>Gyaneshwari</t>
  </si>
  <si>
    <t>Bedi</t>
  </si>
  <si>
    <t>Darsh</t>
  </si>
  <si>
    <t>Kamath</t>
  </si>
  <si>
    <t>Bombay Cambridge</t>
  </si>
  <si>
    <t>Karishmaa</t>
  </si>
  <si>
    <t>Peswani</t>
  </si>
  <si>
    <t>St. Johns Universal School</t>
  </si>
  <si>
    <t>Aashir</t>
  </si>
  <si>
    <t>S.i.e.s high school</t>
  </si>
  <si>
    <t>D.A.V Model School, Durgapur</t>
  </si>
  <si>
    <t>Chaudhuri</t>
  </si>
  <si>
    <t>DAV model school, Durgapur</t>
  </si>
  <si>
    <t>Sainik School Kunjpura</t>
  </si>
  <si>
    <t>Hisar</t>
  </si>
  <si>
    <t>Nabagata</t>
  </si>
  <si>
    <t>Dav Model School, Durgapur</t>
  </si>
  <si>
    <t>Raniganj</t>
  </si>
  <si>
    <t>ALISHA</t>
  </si>
  <si>
    <t>H</t>
  </si>
  <si>
    <t>RABEA GIRLS SENIOR SECONDARY PUBLIC SCHOOL</t>
  </si>
  <si>
    <t>Nayanika</t>
  </si>
  <si>
    <t>Barua</t>
  </si>
  <si>
    <t>Dileep</t>
  </si>
  <si>
    <t>Chinmaya vidyalaya kannur</t>
  </si>
  <si>
    <t>Kerala</t>
  </si>
  <si>
    <t>Ishit</t>
  </si>
  <si>
    <t>Delhi Public School, Raipur</t>
  </si>
  <si>
    <t>Gurgoan</t>
  </si>
  <si>
    <t>Faijan</t>
  </si>
  <si>
    <t>Mohammad</t>
  </si>
  <si>
    <t>GOVT. HSS EXCELLENCE, NO 1 CHP</t>
  </si>
  <si>
    <t>Chhatarpur</t>
  </si>
  <si>
    <t>BUSHRA</t>
  </si>
  <si>
    <t>KHAN</t>
  </si>
  <si>
    <t>Rabea girls public school</t>
  </si>
  <si>
    <t>Sri</t>
  </si>
  <si>
    <t>Harini</t>
  </si>
  <si>
    <t>Karthikeyan</t>
  </si>
  <si>
    <t>Sns Academy</t>
  </si>
  <si>
    <t>HEABA</t>
  </si>
  <si>
    <t>SARA</t>
  </si>
  <si>
    <t>Indirapuram Public School</t>
  </si>
  <si>
    <t>Raghul</t>
  </si>
  <si>
    <t>Akshai</t>
  </si>
  <si>
    <t>SPIC NAGAR HIGHER SECONDARY SCHOOL</t>
  </si>
  <si>
    <t>Tuticorin</t>
  </si>
  <si>
    <t>S.I.E.S school</t>
  </si>
  <si>
    <t>Mudita</t>
  </si>
  <si>
    <t>Yumna</t>
  </si>
  <si>
    <t>Gulvez</t>
  </si>
  <si>
    <t>Rabea Girls' Public School</t>
  </si>
  <si>
    <t>Kopparapu</t>
  </si>
  <si>
    <t>Subbarao</t>
  </si>
  <si>
    <t>Mets govt polytechnic college</t>
  </si>
  <si>
    <t>Vinukonda/Guntur</t>
  </si>
  <si>
    <t>Ishanvi</t>
  </si>
  <si>
    <t>ASHER</t>
  </si>
  <si>
    <t>BABU</t>
  </si>
  <si>
    <t>RYAN INTERNATIONAL SCHOOL, NOIDA</t>
  </si>
  <si>
    <t>GAUTAM BUDH NAGAR</t>
  </si>
  <si>
    <t>keerthiga</t>
  </si>
  <si>
    <t>sarvodaya central vidyalaya</t>
  </si>
  <si>
    <t>trivandrum</t>
  </si>
  <si>
    <t>Goenka</t>
  </si>
  <si>
    <t>Atreyee Dav Public school</t>
  </si>
  <si>
    <t>Kenisha</t>
  </si>
  <si>
    <t>Tekriwal</t>
  </si>
  <si>
    <t>Jagritee</t>
  </si>
  <si>
    <t>De</t>
  </si>
  <si>
    <t>Arunima</t>
  </si>
  <si>
    <t>Panchanan</t>
  </si>
  <si>
    <t>Sritam Kumar</t>
  </si>
  <si>
    <t>Kendriya vidyalaya Balasore</t>
  </si>
  <si>
    <t>BALASORE</t>
  </si>
  <si>
    <t>Srinjoy</t>
  </si>
  <si>
    <t>Sakeena</t>
  </si>
  <si>
    <t>Green Valley Educational Institute</t>
  </si>
  <si>
    <t>Srinagar</t>
  </si>
  <si>
    <t>Namra</t>
  </si>
  <si>
    <t>Hoor</t>
  </si>
  <si>
    <t>Fazil</t>
  </si>
  <si>
    <t>PTMHSS</t>
  </si>
  <si>
    <t>Sonakshi</t>
  </si>
  <si>
    <t>RR Dist</t>
  </si>
  <si>
    <t>.B</t>
  </si>
  <si>
    <t>Aklavya International school</t>
  </si>
  <si>
    <t>KV sunjuwan</t>
  </si>
  <si>
    <t>Jammu</t>
  </si>
  <si>
    <t>Muntaha</t>
  </si>
  <si>
    <t>Muxaffar</t>
  </si>
  <si>
    <t>Jammu and Kashmir</t>
  </si>
  <si>
    <t>Jaishiravan</t>
  </si>
  <si>
    <t>S.S.Jaishiravan</t>
  </si>
  <si>
    <t>SNS academy</t>
  </si>
  <si>
    <t>SANDIEP LAKSHMAN</t>
  </si>
  <si>
    <t>B A</t>
  </si>
  <si>
    <t>TUTICORIN</t>
  </si>
  <si>
    <t>Agam</t>
  </si>
  <si>
    <t>D.A.V. Public School, Vasant Kunj, New Delhi-110070</t>
  </si>
  <si>
    <t>TANISH</t>
  </si>
  <si>
    <t>Delhi Public School, Gurgaon</t>
  </si>
  <si>
    <t>Sonawane</t>
  </si>
  <si>
    <t>B.G shanbag vidyalaya, Jalgaon</t>
  </si>
  <si>
    <t>Jalgaon</t>
  </si>
  <si>
    <t>Dehradun</t>
  </si>
  <si>
    <t>GD GOENKA WORLD SCHOOL, GURUGRAM</t>
  </si>
  <si>
    <t>PURULIA</t>
  </si>
  <si>
    <t>Saleena</t>
  </si>
  <si>
    <t>Hashmi</t>
  </si>
  <si>
    <t>Rabea Girls Public School</t>
  </si>
  <si>
    <t>Hitesh</t>
  </si>
  <si>
    <t>B.G.Shanbhag School</t>
  </si>
  <si>
    <t>Ms. Kritika</t>
  </si>
  <si>
    <t>St.Xavier's High School</t>
  </si>
  <si>
    <t>Jabalpur City</t>
  </si>
  <si>
    <t>Kovid</t>
  </si>
  <si>
    <t>Kalra</t>
  </si>
  <si>
    <t>ARMY public school Fazilka</t>
  </si>
  <si>
    <t>Fazilka</t>
  </si>
  <si>
    <t>Adroit prograsive school</t>
  </si>
  <si>
    <t>Hayvansh</t>
  </si>
  <si>
    <t>K.v.sunjuwan</t>
  </si>
  <si>
    <t>B S</t>
  </si>
  <si>
    <t>Skanda</t>
  </si>
  <si>
    <t>SEA School (South East Asian Educational Trust)</t>
  </si>
  <si>
    <t>Bhadouria</t>
  </si>
  <si>
    <t>Kendriya Vidyalay Sanju Jammu</t>
  </si>
  <si>
    <t>Advay</t>
  </si>
  <si>
    <t>Jayadevan</t>
  </si>
  <si>
    <t>Chinmaya Vidyalaya</t>
  </si>
  <si>
    <t>Tellicherry</t>
  </si>
  <si>
    <t>Lakshmipat Singhania Academy</t>
  </si>
  <si>
    <t>V Prakash</t>
  </si>
  <si>
    <t>Chinmaya vidyalaya</t>
  </si>
  <si>
    <t>Kalliasseri</t>
  </si>
  <si>
    <t>AMRITA VIDYALAYAM</t>
  </si>
  <si>
    <t>Unnati</t>
  </si>
  <si>
    <t>vaibhav</t>
  </si>
  <si>
    <t>chandhok</t>
  </si>
  <si>
    <t>dc model sr sec school</t>
  </si>
  <si>
    <t>Firozpur</t>
  </si>
  <si>
    <t>Devananda</t>
  </si>
  <si>
    <t>KANNUR</t>
  </si>
  <si>
    <t>Nivedita</t>
  </si>
  <si>
    <t>Johnson grammar school</t>
  </si>
  <si>
    <t>Bibi</t>
  </si>
  <si>
    <t>Meryam</t>
  </si>
  <si>
    <t>Kendriya vidyalaya sangathan</t>
  </si>
  <si>
    <t>Sahajveer</t>
  </si>
  <si>
    <t>Sandhu</t>
  </si>
  <si>
    <t>Kendriya Vidyalaya Sunjwan Jammu</t>
  </si>
  <si>
    <t>Sriganganagar, Sadulshahar Rajasthan</t>
  </si>
  <si>
    <t>Phogat</t>
  </si>
  <si>
    <t>kendriya vidyalaya sunjuwan</t>
  </si>
  <si>
    <t>Pragyan</t>
  </si>
  <si>
    <t>Kendriya vidyalaya sangathan amla</t>
  </si>
  <si>
    <t>Betul</t>
  </si>
  <si>
    <t>Jiju</t>
  </si>
  <si>
    <t>Jawahar Navodaya vidyalaya</t>
  </si>
  <si>
    <t>Idukki</t>
  </si>
  <si>
    <t>Kendriya Vidyalaya Sunjuwan Jammu</t>
  </si>
  <si>
    <t>J R Deva</t>
  </si>
  <si>
    <t>Dattan</t>
  </si>
  <si>
    <t>K V Sunjuwan</t>
  </si>
  <si>
    <t>Sanshray</t>
  </si>
  <si>
    <t>Sadwal</t>
  </si>
  <si>
    <t>Cambridge school noida</t>
  </si>
  <si>
    <t>Agamya</t>
  </si>
  <si>
    <t>Amity international school sector 6 vasundhara</t>
  </si>
  <si>
    <t>Kendriya Vidyalaya AFS Amla</t>
  </si>
  <si>
    <t>Chinmaya vidyalaya, Kannur</t>
  </si>
  <si>
    <t>Idhole</t>
  </si>
  <si>
    <t>M.e.s.High school and jr.college</t>
  </si>
  <si>
    <t>Mekhar</t>
  </si>
  <si>
    <t>LFHS</t>
  </si>
  <si>
    <t>Hyderabad/ Telangana</t>
  </si>
  <si>
    <t>RUTVA</t>
  </si>
  <si>
    <t>JBCN INTERNATIONAL SCHOOL</t>
  </si>
  <si>
    <t>Chatrabhuj Narsee School</t>
  </si>
  <si>
    <t>Dr Sarvepalli radhakrishan vidyalaya</t>
  </si>
  <si>
    <t>NIVED</t>
  </si>
  <si>
    <t>SABTMHSS THAINERY</t>
  </si>
  <si>
    <t>PAYYANUR/KANNUR</t>
  </si>
  <si>
    <t>kansara</t>
  </si>
  <si>
    <t>Adarsh sen. sec. school</t>
  </si>
  <si>
    <t>Pali</t>
  </si>
  <si>
    <t>Miet public school</t>
  </si>
  <si>
    <t>Almira</t>
  </si>
  <si>
    <t>Rawle</t>
  </si>
  <si>
    <t>JBCN international school (Borivali)</t>
  </si>
  <si>
    <t>Faria</t>
  </si>
  <si>
    <t>Witty International school</t>
  </si>
  <si>
    <t>Mumbai, Goregaon</t>
  </si>
  <si>
    <t>Kareena</t>
  </si>
  <si>
    <t>Witty International School</t>
  </si>
  <si>
    <t>RSEMS</t>
  </si>
  <si>
    <t>Paruchuri</t>
  </si>
  <si>
    <t>Reqelford International School</t>
  </si>
  <si>
    <t>Varnika</t>
  </si>
  <si>
    <t>MIET PUBLIC SCHOOL</t>
  </si>
  <si>
    <t>South West Delhi</t>
  </si>
  <si>
    <t>Samruddhi</t>
  </si>
  <si>
    <t>Mankar</t>
  </si>
  <si>
    <t>Shree swami narayan english medium school</t>
  </si>
  <si>
    <t>Nashik</t>
  </si>
  <si>
    <t>Bal Bharati Public School Noida</t>
  </si>
  <si>
    <t>Yunus</t>
  </si>
  <si>
    <t>Parvez</t>
  </si>
  <si>
    <t>Bharath Vidya Mandir Senior Secondary School</t>
  </si>
  <si>
    <t>Tenkasi</t>
  </si>
  <si>
    <t>Mangilal</t>
  </si>
  <si>
    <t>Dewasi</t>
  </si>
  <si>
    <t>The Fabindia School</t>
  </si>
  <si>
    <t>Annawasha</t>
  </si>
  <si>
    <t>Naskar</t>
  </si>
  <si>
    <t>Kendriya Vidyalaya Commando Hpspital</t>
  </si>
  <si>
    <t>rr</t>
  </si>
  <si>
    <t>ssbi</t>
  </si>
  <si>
    <t>coimbatore</t>
  </si>
  <si>
    <t>Bhartiya Vidya Mandir Sr. Sec. School (USN) ludhiana</t>
  </si>
  <si>
    <t>MANAV RACHNA INTERNATIONAL SCHOOL</t>
  </si>
  <si>
    <t>Bhartiya Vidya Mandir Sr. Sec. School (USN) Ludhiana</t>
  </si>
  <si>
    <t>SWETANK</t>
  </si>
  <si>
    <t>SHEKHAR</t>
  </si>
  <si>
    <t>D N HIGHER SECONDARY SCHOOL GORPA</t>
  </si>
  <si>
    <t>GORPA ARA</t>
  </si>
  <si>
    <t>Juneja</t>
  </si>
  <si>
    <t>D.L. DAV Model School, Pitampura, New Delhi</t>
  </si>
  <si>
    <t>JNV</t>
  </si>
  <si>
    <t>KOLLAM</t>
  </si>
  <si>
    <t>Saloni</t>
  </si>
  <si>
    <t>Sant Ishar Singh ji Memorial public school</t>
  </si>
  <si>
    <t>NANDHU</t>
  </si>
  <si>
    <t>V</t>
  </si>
  <si>
    <t>BRIGHT STARS HIGH SCHOOL</t>
  </si>
  <si>
    <t>JOGULAMBA GADWAL</t>
  </si>
  <si>
    <t>SWASTIK</t>
  </si>
  <si>
    <t>GURUKUL KURUKSHETRA</t>
  </si>
  <si>
    <t>Aqid</t>
  </si>
  <si>
    <t>Krishna public school, Nehru Nagar, Bhilai</t>
  </si>
  <si>
    <t>Durg</t>
  </si>
  <si>
    <t>Vinayak</t>
  </si>
  <si>
    <t>Sunbeam school Varuna</t>
  </si>
  <si>
    <t>Lav</t>
  </si>
  <si>
    <t>Arv</t>
  </si>
  <si>
    <t>SIES</t>
  </si>
  <si>
    <t>Sood</t>
  </si>
  <si>
    <t>Salwan girls senior secondary school</t>
  </si>
  <si>
    <t>Rockyinil</t>
  </si>
  <si>
    <t>Manjrekar</t>
  </si>
  <si>
    <t>JBCN International School</t>
  </si>
  <si>
    <t>Babidul</t>
  </si>
  <si>
    <t>ISLAM</t>
  </si>
  <si>
    <t>Adarsh vidyalaya</t>
  </si>
  <si>
    <t>Barpeta</t>
  </si>
  <si>
    <t>Vaidik</t>
  </si>
  <si>
    <t>Ruparel</t>
  </si>
  <si>
    <t>Children's Academy Ashok Nagar</t>
  </si>
  <si>
    <t>JEREMY</t>
  </si>
  <si>
    <t>PRINCE</t>
  </si>
  <si>
    <t>Aswani</t>
  </si>
  <si>
    <t>The Cambria International School</t>
  </si>
  <si>
    <t>Ulhasnagar</t>
  </si>
  <si>
    <t>somany</t>
  </si>
  <si>
    <t>gd goenka world school</t>
  </si>
  <si>
    <t>Rewari</t>
  </si>
  <si>
    <t>Charvi,Rajsi</t>
  </si>
  <si>
    <t>Goyal,Sharma</t>
  </si>
  <si>
    <t>RAJESH</t>
  </si>
  <si>
    <t>CHINMAYA VIDYALAYA</t>
  </si>
  <si>
    <t>Lashwin</t>
  </si>
  <si>
    <t>Rajeshkanna</t>
  </si>
  <si>
    <t>Care International</t>
  </si>
  <si>
    <t>Trichy</t>
  </si>
  <si>
    <t>DPS Roorkee</t>
  </si>
  <si>
    <t>Techno India Group Public school</t>
  </si>
  <si>
    <t>Tchno Indo</t>
  </si>
  <si>
    <t>PRATIK</t>
  </si>
  <si>
    <t>Gurukul kurukshetra</t>
  </si>
  <si>
    <t>Narkatiya ganj</t>
  </si>
  <si>
    <t>Yogi</t>
  </si>
  <si>
    <t>Subodh Public School</t>
  </si>
  <si>
    <t>G.D.Goenka World School</t>
  </si>
  <si>
    <t>Jbcn Borivali</t>
  </si>
  <si>
    <t>K R Mangalam World School</t>
  </si>
  <si>
    <t>DPS RK Puram</t>
  </si>
  <si>
    <t>St. Jhon's Universal School</t>
  </si>
  <si>
    <t>Goregow</t>
  </si>
  <si>
    <t>Rishi Raaj</t>
  </si>
  <si>
    <t>Birla Vidya Niketan</t>
  </si>
  <si>
    <t>SAINIK SCHOOL KUNJPURA</t>
  </si>
  <si>
    <t>PANIPAT</t>
  </si>
  <si>
    <t>Canal valley public school</t>
  </si>
  <si>
    <t>MANDHIYA KHURD</t>
  </si>
  <si>
    <t>Learning Paths School</t>
  </si>
  <si>
    <t>Mohali</t>
  </si>
  <si>
    <t>DPS ROORKEE</t>
  </si>
  <si>
    <t>Roorkee,(haridwar)</t>
  </si>
  <si>
    <t>canal valley public school</t>
  </si>
  <si>
    <t>rewari</t>
  </si>
  <si>
    <t>Dhariwal</t>
  </si>
  <si>
    <t>Sainik school kunjpura (Karnal)</t>
  </si>
  <si>
    <t>Srinath</t>
  </si>
  <si>
    <t>Jubilee hills public school</t>
  </si>
  <si>
    <t>Pardhuman</t>
  </si>
  <si>
    <t>Khanak Lashkari</t>
  </si>
  <si>
    <t>Sapna Yogi</t>
  </si>
  <si>
    <t>Majoka</t>
  </si>
  <si>
    <t>Sainik School Kunjpura, Karnal</t>
  </si>
  <si>
    <t>Karnal</t>
  </si>
  <si>
    <t>Sainik school kunjpura</t>
  </si>
  <si>
    <t>Khuntia</t>
  </si>
  <si>
    <t>St. Thomas' Girls Sr. Sec. School</t>
  </si>
  <si>
    <t>Akshay kumar</t>
  </si>
  <si>
    <t>M T</t>
  </si>
  <si>
    <t>J N V C J Halli Ballari</t>
  </si>
  <si>
    <t>Ballari</t>
  </si>
  <si>
    <t>Advik</t>
  </si>
  <si>
    <t>Montfort School</t>
  </si>
  <si>
    <t>Bharath Kumar</t>
  </si>
  <si>
    <t>V B</t>
  </si>
  <si>
    <t>Jawahar Navodaya Vidyalaya Bellary</t>
  </si>
  <si>
    <t>Bellary</t>
  </si>
  <si>
    <t>Shreyash</t>
  </si>
  <si>
    <t>Sunbeam Schools Varuna</t>
  </si>
  <si>
    <t>Tom</t>
  </si>
  <si>
    <t>Thejus</t>
  </si>
  <si>
    <t>Kendriya Vidyalaya Pattom</t>
  </si>
  <si>
    <t>Thiruvananthapuram</t>
  </si>
  <si>
    <t>D.A.V.CENTENARY PUBLIC SCHOOL, JIND</t>
  </si>
  <si>
    <t>Jind</t>
  </si>
  <si>
    <t>Munukutla</t>
  </si>
  <si>
    <t>Johnson Grammar School I.C.S.E.</t>
  </si>
  <si>
    <t>BHARATH</t>
  </si>
  <si>
    <t>D.T.E.A SENIOR SECONDARY SCHOOL</t>
  </si>
  <si>
    <t>Sunbeam School Varuna</t>
  </si>
  <si>
    <t>Siddarth</t>
  </si>
  <si>
    <t>Amarnath</t>
  </si>
  <si>
    <t>Mitali</t>
  </si>
  <si>
    <t>D. C. Model. Sr. Sec. School</t>
  </si>
  <si>
    <t>Gurukul Kurukshetra</t>
  </si>
  <si>
    <t>Shamli</t>
  </si>
  <si>
    <t>R.D Greenfields Public School</t>
  </si>
  <si>
    <t>Mahendergarh</t>
  </si>
  <si>
    <t>Sree Tamil</t>
  </si>
  <si>
    <t>C</t>
  </si>
  <si>
    <t>Spic Nagar Hr Sec School</t>
  </si>
  <si>
    <t>Jatesh</t>
  </si>
  <si>
    <t>Madas</t>
  </si>
  <si>
    <t>ST.Thomas academy</t>
  </si>
  <si>
    <t>St. Xavier's High School</t>
  </si>
  <si>
    <t>Gloriya</t>
  </si>
  <si>
    <t>Budhiraja</t>
  </si>
  <si>
    <t>Ahlcon Public School</t>
  </si>
  <si>
    <t>Phulesh</t>
  </si>
  <si>
    <t>Sirvi</t>
  </si>
  <si>
    <t>Bali</t>
  </si>
  <si>
    <t>Kolase</t>
  </si>
  <si>
    <t>New English School, Bhalwani</t>
  </si>
  <si>
    <t>Solapur</t>
  </si>
  <si>
    <t>UMER</t>
  </si>
  <si>
    <t>SHARIFF</t>
  </si>
  <si>
    <t>KENDRIYA VIDYALAYA MYSORE</t>
  </si>
  <si>
    <t>MYSORE</t>
  </si>
  <si>
    <t>Kharat</t>
  </si>
  <si>
    <t>Niharika</t>
  </si>
  <si>
    <t>KV mysore</t>
  </si>
  <si>
    <t>Preetam</t>
  </si>
  <si>
    <t>Kadi</t>
  </si>
  <si>
    <t>JSS CENTRAL SCHOOL VIDYAGIRI</t>
  </si>
  <si>
    <t>DHARWAD</t>
  </si>
  <si>
    <t>Shatakshi</t>
  </si>
  <si>
    <t>Amity International School,Vasundhara,Ghaziabad</t>
  </si>
  <si>
    <t>Bal Bharati Public School pitampura</t>
  </si>
  <si>
    <t>D C Model Sr Sec School</t>
  </si>
  <si>
    <t>Tharunekaa</t>
  </si>
  <si>
    <t>Madhavan</t>
  </si>
  <si>
    <t>CARE International School</t>
  </si>
  <si>
    <t>Tiruchirappalli</t>
  </si>
  <si>
    <t>Mayo College Ajmer</t>
  </si>
  <si>
    <t>Mayo College</t>
  </si>
  <si>
    <t>Tarak</t>
  </si>
  <si>
    <t>Bhartiya Vidya Mandir Senior Secondary School</t>
  </si>
  <si>
    <t>Sheikh Tausique</t>
  </si>
  <si>
    <t>Delhi Public School, Howrah</t>
  </si>
  <si>
    <t>Howrah</t>
  </si>
  <si>
    <t>Vedanth</t>
  </si>
  <si>
    <t>Krishnan</t>
  </si>
  <si>
    <t>SJT Surana Jain Vidhyalaya</t>
  </si>
  <si>
    <t>Brihatisree</t>
  </si>
  <si>
    <t>Chanchala</t>
  </si>
  <si>
    <t>johnson grammar school (ICSE)</t>
  </si>
  <si>
    <t>Kanav</t>
  </si>
  <si>
    <t>BBPS PITAMPURA</t>
  </si>
  <si>
    <t>70427 02686</t>
  </si>
  <si>
    <t>Swarnadeep</t>
  </si>
  <si>
    <t>Jalpaiguri</t>
  </si>
  <si>
    <t>Swayamjeet</t>
  </si>
  <si>
    <t>Sahoo</t>
  </si>
  <si>
    <t>DAV PUBLIC SCHOOL KALINGA NAGAR BBSR</t>
  </si>
  <si>
    <t>Udhav</t>
  </si>
  <si>
    <t>Delhi &amp; NCR</t>
  </si>
  <si>
    <t>pradnya</t>
  </si>
  <si>
    <t>sheth</t>
  </si>
  <si>
    <t>spm english school</t>
  </si>
  <si>
    <t>MANAN</t>
  </si>
  <si>
    <t>ALWADHI</t>
  </si>
  <si>
    <t>BAL BHARATI PUBLIC SCHOOL PITAMPURA</t>
  </si>
  <si>
    <t>Chawadimani</t>
  </si>
  <si>
    <t>Yashwant Highschool, Karad.</t>
  </si>
  <si>
    <t>Karad</t>
  </si>
  <si>
    <t>PRANSHU</t>
  </si>
  <si>
    <t>BHALALA</t>
  </si>
  <si>
    <t>UNIVERSAL HIGH SCHOOL</t>
  </si>
  <si>
    <t>MUMBAI/DAHISAR</t>
  </si>
  <si>
    <t>Chinmay</t>
  </si>
  <si>
    <t>DPS Howrah</t>
  </si>
  <si>
    <t>Hoogly</t>
  </si>
  <si>
    <t>Bhagyawathy</t>
  </si>
  <si>
    <t>V.S.K.D.Matriculation Higher Secondary School, Sivakasi</t>
  </si>
  <si>
    <t>Virdhunagar</t>
  </si>
  <si>
    <t>mount carmel school</t>
  </si>
  <si>
    <t>delhi / dwarka</t>
  </si>
  <si>
    <t>Jayaram</t>
  </si>
  <si>
    <t>Cherukupalli</t>
  </si>
  <si>
    <t>Jubilee Hills Public School</t>
  </si>
  <si>
    <t>Canal Valley Public School</t>
  </si>
  <si>
    <t>Shruthika</t>
  </si>
  <si>
    <t>Prabahar</t>
  </si>
  <si>
    <t>Care International School</t>
  </si>
  <si>
    <t>D.L.DAV MODEL SCHOOL</t>
  </si>
  <si>
    <t>Bonala</t>
  </si>
  <si>
    <t>Jubliee Hills Public School</t>
  </si>
  <si>
    <t>Purva</t>
  </si>
  <si>
    <t>Rithish</t>
  </si>
  <si>
    <t>CARE International school</t>
  </si>
  <si>
    <t>Avinash Reddy</t>
  </si>
  <si>
    <t>Bhavanam</t>
  </si>
  <si>
    <t>Kapasi</t>
  </si>
  <si>
    <t>Delhi Public School, Noida</t>
  </si>
  <si>
    <t>shrihan</t>
  </si>
  <si>
    <t>suryadevara</t>
  </si>
  <si>
    <t>jubilee hills public school</t>
  </si>
  <si>
    <t>the fabindia school</t>
  </si>
  <si>
    <t>pali</t>
  </si>
  <si>
    <t>Nupur</t>
  </si>
  <si>
    <t>Gharami</t>
  </si>
  <si>
    <t>Bhilai</t>
  </si>
  <si>
    <t>Viswa Praneet</t>
  </si>
  <si>
    <t>Yatham</t>
  </si>
  <si>
    <t>Johnson grammar school I.C.S.E Mallapur</t>
  </si>
  <si>
    <t>Bhavans Vidya Mandir Girinagar</t>
  </si>
  <si>
    <t>Cochin</t>
  </si>
  <si>
    <t>Lal</t>
  </si>
  <si>
    <t>Mother's Global School</t>
  </si>
  <si>
    <t>Linge</t>
  </si>
  <si>
    <t>Rajpurohit</t>
  </si>
  <si>
    <t>SJT surana jain vidhyalaya</t>
  </si>
  <si>
    <t>Soham</t>
  </si>
  <si>
    <t>Waingankar</t>
  </si>
  <si>
    <t>Hanji</t>
  </si>
  <si>
    <t>Johnson Grammar school icse</t>
  </si>
  <si>
    <t>Mahendru</t>
  </si>
  <si>
    <t>JBCN International</t>
  </si>
  <si>
    <t>Naidu</t>
  </si>
  <si>
    <t>Jhps</t>
  </si>
  <si>
    <t>Daiwik</t>
  </si>
  <si>
    <t>D.T.E.A.SR.SEC.SCHOOL.PUSA ROAD</t>
  </si>
  <si>
    <t>S j t surana jain vidyalaya</t>
  </si>
  <si>
    <t>Harshitha</t>
  </si>
  <si>
    <t>Srikakolapu</t>
  </si>
  <si>
    <t>Hyderabad/ Sangareddy</t>
  </si>
  <si>
    <t>Millenium national school</t>
  </si>
  <si>
    <t>Ch</t>
  </si>
  <si>
    <t>JHPS</t>
  </si>
  <si>
    <t>Ali Abbas</t>
  </si>
  <si>
    <t>Mehdi</t>
  </si>
  <si>
    <t>Teerth</t>
  </si>
  <si>
    <t>Warang</t>
  </si>
  <si>
    <t>Millennium National School</t>
  </si>
  <si>
    <t>Vriddhi</t>
  </si>
  <si>
    <t>Kanodia</t>
  </si>
  <si>
    <t>D.L.D.A.V. Model School, Pitampura, Delhi</t>
  </si>
  <si>
    <t>Uman</t>
  </si>
  <si>
    <t>Debnath</t>
  </si>
  <si>
    <t>Ramakrishna Mission Vidyalaya</t>
  </si>
  <si>
    <t>Agartala/ West Tripura</t>
  </si>
  <si>
    <t>Shri krishna sr sec school</t>
  </si>
  <si>
    <t>Hemesh</t>
  </si>
  <si>
    <t>Chadalavada</t>
  </si>
  <si>
    <t>ratnamani likhitha</t>
  </si>
  <si>
    <t>sathinedi</t>
  </si>
  <si>
    <t>jubliee hills public school</t>
  </si>
  <si>
    <t>Universal High Dahisar</t>
  </si>
  <si>
    <t>Silvan</t>
  </si>
  <si>
    <t>Gurram</t>
  </si>
  <si>
    <t>NIVITH P</t>
  </si>
  <si>
    <t>MURALI</t>
  </si>
  <si>
    <t>BHAVANS VIDYA MANDIR,GIRINAGAR</t>
  </si>
  <si>
    <t>ERNAKULAM</t>
  </si>
  <si>
    <t>Soumyadeep</t>
  </si>
  <si>
    <t>Parikshita</t>
  </si>
  <si>
    <t>Khullar</t>
  </si>
  <si>
    <t>Saptadip</t>
  </si>
  <si>
    <t>Bishalgarh</t>
  </si>
  <si>
    <t>Malhotra</t>
  </si>
  <si>
    <t>D. P. S. G. B. N.</t>
  </si>
  <si>
    <t>Nehal</t>
  </si>
  <si>
    <t>Delhi public school, Gautam budth nagar</t>
  </si>
  <si>
    <t>Syeda</t>
  </si>
  <si>
    <t>Zoaiba</t>
  </si>
  <si>
    <t>Army public school Dhaula Kuan</t>
  </si>
  <si>
    <t>IIMT ACADEMY</t>
  </si>
  <si>
    <t>Samit</t>
  </si>
  <si>
    <t>Raina</t>
  </si>
  <si>
    <t>G D Goenka public school Jammu</t>
  </si>
  <si>
    <t>Mirza</t>
  </si>
  <si>
    <t>Markaz english medium</t>
  </si>
  <si>
    <t>wayanad</t>
  </si>
  <si>
    <t>AVIRAL</t>
  </si>
  <si>
    <t>DELHI PUBLIC SCHOOL,GBN</t>
  </si>
  <si>
    <t>Golaya Progressive Public School</t>
  </si>
  <si>
    <t>Palwal</t>
  </si>
  <si>
    <t>Army Public School Dhaula Kuan</t>
  </si>
  <si>
    <t>Srdav Dayanand Vihar</t>
  </si>
  <si>
    <t>Sidak</t>
  </si>
  <si>
    <t>Gyani</t>
  </si>
  <si>
    <t>Learning paths school</t>
  </si>
  <si>
    <t>Ramcharan</t>
  </si>
  <si>
    <t>ARMY PUBLIC SCHOOL DHAULA KUAN</t>
  </si>
  <si>
    <t>Delhi Cantt</t>
  </si>
  <si>
    <t>IIMT Academy</t>
  </si>
  <si>
    <t>MEERUT</t>
  </si>
  <si>
    <t>Iimt academy</t>
  </si>
  <si>
    <t>Krishna public school, Nehru nagar, Bhilai, chhattisghar</t>
  </si>
  <si>
    <t>Jyotsna</t>
  </si>
  <si>
    <t>Suryansh</t>
  </si>
  <si>
    <t>SAINIK SCHOOL SUJANPUR TIRA</t>
  </si>
  <si>
    <t>Shimla</t>
  </si>
  <si>
    <t>Shana</t>
  </si>
  <si>
    <t>Afrin</t>
  </si>
  <si>
    <t>Care international scholl</t>
  </si>
  <si>
    <t>Daya G S</t>
  </si>
  <si>
    <t>Harsha Suresh</t>
  </si>
  <si>
    <t>St. Marys GHS Payyanur</t>
  </si>
  <si>
    <t>Kannur</t>
  </si>
  <si>
    <t>Pandita</t>
  </si>
  <si>
    <t>Pranay</t>
  </si>
  <si>
    <t>Mula</t>
  </si>
  <si>
    <t>Maulik</t>
  </si>
  <si>
    <t>M.I.E.T. PUBLIC SCHOOL</t>
  </si>
  <si>
    <t>PRAKHAR</t>
  </si>
  <si>
    <t>GOV. MULTIPURPOSE HR. SEC. SCHOOL, BILASPUR, C.G.</t>
  </si>
  <si>
    <t>Bilaspur</t>
  </si>
  <si>
    <t>Maitry</t>
  </si>
  <si>
    <t>Swami Vivekanand Saraswati Vidya Mandir</t>
  </si>
  <si>
    <t>Nandhan</t>
  </si>
  <si>
    <t>Golla</t>
  </si>
  <si>
    <t>Sir Crr public school</t>
  </si>
  <si>
    <t>Eluru</t>
  </si>
  <si>
    <t>MOHAMMAD ATIF</t>
  </si>
  <si>
    <t>REYAN</t>
  </si>
  <si>
    <t>DELHI PUBLIC SCHOOL, GAUTAM BUDDH NAGAR</t>
  </si>
  <si>
    <t>R. P. V. V Nand nagri, D-1, Delhi-93</t>
  </si>
  <si>
    <t>Harsha , Daya</t>
  </si>
  <si>
    <t>Suresh , G S</t>
  </si>
  <si>
    <t>St. Mary's GHS Payyanur</t>
  </si>
  <si>
    <t>Kakkar</t>
  </si>
  <si>
    <t>PRAJNA S P</t>
  </si>
  <si>
    <t>DHAMMAPADA</t>
  </si>
  <si>
    <t>Jawahar navodaya chilkkaballapur</t>
  </si>
  <si>
    <t>Tumkur</t>
  </si>
  <si>
    <t>MANVI</t>
  </si>
  <si>
    <t>S.R.D.A.V. PUBLIC SCHOOL</t>
  </si>
  <si>
    <t>Shafiya</t>
  </si>
  <si>
    <t>Tehreem</t>
  </si>
  <si>
    <t>Jawahar Navodaya Vidyalaya</t>
  </si>
  <si>
    <t>JAWAHAR NAVODAYA VIDYALAYA,CHIKKABALLAPURA</t>
  </si>
  <si>
    <t>KOLAR</t>
  </si>
  <si>
    <t>C. C.</t>
  </si>
  <si>
    <t>Jhawar Navodaya vidyalaya. Chikkabalapur</t>
  </si>
  <si>
    <t>Chinthamani</t>
  </si>
  <si>
    <t>Harshith</t>
  </si>
  <si>
    <t>K S</t>
  </si>
  <si>
    <t>Jawahar Navodaya Vidyalaya, Chikkaballapura.</t>
  </si>
  <si>
    <t>Chikkaballapura</t>
  </si>
  <si>
    <t>shashank</t>
  </si>
  <si>
    <t>JOHNSON GRAMMAR SCHOOL(I.C.S.E)</t>
  </si>
  <si>
    <t>Borle</t>
  </si>
  <si>
    <t>Shirshika</t>
  </si>
  <si>
    <t>Mudiganti</t>
  </si>
  <si>
    <t>Sabarish</t>
  </si>
  <si>
    <t>Arumugam Academy Matriculation Higher Secondary School</t>
  </si>
  <si>
    <t>Pallapatti</t>
  </si>
  <si>
    <t>Sai satvik</t>
  </si>
  <si>
    <t>Kothapally</t>
  </si>
  <si>
    <t>Jubilee Hills public school</t>
  </si>
  <si>
    <t>Bhagia</t>
  </si>
  <si>
    <t>K.R. Mangalam World School</t>
  </si>
  <si>
    <t>Satvik</t>
  </si>
  <si>
    <t>Vattipalli</t>
  </si>
  <si>
    <t>Johnson Grammar school</t>
  </si>
  <si>
    <t>Adheesh</t>
  </si>
  <si>
    <t>K. R. Mangalam World School</t>
  </si>
  <si>
    <t>Eesha</t>
  </si>
  <si>
    <t>Hansraj Public School</t>
  </si>
  <si>
    <t>Panchkula</t>
  </si>
  <si>
    <t>Gore</t>
  </si>
  <si>
    <t>Maharaja sayajirao vidyalay satara</t>
  </si>
  <si>
    <t>Satara</t>
  </si>
  <si>
    <t>Mother's global school</t>
  </si>
  <si>
    <t>Krishay</t>
  </si>
  <si>
    <t>rudransh</t>
  </si>
  <si>
    <t>agnihotri</t>
  </si>
  <si>
    <t>BVN</t>
  </si>
  <si>
    <t>G. Ruthika</t>
  </si>
  <si>
    <t>Johnson Grammar School</t>
  </si>
  <si>
    <t>MV Hrishikesh</t>
  </si>
  <si>
    <t>VIKAS THE CONCEPT SCHOOL</t>
  </si>
  <si>
    <t>Sarraju</t>
  </si>
  <si>
    <t>Delhi Public School , Nacharam</t>
  </si>
  <si>
    <t>Chettri</t>
  </si>
  <si>
    <t>Techno India Group Public School, Siliguri</t>
  </si>
  <si>
    <t>Darjeeling</t>
  </si>
  <si>
    <t>Hridhika</t>
  </si>
  <si>
    <t>Bala</t>
  </si>
  <si>
    <t>Jyothi</t>
  </si>
  <si>
    <t>Shrishti</t>
  </si>
  <si>
    <t>Vardhman academy</t>
  </si>
  <si>
    <t>Krishna bhardwaj</t>
  </si>
  <si>
    <t>Krishna Bhardwaj</t>
  </si>
  <si>
    <t>Sabale</t>
  </si>
  <si>
    <t>M s v</t>
  </si>
  <si>
    <t>Manyaa</t>
  </si>
  <si>
    <t>Dikshit</t>
  </si>
  <si>
    <t>VCW Arya Vidya Mandir Bandra East</t>
  </si>
  <si>
    <t>Mumbai, Maharashtra</t>
  </si>
  <si>
    <t>Aiyan</t>
  </si>
  <si>
    <t>Little flower school</t>
  </si>
  <si>
    <t>Kamrup metra</t>
  </si>
  <si>
    <t>Sidwadkar</t>
  </si>
  <si>
    <t>Maharaja Sayajirao jr. College Satara</t>
  </si>
  <si>
    <t>Hansraj Public sxholl</t>
  </si>
  <si>
    <t>Pamchkula</t>
  </si>
  <si>
    <t>Lotus Valley International school</t>
  </si>
  <si>
    <t>Mudit</t>
  </si>
  <si>
    <t>Miet Public school</t>
  </si>
  <si>
    <t>Tanwar</t>
  </si>
  <si>
    <t>Golaya progressive public school</t>
  </si>
  <si>
    <t>PALWAL</t>
  </si>
  <si>
    <t>pokhariya</t>
  </si>
  <si>
    <t>Nosegay public school</t>
  </si>
  <si>
    <t>udham Singh Nagar khatima</t>
  </si>
  <si>
    <t>Gunti</t>
  </si>
  <si>
    <t>Jhonson Grammar school</t>
  </si>
  <si>
    <t>Bhuvan</t>
  </si>
  <si>
    <t>Y. Varshitha</t>
  </si>
  <si>
    <t>Johnson grammar school, ICSE</t>
  </si>
  <si>
    <t>Johnson grammar school,ISC</t>
  </si>
  <si>
    <t>Chinmaya Vidyalaya, Vidyanagar</t>
  </si>
  <si>
    <t>Kasaragod</t>
  </si>
  <si>
    <t>Hansitha</t>
  </si>
  <si>
    <t>Siddam</t>
  </si>
  <si>
    <t>TRISHAL REDDY</t>
  </si>
  <si>
    <t>THUTKURI</t>
  </si>
  <si>
    <t>Johnson grammer school icse</t>
  </si>
  <si>
    <t>Uppal hyderabad</t>
  </si>
  <si>
    <t>Sahibabad, Ghaziabad</t>
  </si>
  <si>
    <t>D.A.V Public</t>
  </si>
  <si>
    <t>Poorvee</t>
  </si>
  <si>
    <t>Cheshta</t>
  </si>
  <si>
    <t>Army Public School Shankar Vihar</t>
  </si>
  <si>
    <t>lotus valley international school gurugram</t>
  </si>
  <si>
    <t>PRANAV</t>
  </si>
  <si>
    <t>RAJAGOPALAN</t>
  </si>
  <si>
    <t>VELAMMAL VIDYALAYA ALAPAKKAM</t>
  </si>
  <si>
    <t>Nakshatra</t>
  </si>
  <si>
    <t>PARTH</t>
  </si>
  <si>
    <t>SRDAV Public School</t>
  </si>
  <si>
    <t>Naisha</t>
  </si>
  <si>
    <t>Mount St. Mary’s, Delhi Cantt</t>
  </si>
  <si>
    <t>VAIBHAV</t>
  </si>
  <si>
    <t>TANEJA</t>
  </si>
  <si>
    <t>BAL BHARATI PUBLIC SCHOOL DWARKA</t>
  </si>
  <si>
    <t>SRDAV PUBLIC SCHOOL</t>
  </si>
  <si>
    <t>PULKIT</t>
  </si>
  <si>
    <t>RUSTAGI</t>
  </si>
  <si>
    <t>Srdav public school</t>
  </si>
  <si>
    <t>Sr dav public school</t>
  </si>
  <si>
    <t>Samrat reddy</t>
  </si>
  <si>
    <t>Parvathareddy</t>
  </si>
  <si>
    <t>Dhruvi</t>
  </si>
  <si>
    <t>Amity international School,Vasundhara 6</t>
  </si>
  <si>
    <t>Vaibhavi</t>
  </si>
  <si>
    <t>Palwal city district Harayana</t>
  </si>
  <si>
    <t>Devanshu</t>
  </si>
  <si>
    <t>Saheed amir chand sarvodya vidyalaya</t>
  </si>
  <si>
    <t>Karawal nagr</t>
  </si>
  <si>
    <t>Susant</t>
  </si>
  <si>
    <t>Majumdar</t>
  </si>
  <si>
    <t>Kendriya Vidyalaya No.1,Afs,Kalaikunda</t>
  </si>
  <si>
    <t>Paschim Mednipur</t>
  </si>
  <si>
    <t>Jeshritha</t>
  </si>
  <si>
    <t>Kodandapuram</t>
  </si>
  <si>
    <t>Jubliee hills public school</t>
  </si>
  <si>
    <t>Vishwam</t>
  </si>
  <si>
    <t>Seth Anandram Jaipuria Schoo.</t>
  </si>
  <si>
    <t>Aahana</t>
  </si>
  <si>
    <t>Shanbhag</t>
  </si>
  <si>
    <t>St.Joseph's convent high school</t>
  </si>
  <si>
    <t>Belgaum</t>
  </si>
  <si>
    <t>Sarkar</t>
  </si>
  <si>
    <t>Jaypee Public School</t>
  </si>
  <si>
    <t>meerut</t>
  </si>
  <si>
    <t>Lavi public school</t>
  </si>
  <si>
    <t>New delhi ghevra</t>
  </si>
  <si>
    <t>New delhi Ghevra</t>
  </si>
  <si>
    <t>Vaarunya</t>
  </si>
  <si>
    <t>Murthy</t>
  </si>
  <si>
    <t>Kadambari</t>
  </si>
  <si>
    <t>Leah</t>
  </si>
  <si>
    <t>Imchen</t>
  </si>
  <si>
    <t>Delhi Public School Dimapur</t>
  </si>
  <si>
    <t>Dimapur</t>
  </si>
  <si>
    <t>Telou</t>
  </si>
  <si>
    <t>Mero</t>
  </si>
  <si>
    <t>Shiya</t>
  </si>
  <si>
    <t>A Manaf</t>
  </si>
  <si>
    <t>Sarvodaya Central vidyalaya</t>
  </si>
  <si>
    <t>International public school</t>
  </si>
  <si>
    <t>Tiwary</t>
  </si>
  <si>
    <t>DAV Public School, Bistupur</t>
  </si>
  <si>
    <t>DLDAV Model School ,Pitampura</t>
  </si>
  <si>
    <t>New Delhi , Pitampura</t>
  </si>
  <si>
    <t>F Shukoor</t>
  </si>
  <si>
    <t>Sarvodaya Central Vidyalaya</t>
  </si>
  <si>
    <t>Miet Public School</t>
  </si>
  <si>
    <t>Peeyush</t>
  </si>
  <si>
    <t>Vidyalaya</t>
  </si>
  <si>
    <t>Kendriya Vidyalaya no 2 agra cantt,agra</t>
  </si>
  <si>
    <t>Agra</t>
  </si>
  <si>
    <t>Jatin</t>
  </si>
  <si>
    <t>SEA School (SOUTH EAST ASIAN EDUCATIONAL TRUST)</t>
  </si>
  <si>
    <t>Churiyana</t>
  </si>
  <si>
    <t>Lavi Public School</t>
  </si>
  <si>
    <t>Lavi public School</t>
  </si>
  <si>
    <t>Deepanshu</t>
  </si>
  <si>
    <t>Lavi public Schools</t>
  </si>
  <si>
    <t>Lakshay</t>
  </si>
  <si>
    <t>MIET Public School</t>
  </si>
  <si>
    <t>M.i.e.t public school mawana road Meerut</t>
  </si>
  <si>
    <t>Meerut,UP</t>
  </si>
  <si>
    <t>KASHISH</t>
  </si>
  <si>
    <t>DUA</t>
  </si>
  <si>
    <t>Gan</t>
  </si>
  <si>
    <t>GMSSS-19, Chandigarh</t>
  </si>
  <si>
    <t>purvi</t>
  </si>
  <si>
    <t>DAV MODEL SCHOOL, IIT KHARAGPUR</t>
  </si>
  <si>
    <t>Manaswi</t>
  </si>
  <si>
    <t>D.C. Model Sr. Sec. School</t>
  </si>
  <si>
    <t>Faris</t>
  </si>
  <si>
    <t>Muhammed ps</t>
  </si>
  <si>
    <t>PTMHSS Thrikkadeery</t>
  </si>
  <si>
    <t>Kharbas</t>
  </si>
  <si>
    <t>Army public school,Hisar</t>
  </si>
  <si>
    <t>Government Multipurpose Hr Sec School Bilaspur Chhattisgarh</t>
  </si>
  <si>
    <t>bilaspur Chhattisgarh</t>
  </si>
  <si>
    <t>SHRIVAS</t>
  </si>
  <si>
    <t>BILASPUR CHHATTISGARH</t>
  </si>
  <si>
    <t>Balram</t>
  </si>
  <si>
    <t>Jawahar Navodaya Vidyalaya Kollam</t>
  </si>
  <si>
    <t>Kollam</t>
  </si>
  <si>
    <t>RISHU</t>
  </si>
  <si>
    <t>DUBEY</t>
  </si>
  <si>
    <t>DC MODEL SE SEC SCHOOL SEC 7 PKL</t>
  </si>
  <si>
    <t>Subodh public school</t>
  </si>
  <si>
    <t>Adhiraj</t>
  </si>
  <si>
    <t>OP jindal modern school</t>
  </si>
  <si>
    <t>sanchit</t>
  </si>
  <si>
    <t>goyal</t>
  </si>
  <si>
    <t>bal bharati public schol</t>
  </si>
  <si>
    <t>delhi/north west</t>
  </si>
  <si>
    <t>Subhashree</t>
  </si>
  <si>
    <t>AFS kalaikunda,kendriya vidyalaya</t>
  </si>
  <si>
    <t>Jhargram</t>
  </si>
  <si>
    <t>YASHIKA</t>
  </si>
  <si>
    <t>DAV public school sector 14, gurugram</t>
  </si>
  <si>
    <t>Manu</t>
  </si>
  <si>
    <t>Chhetri</t>
  </si>
  <si>
    <t>Techno India group public school</t>
  </si>
  <si>
    <t>Snehashis</t>
  </si>
  <si>
    <t>MISHIKA</t>
  </si>
  <si>
    <t>SAKHUJA</t>
  </si>
  <si>
    <t>AMITY INTERNATIONAL SCHOOL,NOIDA</t>
  </si>
  <si>
    <t>Amity International School, Noida</t>
  </si>
  <si>
    <t>Rajasthan</t>
  </si>
  <si>
    <t>Praneeth</t>
  </si>
  <si>
    <t>Salaka</t>
  </si>
  <si>
    <t>DDA</t>
  </si>
  <si>
    <t>FLATS</t>
  </si>
  <si>
    <t>AMITY INTERNATIONAL SCHOOL , NOIDA</t>
  </si>
  <si>
    <t>MAYUR VIHAR</t>
  </si>
  <si>
    <t>orchids sarjapur</t>
  </si>
  <si>
    <t>Venkata Vamsi Hari Krishna</t>
  </si>
  <si>
    <t>Gonuguntla</t>
  </si>
  <si>
    <t>A.P.Model School,Cheekatigalapalem</t>
  </si>
  <si>
    <t>Guntur</t>
  </si>
  <si>
    <t>Adite</t>
  </si>
  <si>
    <t>Amity International School, sector, vasundhara</t>
  </si>
  <si>
    <t>Remo</t>
  </si>
  <si>
    <t>Fredrick.A</t>
  </si>
  <si>
    <t>Jawahar Navodaya Vidhyalaya</t>
  </si>
  <si>
    <t>Karaikal</t>
  </si>
  <si>
    <t>Little Flower Senior Secondary school, Hatigaon, Guwahati</t>
  </si>
  <si>
    <t>Guwahati</t>
  </si>
  <si>
    <t>Charles</t>
  </si>
  <si>
    <t>Kendriya vidyalaya no.1</t>
  </si>
  <si>
    <t>Jahafalaque</t>
  </si>
  <si>
    <t>Little flower senior secondary school</t>
  </si>
  <si>
    <t>DC Model Senior Secondary School</t>
  </si>
  <si>
    <t>Omanand</t>
  </si>
  <si>
    <t>Swami</t>
  </si>
  <si>
    <t>Maharashtra Vidyalay,Latur</t>
  </si>
  <si>
    <t>Latur</t>
  </si>
  <si>
    <t>Mohd</t>
  </si>
  <si>
    <t>Arsalan</t>
  </si>
  <si>
    <t>Vidya Bihar residential</t>
  </si>
  <si>
    <t>Kishanganj</t>
  </si>
  <si>
    <t>Amritleen</t>
  </si>
  <si>
    <t>DC model sr.sec school</t>
  </si>
  <si>
    <t>Shreevara</t>
  </si>
  <si>
    <t>Shri vyasa Maharshi Vidya peetha kilpady mulki</t>
  </si>
  <si>
    <t>Dakshina kannada</t>
  </si>
  <si>
    <t>Hariom</t>
  </si>
  <si>
    <t>Shaheed amir chand government sarvodaya vidalaya ludlow castle no.2</t>
  </si>
  <si>
    <t>Parab</t>
  </si>
  <si>
    <t>Margao, goa</t>
  </si>
  <si>
    <t>Hooda</t>
  </si>
  <si>
    <t>Srdav Public school Dayanand Vihar</t>
  </si>
  <si>
    <t>Kaustubh</t>
  </si>
  <si>
    <t>Delhi Public School,Sonepat</t>
  </si>
  <si>
    <t>Sonepat</t>
  </si>
  <si>
    <t>M Bala</t>
  </si>
  <si>
    <t>nethra</t>
  </si>
  <si>
    <t>Sidhant ranjan</t>
  </si>
  <si>
    <t>Medhi</t>
  </si>
  <si>
    <t>Ved M</t>
  </si>
  <si>
    <t>Deshmukh</t>
  </si>
  <si>
    <t>Kendriya Vidyalaya Vayusena Nagar Nagpur</t>
  </si>
  <si>
    <t>Varchas</t>
  </si>
  <si>
    <t>Kotipalli</t>
  </si>
  <si>
    <t>Delhi Public School Nacharam</t>
  </si>
  <si>
    <t>Hyderabad City</t>
  </si>
  <si>
    <t>Makrand</t>
  </si>
  <si>
    <t>Yeole</t>
  </si>
  <si>
    <t>Kendriya Vidyalaya Vayusena Nagar</t>
  </si>
  <si>
    <t>Minhajul</t>
  </si>
  <si>
    <t>Guwhati kamprup metro</t>
  </si>
  <si>
    <t>ANSH</t>
  </si>
  <si>
    <t>K. V. No. 1</t>
  </si>
  <si>
    <t>Paschim Midnapur</t>
  </si>
  <si>
    <t>Kumat</t>
  </si>
  <si>
    <t>D.CModelSr.Sec.School</t>
  </si>
  <si>
    <t>Landge</t>
  </si>
  <si>
    <t>New english school,Landewadi</t>
  </si>
  <si>
    <t>Mahak</t>
  </si>
  <si>
    <t>Agarwala</t>
  </si>
  <si>
    <t>Guwahati /kamrup</t>
  </si>
  <si>
    <t>Amity International School Noida</t>
  </si>
  <si>
    <t>Deepjyoti</t>
  </si>
  <si>
    <t>Nps international school</t>
  </si>
  <si>
    <t>Bodoland Territorial Council (BTC)</t>
  </si>
  <si>
    <t>Arnab leeonn</t>
  </si>
  <si>
    <t>Guwahati/kamrup metro</t>
  </si>
  <si>
    <t>Arnab leeon</t>
  </si>
  <si>
    <t>Manmayouri</t>
  </si>
  <si>
    <t>Kakoti</t>
  </si>
  <si>
    <t>Little Flower Senior Secondary school</t>
  </si>
  <si>
    <t>Guwahati,Kamrup</t>
  </si>
  <si>
    <t>Washique</t>
  </si>
  <si>
    <t>Azmal Ahmed</t>
  </si>
  <si>
    <t>Little Flower School</t>
  </si>
  <si>
    <t>SRDAV Public School, Dayanand Vihar</t>
  </si>
  <si>
    <t>Bhaswati</t>
  </si>
  <si>
    <t>Lahkar</t>
  </si>
  <si>
    <t>Little Flower Senior Secondary School</t>
  </si>
  <si>
    <t>guwahati</t>
  </si>
  <si>
    <t>Army Public School Kanpur</t>
  </si>
  <si>
    <t>swami vivekanand saraswati vidya mandir</t>
  </si>
  <si>
    <t>Ghiziabad</t>
  </si>
  <si>
    <t>Inzamul</t>
  </si>
  <si>
    <t>Alom</t>
  </si>
  <si>
    <t>Aadeesh</t>
  </si>
  <si>
    <t>Lotus Valley International School</t>
  </si>
  <si>
    <t>DIXIT</t>
  </si>
  <si>
    <t>SRDAV PUBLIC SCHOOL,DAYANAND VIHAR</t>
  </si>
  <si>
    <t>AMITY INTERNATIONAL SCHOOL, SECTOR 6 VASUNDHARA</t>
  </si>
  <si>
    <t>Protyoya</t>
  </si>
  <si>
    <t>Aps dhaula kuan</t>
  </si>
  <si>
    <t>Farhan Atif</t>
  </si>
  <si>
    <t>Rahman</t>
  </si>
  <si>
    <t>Krishanu</t>
  </si>
  <si>
    <t>Noreen</t>
  </si>
  <si>
    <t>Rahman Borooah</t>
  </si>
  <si>
    <t>Little Flower senior secondary school</t>
  </si>
  <si>
    <t>Arihant</t>
  </si>
  <si>
    <t>Khurdiya</t>
  </si>
  <si>
    <t>APS DK</t>
  </si>
  <si>
    <t>Alina</t>
  </si>
  <si>
    <t>SIES(Dr.APJ Abdul Kalam Memorial) High School</t>
  </si>
  <si>
    <t>Angshita</t>
  </si>
  <si>
    <t>Deuri</t>
  </si>
  <si>
    <t>A R</t>
  </si>
  <si>
    <t>Chinmaya Vidhyalaya kannur , chala</t>
  </si>
  <si>
    <t>Ajabithi</t>
  </si>
  <si>
    <t>Little Flower Sr. Sec. School</t>
  </si>
  <si>
    <t>Mahfuz</t>
  </si>
  <si>
    <t>Shermin</t>
  </si>
  <si>
    <t>Reaz</t>
  </si>
  <si>
    <t>Mahira</t>
  </si>
  <si>
    <t>Guwahati , Kamrup ( Metropolitan )</t>
  </si>
  <si>
    <t>Srushti</t>
  </si>
  <si>
    <t>More</t>
  </si>
  <si>
    <t>Yashwant vidyalaya latur</t>
  </si>
  <si>
    <t>Akshi</t>
  </si>
  <si>
    <t>Bel Bharat public school pitampura</t>
  </si>
  <si>
    <t>DC MODEL SEN. SEC. SCHOOL</t>
  </si>
  <si>
    <t>Chinmaya Vidyalaya , Kannur</t>
  </si>
  <si>
    <t>Jayesh</t>
  </si>
  <si>
    <t>Subodh public school jaipur</t>
  </si>
  <si>
    <t>Azmayeen</t>
  </si>
  <si>
    <t>Dewan</t>
  </si>
  <si>
    <t>Jeevan public school</t>
  </si>
  <si>
    <t>Aryaneel</t>
  </si>
  <si>
    <t>Manuja</t>
  </si>
  <si>
    <t>Amity International School , Noida</t>
  </si>
  <si>
    <t>INDIRAPURAM</t>
  </si>
  <si>
    <t>Bal vidya mandir</t>
  </si>
  <si>
    <t>Army public school Dhaula kuan</t>
  </si>
  <si>
    <t>Surajgarh</t>
  </si>
  <si>
    <t>Vasundhara, Ghaziabad</t>
  </si>
  <si>
    <t>Iniyan</t>
  </si>
  <si>
    <t>T</t>
  </si>
  <si>
    <t>Royal park school</t>
  </si>
  <si>
    <t>Salem</t>
  </si>
  <si>
    <t>Wable</t>
  </si>
  <si>
    <t>Gitesh</t>
  </si>
  <si>
    <t>Navtej</t>
  </si>
  <si>
    <t>Sainik School Sujanpur Tira</t>
  </si>
  <si>
    <t>Hamirpur</t>
  </si>
  <si>
    <t>Dav public school vasant kunj</t>
  </si>
  <si>
    <t>Kendriya vidyalay no. 2,agra cantt</t>
  </si>
  <si>
    <t>73987 63591</t>
  </si>
  <si>
    <t>Jeevan public SE sec school</t>
  </si>
  <si>
    <t>VEDANSH</t>
  </si>
  <si>
    <t>KHANNA</t>
  </si>
  <si>
    <t>BAL BHARATI PUBLIC SCHOOL,PITAMPURA</t>
  </si>
  <si>
    <t>4thgrade</t>
  </si>
  <si>
    <t>Urshia</t>
  </si>
  <si>
    <t>Shabnam</t>
  </si>
  <si>
    <t>DEEPANSH</t>
  </si>
  <si>
    <t>Jeeven Public School</t>
  </si>
  <si>
    <t>PRATHMESH</t>
  </si>
  <si>
    <t>SAI INTERNATIONAL SCHOOL</t>
  </si>
  <si>
    <t>BHUBANESWAR</t>
  </si>
  <si>
    <t>Bishnoi</t>
  </si>
  <si>
    <t>Subodh public school,rambagh</t>
  </si>
  <si>
    <t>Salma</t>
  </si>
  <si>
    <t>Kamrup Metro</t>
  </si>
  <si>
    <t>Salecha</t>
  </si>
  <si>
    <t>Excel public school</t>
  </si>
  <si>
    <t>Mysuru</t>
  </si>
  <si>
    <t>Sagarika</t>
  </si>
  <si>
    <t>Sundargarh public school</t>
  </si>
  <si>
    <t>Sundargarh</t>
  </si>
  <si>
    <t>Rudraksh</t>
  </si>
  <si>
    <t>Partha</t>
  </si>
  <si>
    <t>Kanpur/Uttar Pradesh</t>
  </si>
  <si>
    <t>Sajida</t>
  </si>
  <si>
    <t>Jameela Rehana</t>
  </si>
  <si>
    <t>Jaigopal garodia national higher secondary school</t>
  </si>
  <si>
    <t>Tamilnadu</t>
  </si>
  <si>
    <t>Mahinder</t>
  </si>
  <si>
    <t>D C Model Sr.sec school Sactor-7</t>
  </si>
  <si>
    <t>janani</t>
  </si>
  <si>
    <t>jai gopal grodiya national hr sec school</t>
  </si>
  <si>
    <t>chanigalpatitu</t>
  </si>
  <si>
    <t>Navyug</t>
  </si>
  <si>
    <t>Pandavula</t>
  </si>
  <si>
    <t>Defence Laboratories School RCI</t>
  </si>
  <si>
    <t>GMSSS - 19 C , Chandigarh</t>
  </si>
  <si>
    <t>Rithi</t>
  </si>
  <si>
    <t>Vishweshvaraiyah Matric Higher Secondary School, Thoppur</t>
  </si>
  <si>
    <t>Erode</t>
  </si>
  <si>
    <t>Jeevan public sec.sr.school</t>
  </si>
  <si>
    <t>Krrish</t>
  </si>
  <si>
    <t>Delhi Public School, Sonepat</t>
  </si>
  <si>
    <t>Sonipat</t>
  </si>
  <si>
    <t>Chakradhar</t>
  </si>
  <si>
    <t>Sukhdev</t>
  </si>
  <si>
    <t>Thukral</t>
  </si>
  <si>
    <t>S.V.S.V.M</t>
  </si>
  <si>
    <t>Subodh Public School Rambagh,Crossing</t>
  </si>
  <si>
    <t>Trishit</t>
  </si>
  <si>
    <t>Sps</t>
  </si>
  <si>
    <t>Darvicka</t>
  </si>
  <si>
    <t>Mark</t>
  </si>
  <si>
    <t>Milton</t>
  </si>
  <si>
    <t>JaiGopal Garodia National Hr. Sec School</t>
  </si>
  <si>
    <t>subodh public school, rambagh</t>
  </si>
  <si>
    <t>Hitesha</t>
  </si>
  <si>
    <t>JNV Niwarasi Kurukshetra</t>
  </si>
  <si>
    <t>Kurukshetra</t>
  </si>
  <si>
    <t>Komatireddy</t>
  </si>
  <si>
    <t>Yashwanth Reddy</t>
  </si>
  <si>
    <t>Kendriya Vidyalaya B.S.F kishanganj</t>
  </si>
  <si>
    <t>GREENWAY MODERN SCHOOL</t>
  </si>
  <si>
    <t>Sankrit</t>
  </si>
  <si>
    <t>Sai International school</t>
  </si>
  <si>
    <t>kv</t>
  </si>
  <si>
    <t>Happy Child High School</t>
  </si>
  <si>
    <t>Lodha</t>
  </si>
  <si>
    <t>New English School Landewadi</t>
  </si>
  <si>
    <t>Rekhchand</t>
  </si>
  <si>
    <t>Govt. Higher Secondary School Patewa</t>
  </si>
  <si>
    <t>Rajnandgaon</t>
  </si>
  <si>
    <t>Sai international school</t>
  </si>
  <si>
    <t>Bbsr</t>
  </si>
  <si>
    <t>NPS international school,guwahati</t>
  </si>
  <si>
    <t>ALIPURDUAR</t>
  </si>
  <si>
    <t>Chukmi</t>
  </si>
  <si>
    <t>Zimik</t>
  </si>
  <si>
    <t>Churachand higher secondary school</t>
  </si>
  <si>
    <t>Ukhrul</t>
  </si>
  <si>
    <t>Aryanshh</t>
  </si>
  <si>
    <t>DAV PUBLIC SCHOOL VASANT KUNJ</t>
  </si>
  <si>
    <t>Farhad</t>
  </si>
  <si>
    <t>Nps International school</t>
  </si>
  <si>
    <t>Tage</t>
  </si>
  <si>
    <t>Tapang</t>
  </si>
  <si>
    <t>NPS international School</t>
  </si>
  <si>
    <t>Itanagar</t>
  </si>
  <si>
    <t>GMSSS 19 C CHANDIGADH</t>
  </si>
  <si>
    <t>Aakarsh</t>
  </si>
  <si>
    <t>Tripathi</t>
  </si>
  <si>
    <t>Koustav</t>
  </si>
  <si>
    <t>Kendriya Vidyalaya Command Hospital</t>
  </si>
  <si>
    <t>South 24 Pgns</t>
  </si>
  <si>
    <t>Little flower st. sec school</t>
  </si>
  <si>
    <t>Guwahati /kamrup metro</t>
  </si>
  <si>
    <t>Kaphu</t>
  </si>
  <si>
    <t>Meikam</t>
  </si>
  <si>
    <t>Churchand higher secondary school</t>
  </si>
  <si>
    <t>Imphal</t>
  </si>
  <si>
    <t>Neshaa</t>
  </si>
  <si>
    <t>Lakshminarayanan</t>
  </si>
  <si>
    <t>Care international</t>
  </si>
  <si>
    <t>SUJAY</t>
  </si>
  <si>
    <t>KATOCH</t>
  </si>
  <si>
    <t>KANGRA</t>
  </si>
  <si>
    <t>Seth Anand Ram Jaipuria School</t>
  </si>
  <si>
    <t>Vasundhara</t>
  </si>
  <si>
    <t>Laboni A.</t>
  </si>
  <si>
    <t>Duarah</t>
  </si>
  <si>
    <t>KAMRUP</t>
  </si>
  <si>
    <t>Shree ji baba saraswati vidya mandir</t>
  </si>
  <si>
    <t>Mathura</t>
  </si>
  <si>
    <t>Sowbarniga</t>
  </si>
  <si>
    <t>St. Michael matriculation hr sec school</t>
  </si>
  <si>
    <t>Madurai Tamil nadu</t>
  </si>
  <si>
    <t>Shaima</t>
  </si>
  <si>
    <t>Haque</t>
  </si>
  <si>
    <t>Assam</t>
  </si>
  <si>
    <t>Aakansh</t>
  </si>
  <si>
    <t>Seth Anandram Jaipuria school</t>
  </si>
  <si>
    <t>Achir</t>
  </si>
  <si>
    <t>Subodh Public School, Rambagh</t>
  </si>
  <si>
    <t>CHIRAG</t>
  </si>
  <si>
    <t>VIDYA VIHAR RESIDENTIAL SCHOOL</t>
  </si>
  <si>
    <t>MADHUBANI</t>
  </si>
  <si>
    <t>Vidya vihar residential school</t>
  </si>
  <si>
    <t>Saharsa</t>
  </si>
  <si>
    <t>Harikesh</t>
  </si>
  <si>
    <t>Vaishya</t>
  </si>
  <si>
    <t>GMSSS 19</t>
  </si>
  <si>
    <t>Zirakpur</t>
  </si>
  <si>
    <t>_</t>
  </si>
  <si>
    <t>Kendiya Vidyalaya No.2</t>
  </si>
  <si>
    <t>Vidya Vihar Residential School</t>
  </si>
  <si>
    <t>Samastipur</t>
  </si>
  <si>
    <t>Pragyansh</t>
  </si>
  <si>
    <t>Baijnath</t>
  </si>
  <si>
    <t>M.K.</t>
  </si>
  <si>
    <t>Tharoon</t>
  </si>
  <si>
    <t>Vishwesvaraiyah Hr Secondary school</t>
  </si>
  <si>
    <t>Seth Anand ram Jaipuria School</t>
  </si>
  <si>
    <t>Sancharita</t>
  </si>
  <si>
    <t>Abhinab</t>
  </si>
  <si>
    <t>Kalita</t>
  </si>
  <si>
    <t>Delhi Public School Numaligarh</t>
  </si>
  <si>
    <t>Bokakhat/ Golaghat</t>
  </si>
  <si>
    <t>Aneesh</t>
  </si>
  <si>
    <t>Bhimta</t>
  </si>
  <si>
    <t>Panugothu</t>
  </si>
  <si>
    <t>Saandeep high school</t>
  </si>
  <si>
    <t>Nalgonda</t>
  </si>
  <si>
    <t>Aadinath ck</t>
  </si>
  <si>
    <t>Aadinath</t>
  </si>
  <si>
    <t>Kearla, Kannur</t>
  </si>
  <si>
    <t>SEA school</t>
  </si>
  <si>
    <t>Kapil</t>
  </si>
  <si>
    <t>SAINIK SCHOOL SUJANPUR TIHRA</t>
  </si>
  <si>
    <t>Naliya , Naliya, Gujrat</t>
  </si>
  <si>
    <t>Ghai</t>
  </si>
  <si>
    <t>Sainik school sujanpur tira</t>
  </si>
  <si>
    <t>Mandi</t>
  </si>
  <si>
    <t>Tehsil sarkaghat mandi</t>
  </si>
  <si>
    <t>Bhojpur</t>
  </si>
  <si>
    <t>Ugale</t>
  </si>
  <si>
    <t>B.K.Kawale, School.</t>
  </si>
  <si>
    <t>Konar</t>
  </si>
  <si>
    <t>SIES high school</t>
  </si>
  <si>
    <t>Maharashtra; mumbai</t>
  </si>
  <si>
    <t>Uzma</t>
  </si>
  <si>
    <t>K. V. K Ghatkopar Sarvajanik School</t>
  </si>
  <si>
    <t>Kumdale</t>
  </si>
  <si>
    <t>Dcmodel ser sec school</t>
  </si>
  <si>
    <t>Firozpur cantt</t>
  </si>
  <si>
    <t>Sidhesh</t>
  </si>
  <si>
    <t>KAKKARA</t>
  </si>
  <si>
    <t>Chinmaya vidyalaya, chala</t>
  </si>
  <si>
    <t>Vipra</t>
  </si>
  <si>
    <t>Dr NSAM English Medium High School, Nitte</t>
  </si>
  <si>
    <t>Udupi</t>
  </si>
  <si>
    <t>Bhalerao</t>
  </si>
  <si>
    <t>Yashwant Vidyalaya latur</t>
  </si>
  <si>
    <t>Vishal Ranjan</t>
  </si>
  <si>
    <t>D.A.V public school KOYLANAGAR</t>
  </si>
  <si>
    <t>DAV Public School, Koyla Nagar</t>
  </si>
  <si>
    <t>FARHAN AKHTER</t>
  </si>
  <si>
    <t>KENDRIYA VIDYALAYA MYSURU</t>
  </si>
  <si>
    <t>Sangram</t>
  </si>
  <si>
    <t>Shreyata</t>
  </si>
  <si>
    <t>Ghule</t>
  </si>
  <si>
    <t>St. Helena's</t>
  </si>
  <si>
    <t>PYLA</t>
  </si>
  <si>
    <t>SHANMUKHAVARDHAN</t>
  </si>
  <si>
    <t>AP MODEL SCHOOL BHOGAPURAM</t>
  </si>
  <si>
    <t>Bhogapuram</t>
  </si>
  <si>
    <t>O.P. JINDAL</t>
  </si>
  <si>
    <t>RAIGARH</t>
  </si>
  <si>
    <t>Dandu</t>
  </si>
  <si>
    <t>Asrith</t>
  </si>
  <si>
    <t>Narayana High school</t>
  </si>
  <si>
    <t>Nauman</t>
  </si>
  <si>
    <t>CMR NATIONAL PU COLLEGE</t>
  </si>
  <si>
    <t>AAHANA</t>
  </si>
  <si>
    <t>PATIL</t>
  </si>
  <si>
    <t>St Helenas School</t>
  </si>
  <si>
    <t>Shaila</t>
  </si>
  <si>
    <t>st.helena's school</t>
  </si>
  <si>
    <t>Pune/Maharashtra</t>
  </si>
  <si>
    <t>Urvi</t>
  </si>
  <si>
    <t>Gurav</t>
  </si>
  <si>
    <t>St. Helena's school</t>
  </si>
  <si>
    <t>Kerala Public School</t>
  </si>
  <si>
    <t>St. Helenas School</t>
  </si>
  <si>
    <t>Nyamgoud</t>
  </si>
  <si>
    <t>St.Helenas</t>
  </si>
  <si>
    <t>Atiya</t>
  </si>
  <si>
    <t>Dass And Brown World School</t>
  </si>
  <si>
    <t>Paschim bardawan</t>
  </si>
  <si>
    <t>Mehal</t>
  </si>
  <si>
    <t>Surana</t>
  </si>
  <si>
    <t>St.Helena's</t>
  </si>
  <si>
    <t>Hiral</t>
  </si>
  <si>
    <t>St. Helenas school</t>
  </si>
  <si>
    <t>Kalyan</t>
  </si>
  <si>
    <t>Mrunmayi</t>
  </si>
  <si>
    <t>Katalkar</t>
  </si>
  <si>
    <t>Little Angel's High School</t>
  </si>
  <si>
    <t>school</t>
  </si>
  <si>
    <t>Janki</t>
  </si>
  <si>
    <t>IES Katrap Vidyalaya</t>
  </si>
  <si>
    <t>Badlapur</t>
  </si>
  <si>
    <t>Shubhangini</t>
  </si>
  <si>
    <t>Kanhere</t>
  </si>
  <si>
    <t>little angel</t>
  </si>
  <si>
    <t>Farhan Akhter</t>
  </si>
  <si>
    <t>Karishma</t>
  </si>
  <si>
    <t>Little Angels High School</t>
  </si>
  <si>
    <t>School Of Scholars , Beltarodi</t>
  </si>
  <si>
    <t>Ghazibad</t>
  </si>
  <si>
    <t>sr no</t>
  </si>
  <si>
    <t>IFT Idea no</t>
  </si>
  <si>
    <t>TC</t>
  </si>
  <si>
    <t>Email</t>
  </si>
  <si>
    <t>First Name</t>
  </si>
  <si>
    <t>Last Name</t>
  </si>
  <si>
    <t>School</t>
  </si>
  <si>
    <t>City</t>
  </si>
  <si>
    <t>Contact no.</t>
  </si>
  <si>
    <t>Education Board</t>
  </si>
  <si>
    <t>Bootcamp Allocation</t>
  </si>
  <si>
    <t>It’s always better to define the problem before we attempt to solve it. It’s even better if we are précised in articulating it.</t>
  </si>
  <si>
    <t>Give is a detailed description of the problem.</t>
  </si>
  <si>
    <t>Describe the ‘user’ group whose problem you are attempting to solve ?</t>
  </si>
  <si>
    <t>Why do you believe that this problem is critical and needs an urgent solution ?</t>
  </si>
  <si>
    <t>What is your solution ?</t>
  </si>
  <si>
    <t>How your solution gives a distinct benefit to users or reduce their pain?</t>
  </si>
  <si>
    <t>Why do you think you are the best equipped to offer this solution ?</t>
  </si>
  <si>
    <t>Mention the stage of your idea at this moment</t>
  </si>
  <si>
    <t>File</t>
  </si>
  <si>
    <t>Submission Date</t>
  </si>
  <si>
    <t>Page Referer Url</t>
  </si>
  <si>
    <t>IFT397</t>
  </si>
  <si>
    <t>yumnagulvez282@gmail.com</t>
  </si>
  <si>
    <t>7th grade</t>
  </si>
  <si>
    <t>CBSE</t>
  </si>
  <si>
    <t>26th Jan (S2)</t>
  </si>
  <si>
    <t>Problems are something like a confusing puzzle set and difficult to deal with, but just like a hint box available behind every puzzle, there are solutions available behind every problem that comes in our life. Facing towards our present time, the whole universe is standing in the same situation and that's COVID-19, the physical and mental lockdown for every person, even no sympathy on anyone. The doors of everyone's mind, heart and homes are shutted down. The kids, the teenagers, the youngsters, the adults and the old ones, just praying for this year to pass soon. "But! Can 2021 be a better year and can everything be well set again." I guess this quotation is itself in doubt. Yes, several are able to step forward from thier shutted doors, but all are not able to do so, many are not able to strengthen themselves again to start their lives again and are not able to adjust themselves in this new normal, especially, the students. Talking about the new trend of online Education, this cannot replace traditional education in the lives of many. The lack of technology and it's awareness among several groups plus network and technical glitches cannot be neglected.</t>
  </si>
  <si>
    <t>Talking about the villagers and under- privileged children, they have now changed their thoughts and are now adjusted to the classrooms, after such a long time hard work of the government and of other institutions. Those are the people who are very far from the technology and still needs much time to adapt this modern world and that's the reason they are unable to get in touch with this online Education system. Network issues, technical glitches, downloading and starting procedure of learning softwares is a great challange for many. Many parents are totally against to indulge their children in smartphones for much time and the value of internet package is somewhere the part of problem.</t>
  </si>
  <si>
    <t>I want to attempt this problem of all those who are facing it. The number of people who are surrounded by this problem is unpredictable and cannot be neglected, the true worth of problems can only be felt by those who are facing them. These such problems seems simple and temporary, but one must ask about them from the people who are actually dealing with them. I want everyone to once know the actual condition and the challanges coming in the lives of those little and innocent children, whose lives needs to be smooth for them.</t>
  </si>
  <si>
    <t>This problem is critical and needs urgent solution because right now there are very less chances of the schools and educational centres to be reopened. Around 9-10 months have passed with this pandemic and currently situations are turning more critical. It's a high time now for a permanent solution of these challenges in online education. Many are lack behind with their this year syllabus. Several desires to continue their studies, but are compelled due to these harsh challanges. To end up all this, a permanent and an urgent solution is now necessary</t>
  </si>
  <si>
    <t>This problem needs a solution, which needs to be planned under the concernt of all. Lightening up my views,
1: First and foremost thing  people needs to change their mind-sets, they must keep their negative thoughts a side and must prepare and learn to adjust themselves in every critical time period.
2: Government, educational and charitable institutions should organize some programs at local level to make people aware of technology and of it's accurate usage.
3: Government should equip 4g/5g towers in those areas where today also network glitches are plentiful.
4: The value of internet package should also be reduced (somewhere it's also the part of the problem)
5: The scheme of providing smartphones to the most needy families should go forward
6: Teachers should now teach students in more interactive method.
7: Schools should try to reduce the monthly charges of those, who are very effective by this pandemic (they should first enquire the financial conditions of all families- for this some members could be appointed)
8: Lastly it should be ensured that the wealthy families not take the advantage of these facilities and the needy ones would be more benefitted
: Government should try to help the  most needy families financially at the best aspect (they can use the money being collected in the form of taxes and funds) Some members  should also be appointed specifically to find the most needy people (mostly in rural areas)</t>
  </si>
  <si>
    <t>These solutions could be worthy for those people who are actually facing this problem due to this sudden swap in the education and due to the financial issues. Providing children some smooth equipments for education and providing their parents some facilities can it easy for them to educate their children. As education is crucial in every field. If today the problems of needy societies would be ignored, then definitely it will turns in the great loss for all. Several children have more potential and capability, but their financial issues are not permitting them to lighten up their potential. That's why some urgent solutions are now very necessary to be planned. I feel some solutions shared by me can be beneficial.</t>
  </si>
  <si>
    <t>I feel like I am best equipped to offer these solutions, because the  true worth of problems can only be felt by those who actually deal with them and truly I myself have faced these such issues (lack of technology and network glitches) But with time I have now learnt to manage myself  in  this situation too. I have now learnt the accurate usage of technology, I have decided to use technology in order to reach my ambition. I have toady learnt blogging and designing apps plus websites. So, if we all today understands the true worth of technology then, we can achieve anything and if today all of us stand together then definitely we can uplift the status of under- privileged societies in the field of education.</t>
  </si>
  <si>
    <t>idea</t>
  </si>
  <si>
    <t>https://enpower-school.com/wp-content/uploads/elementor/forms/5fee01f75b914.pdf</t>
  </si>
  <si>
    <t>December 31, 2020, 10:23 PM</t>
  </si>
  <si>
    <t>https://enpower-school.com/ld-profile/</t>
  </si>
  <si>
    <t>Suggestions to govenment is given</t>
  </si>
  <si>
    <t>IFT418</t>
  </si>
  <si>
    <t>yarinams23@gmail.com</t>
  </si>
  <si>
    <t>Yarin</t>
  </si>
  <si>
    <t>Amsalem</t>
  </si>
  <si>
    <t xml:space="preserve">Irony hey,עירוני ה </t>
  </si>
  <si>
    <t>12th grade</t>
  </si>
  <si>
    <t>050-842-2653</t>
  </si>
  <si>
    <t>24th Jan (S1)</t>
  </si>
  <si>
    <t>חוסר ביחס  אישי , דרכי למידה שלא מאימים לעולם המודרני , לר שמים את הילד במרכז</t>
  </si>
  <si>
    <t>הבעיה היא שלא שמים את הלמידה ואת החדשנות במערכת החינוך של היום . ילדים יוצאים ממערכת החינוך ללא יכולת של התמודדות עם אתגרים , בנוסף ילדים במערכת החינוך של היום לא מתרגלים מספיק חשיבה יצירתית ,הצגת רעיונות ולימוד עצמאי וקבוצתי</t>
  </si>
  <si>
    <t>בתי ספר ללא יחס אישי וללא התאמה לחיים מודרנים</t>
  </si>
  <si>
    <t>אני מאמין שבעיה זו היא קריטית כי חייבים שמערכת החינוך תשים את הילדים במרכז . בית ספר זה אמור להיות גם שלב חוויתי בחיים וגם שלב שבו לומדים כלים לחיים . במערכת החינוך של היום אין מספיק אימון של אמצעים וכלים שקריטיים לעולם המודרני</t>
  </si>
  <si>
    <t>הפתרון הוא לקצר את השעות של הלימודים , להפוך את הלימודים לאפקטיביים יותר ולתת יחס אישי וכלים לחיים</t>
  </si>
  <si>
    <t>הפתרון שלי מתאים את הלמידה ושם דגש על הדרך ולא על הציון. לפי הדרך שלי ילדים מקבלים קלים לחיים כמו שיחות אישיות, הילדים לומדחם בצורה יותר רחבה ומשמעותית ובכך הידע שהם יוצאים איתו מביהס יהיה אפקטיבי יותר ולכן זה חשוב כי במערכת החינוך הישראלית החדשה שלי שמים את הילד והפיתוח שלו במרכז לצד כל מנגנוני ההשוואה שיש היום</t>
  </si>
  <si>
    <t>אני חושב שאני מתאים להציע את הפיתרון מפני שאני הקמתי פרויקטים שעוסקים בחלק מהדברים שאני מציע פה</t>
  </si>
  <si>
    <t>https://enpower-school.com/wp-content/uploads/elementor/forms/5fee1a0a1b1f0.pptx</t>
  </si>
  <si>
    <t>January 1, 2021, 12:05 AM</t>
  </si>
  <si>
    <t>Israel</t>
  </si>
  <si>
    <t>IFT586</t>
  </si>
  <si>
    <t>yajurraichhabra@gmail.com</t>
  </si>
  <si>
    <t>Yajur</t>
  </si>
  <si>
    <t>Raj Chabra</t>
  </si>
  <si>
    <t xml:space="preserve">DLDAV Model School, Pitampura, Delhi
</t>
  </si>
  <si>
    <t>9th grade</t>
  </si>
  <si>
    <t>The problem statement here is that in this Pandemic, each and every functional and non functional service(s) has been disrupted at a very drastic rate taking Teaching as an example forward. The education system has been set up online so as to avoid physical interactions. To provide a student with a schedule by the teacher is an easy task only if there is one student in the class but when it comes to a whole lot of students, it is problematic, hence this would be the problem statement asked here.</t>
  </si>
  <si>
    <t>The education system has been set up online so as to avoid physical interaction. This pandemic has changed the typical work and education culture in a severe manner in which the students are not allowed to have a one on one conversation with the teacher in the classroom, hence the only solution here is the online classroom</t>
  </si>
  <si>
    <t>The 'user' group here would be the one which is involved in the educating the students for their welfare i.e. the Teachers</t>
  </si>
  <si>
    <t>This problem is critical because it is dragging the education system backwards at a very fast pace which in turn would be hazardous for the career of the students, hence an urgent solution is required</t>
  </si>
  <si>
    <t>The idea of the video is the reduce the Human effort in interacting and sending the schedule to the students, rather a chatbot will do the same for you. An app is built so as to provide a user friendly UI for the students to interact and clear their basic scheduling doubts easily rather than going to the teacher again and again.</t>
  </si>
  <si>
    <t>The basic motto of the solution is to automate the scheduling process which in turn will actually save a lot of effort &amp; time and will also reduce the</t>
  </si>
  <si>
    <t>I'm best equipped to offer this solution because I myself am a student and it takes a lot of time and effort to attend even one single lecture in today's time due to the complications of various apps.</t>
  </si>
  <si>
    <t>Concept prototype</t>
  </si>
  <si>
    <t>https://enpower-school.com/wp-content/uploads/elementor/forms/5ff74d92d2896.mp4</t>
  </si>
  <si>
    <t>January 7, 2021, 11:36 PM</t>
  </si>
  <si>
    <t>IFT372</t>
  </si>
  <si>
    <t>yahvinandwani@gmail.com</t>
  </si>
  <si>
    <t>Online education is not much impactful for children and create lot of pain-points for teachers. There is a need to explore opportunities to integrate online &amp; offline education and balance reach &amp; relatability of education.</t>
  </si>
  <si>
    <t>We always felt need of a platform or a device which can the serve the sole purpose of online education as students of school going age group get a lot of material online such as you-tube videos, social networking sites and other plethora of things to turn their attention to. There should be medium which can replicate the real classroom learning without much distractions. There is also a need to put a full stop on googling or browsing everything whenever students are presented with a problem as this is leading towards stopping the process of creative thinking and problem solving. There is also a need to create a low-cost device to enable the masses, to reap the benefits of online education.</t>
  </si>
  <si>
    <t>Our idea can apply to any age group who aspires for online education, such as school going children, university students, teachers and any person who wishes to become a part of online education medium, but it applies especially to the age group of school going children, ie. 3-18 years old and their teachers.</t>
  </si>
  <si>
    <t>The problem is critical due to the following reasons:-
1.	There is an urgent need to save our children from the limitations of being online such as social networking sites and other online content, which is not good for them.
2.	To limit the usage of internet in case of each and every problem and to let children think on their own and creatively.
3.	To enable poor students to reap the benefits of online education.</t>
  </si>
  <si>
    <t>Our solution presents a be-spoke application which will run as a device or as a stand-alone application having features of real classroom learning. This single application will ensure the elimination of the distractions which has continued to be the cause of worry amongst parents and educators. This application will ensure a low-cost solution so taken by minimizing the hardware requirements and will act as a one-stop shop solution. This device would not only serve in the pandemic situations but also in normal times, whenever students are not present in the classroom.</t>
  </si>
  <si>
    <t>Our solution gives distinct benefits or reduce their pain as:-
1.	The device would be 10-12 inch tab which would have features to cater to the needs of online mode of learning.
2.	It will serve the sole purpose of online learning with no distractions.
3.	It will have reasonable price to ensure its reaches to the masses and our will be free of cost.
4.	It will have wi-fi connectivity and USB ports. It will have firewalls to protect virus attacks and will have a Bluetooth connected pen-tab.
5.	It will have basic features of Ms. Office, video conferencing, message and email service and remote learning platforms.
6.	It will use cloud storage to physically store the data and make it available online to users. 
7.	How this device can overcome the pain points of teachers? – The device will have special features for marking attendance like automatic attendance tabular which will record the attendance.</t>
  </si>
  <si>
    <t>As a student of class 9 studying through online medium of education has made me suffer the drawbacks and limitations such as spending a lot of screen time on the unnecessary content and social networking sites. We have seen our parents going through pain due to lot of anxiety and fear of seeing us spending our precious time in such things. They fear that their children are crossing the thin line between what is required and what is not. This realization has made us analyze the shortcomings of online mode of education which gave birth to this idea of a device which caters solely to online education. I have also observed my mother, who is a government school teacher, getting worried about the future of her school children, whose family cannot afford laptops or smart phones for each and every child. The concern for both the issues mentioned above, make us all the more equipped to offer such an idea.</t>
  </si>
  <si>
    <t>https://enpower-school.com/wp-content/uploads/elementor/forms/5fede07727c61.mp4</t>
  </si>
  <si>
    <t>December 31, 2020, 8:00 PM</t>
  </si>
  <si>
    <t>Their idea is good its a device for students which will help students in online studies even when the school repoens.</t>
  </si>
  <si>
    <t>IFT525</t>
  </si>
  <si>
    <t>Sharlet</t>
  </si>
  <si>
    <t>www.soni@gmail.com</t>
  </si>
  <si>
    <t>Samarth</t>
  </si>
  <si>
    <t xml:space="preserve">Lilawati Vidya Mandir School
</t>
  </si>
  <si>
    <t>10th grade</t>
  </si>
  <si>
    <t>Young students who study in first and second classes do not study easily.For this reason, they are unable to understand the concepts of mathematics which give them a lot of trouble and confusions in future.</t>
  </si>
  <si>
    <t>Students of class 1 and 2 are small and they do not study easily and can't understand the concepts, especially in maths like they can't understand basics of maths like addition, subtraction etc. which gives them confusion and creates demotivation against their study.</t>
  </si>
  <si>
    <t>For students of class 1 and 2.</t>
  </si>
  <si>
    <t>In my opinion, this is problem is  a big deal, because students of class 1 and 2 are just small children, and they need something different through which they can easily understand the concepts.</t>
  </si>
  <si>
    <t>My solution is just that i will make a mathtoy via which students can very  easily understand the concept of addition, and they always try to use that toy, and this will definately increase their interest in math.</t>
  </si>
  <si>
    <t>I think if students use that mathtoy while solving their maths problem, increase their interest in maths and via that toy students can very easily solve maths problems.</t>
  </si>
  <si>
    <t>i think, um the best for this pupose because i am a science and math lover, and my passion and goal is just to make toys on science and maths concept that students take it very difficult, but i will make toys based on that concepts via which students can easily understand the concepts.</t>
  </si>
  <si>
    <t>Running business idea</t>
  </si>
  <si>
    <t>https://enpower-school.com/wp-content/uploads/elementor/forms/5ff5e3ce16b12.pdf</t>
  </si>
  <si>
    <t>January 6, 2021, 9:52 PM</t>
  </si>
  <si>
    <t>IFT078</t>
  </si>
  <si>
    <t>vparth1104@gmail.com</t>
  </si>
  <si>
    <t>Mental Health is a great issue in today’s time for students and they are more or less susceptible to fall prey to mental illnesses due to a variety of reasons like pressure from peers/parents, trauma, social exclusion etc. Therefore, it is important that we all give attention to this problem and develop innovative solutions for the same. In India, a student commits suicides every hour according to 2019 data. The gravitas of this issue is clearly visible but no such action has been taken against it.</t>
  </si>
  <si>
    <t>As health is a state of complete physical, social and mental well-being, mental health defines one’s quality of life as well as productiveness. The consequences to bad mental health might be something which people should worry upon! This can affect a student's energy level, concentration, dependability, mental ability, and optimism, hindering performance. Research suggests that depression is associated with lower grade point averages, and that co-occurring depression and anxiety can increase this association. Depression has also been linked to dropping out of school.
Also, there is a great stigma and many taboos associated with mental health in our society. We look forward to get rid of them as they may hinder the victim’s recovery as well as alienate him/her from the rest of the society. We think the best way of doing the same is through education.</t>
  </si>
  <si>
    <t>The user group to which we address the problem is that of students. They are susceptible to fall prey to mental illnesses due to a variety of factors such as fear of not fulfilling expectations, social exclusion, trauma etc. and may take extreme steps such as self-harm and suicide. According to the National Crime Records Bureau, 10,335 Indian students died as a result of suicide in 2019. This affects the Indian workforce and also ruins its prospects of becoming a superpower.</t>
  </si>
  <si>
    <t>We feel this problem should not be ignored at all. At this point all the students need is the support and the assurance of people like friends, family, even teachers. However, many of them do not receive so as people in general are not able to identify signs of mental instability and also may not know how to comfort those in need. This says a lot about our society as they have become similar to a noose. This prompts the victim to indulge in activities such as self-harm and suicide due to a loss of hope. Mental Health issues if unchecked may lead to loss of lives, not only of the victim as there are cases where the victim has attacked other people. For example: The US deals with the problem of gun violence, even in schools. In fact, in 2018, as many students died in schools due to gun violence as many soldiers died on the borders. India can avoid this and become a better country and addressing this problem is a means of doing so.</t>
  </si>
  <si>
    <t>Our solution is that multiple ways be set up that a student can express the mental discomfort he/she is feeling. For example: a 24/7 helpline be set up whether such issues can be reported. Also, teachers and other staff should be trained to recognize signs of mental illnesses and do what is required of them. Another important part of the solution is to reduce the stigma and taboo of mental illnesses in our conservative society. The schools and parents should join hands on this and various institutions should be set up to do so. Also, the students should be taught to not be limited by the society.</t>
  </si>
  <si>
    <t>Its benefit to the user is that it will improve the life quality of people affected by these ailments. This will reduce the number of suicides and therefore, make a better environment of students to live in. This will also help in reducing the so called “generation gap” between parents/teachers and the students as they will find somebody to help them in this issue.</t>
  </si>
  <si>
    <t>We believe we are better equipped to offer a solution because being students ourselves, we are much more aware of students’ needs than the national and state education policy makers and experts. Also, the government cannot ensure implementation of the same without taking very long intervals due to some corrupt practices and practicing of scams as seen in various schemes related to many topics including education. For example: In 2019, a journalist uncovered that in schools in Mirzapur district of UP, the children were served roti and salt as their Midday meal, which clearly is due to lack of implementation of the Midday Meal Scheme (introduced in 1995).</t>
  </si>
  <si>
    <t>https://enpower-school.com/wp-content/uploads/elementor/forms/5fe4bf89869f5.docx</t>
  </si>
  <si>
    <t>December 24, 2020, 9:49 PM</t>
  </si>
  <si>
    <t>IFT559</t>
  </si>
  <si>
    <t>vish10class@gmail.com</t>
  </si>
  <si>
    <t>The problem is we donot use education to increase our development of state.</t>
  </si>
  <si>
    <t>Today we need to increase the level of our education and compete with the education standards of developed countries.</t>
  </si>
  <si>
    <t>We will not tie up with the government schools and schools upto 10th class for some time.
Let our system get well established.</t>
  </si>
  <si>
    <t>We need to increase the level of our education system to make our country developed</t>
  </si>
  <si>
    <t>https://drive.google.com/file/d/1gOy4yunYXnikXDVOINm9qmgCdti1WcFC/view?usp=drivesdk</t>
  </si>
  <si>
    <t>In my education system our country will become very rich and developed in a few years</t>
  </si>
  <si>
    <t>Maine thoda hatke socha hai isliye i think mera education system kuchh time tk smjh ni aega but if we get indulged in this we can grow very much</t>
  </si>
  <si>
    <t/>
  </si>
  <si>
    <t>January 7, 2021, 7:05 PM</t>
  </si>
  <si>
    <t>IFT633</t>
  </si>
  <si>
    <t>ekta</t>
  </si>
  <si>
    <t>vgaurish@gmail.com</t>
  </si>
  <si>
    <t xml:space="preserve">Saumya
</t>
  </si>
  <si>
    <t xml:space="preserve">Vadhavkar
</t>
  </si>
  <si>
    <t xml:space="preserve">St.johns Universal school
</t>
  </si>
  <si>
    <t>ICSE</t>
  </si>
  <si>
    <t>Tackling emotional well-being through a network of non-judgemental peer support and mentoring.</t>
  </si>
  <si>
    <t>Our team is targetting the mental and emotional health struggles that are faced by school going children and teenagers.We hope that our idea helps in making their lives better and easier</t>
  </si>
  <si>
    <t>The 'user' of our idea are the school students in India.Nowadays,emotional and mental health struggles are faced by at least 80% of school going students by creating/developing this app we hope that we can reduce a minimum of 30 to 40% of students facing this problem.</t>
  </si>
  <si>
    <t>We think that this is a crucial and important topic that needs urgent attention as it has been proved over and over by the actions if school going students in the form of bullying, harassing,etc.as hurt people,hurt people. We also believe that the people suffering from these issues often believe that  their issues are small and they take it lightly and due to this they ignore it and do not disclose it to anyone.So We hope to building a platform where they can open up.</t>
  </si>
  <si>
    <t>After understanding and researching our topic we have come up with a solution to create/develop a app wherein school students in India can share their problems and views to help eachother.</t>
  </si>
  <si>
    <t>By providing a safe place for students to share feelings and concerns as well as  be a mentor for a peer who needs it, the student community in India will become a source of strength and progress as well as having compassion for fellow humans through  understanding what they are going through .</t>
  </si>
  <si>
    <t>As experienced teenagers of this topic we understand how hurtful and bad it is to suffer from emotional and mental health issues and so being experienced with the issue we think we can understand people who are going to use the app and help them with accurate and helpful advice.</t>
  </si>
  <si>
    <t>January 10, 2021, 11:57 PM</t>
  </si>
  <si>
    <t>IFT569</t>
  </si>
  <si>
    <t>verma.manya.25@gmail.com</t>
  </si>
  <si>
    <t>8th grade</t>
  </si>
  <si>
    <t>The first problem is that, teachers, while conducting classes, are not sure if the students are, on their ends, attending the classes or not. And if they are, they might be accessing some other website or app during the class hours. The second problem is, due to insufficient funds, children belonging to many poor families, are not able tk attend classes.</t>
  </si>
  <si>
    <t>So, we're trying to find solutions of those two problems.</t>
  </si>
  <si>
    <t>Well, the first problem we're trying to solve applies to both the teachers and the children. And the second one majorly affects the learning of the students.</t>
  </si>
  <si>
    <t>According to what I've seen happen in my online classes, the teacher keeps asking the students to unmute their microphones, and respond. The students simply ignore what's going in the class. This is a very big problem for both the students and the teachers, because the students, they might miss on to some important question. The second problem I've recognized, is many poor students are unable to attend classes, either due to lack of network connectivity or because they don't have a suitable device.</t>
  </si>
  <si>
    <t>So, if we can create an app or a website, thay blocks the access of other apps during the class, the students will be able to pay attention to the topic that's going on. The software has to be installed on both the students and the teachers' devices. And whenever the student tries to open any other app, the app informs the teacher and alerts the student. All the activities and apps used will be recorded by the software and will be reported to the teachers' device. 
For the second problem, if we can create a low-end device with a decent camera and microphone, and we make it as low-budget as possible, it would solve the problem for the students who might not be able to afford a high tech device.</t>
  </si>
  <si>
    <t>Well, if we're successful in creating the software, it would be wonderful for the teachers, they won't have to call each student separately to ask why they're not responding in the class. 
And, if we're successful in creating the device, it would solve the problem for thousands of children who are missing their learning everyday.</t>
  </si>
  <si>
    <t>I just got this idea, and when I pondered over it for an instance, I realised that it could lessen the pain on both the teachers and the students.</t>
  </si>
  <si>
    <t>January 7, 2021, 9:12 PM</t>
  </si>
  <si>
    <t>IFT070</t>
  </si>
  <si>
    <t>vedanshoswal10@gmail.com</t>
  </si>
  <si>
    <t>Many small aged workers and other workers are now jobless and not having one time food.</t>
  </si>
  <si>
    <t>Due to COVID-19 many people lost their job and now are not getting one time food to eat so we will take donation of food and money and distribute home made food made from the donation among poor and workers</t>
  </si>
  <si>
    <t>i am trying to solve the problem of people on road begging or labours on construction sites and small children working for food.</t>
  </si>
  <si>
    <t>i think people will die before corona because of hunger or in depression of no job.</t>
  </si>
  <si>
    <t>Donation,Distribution and demanding is solution to this problem. this can work if people give donation and help in distribution.</t>
  </si>
  <si>
    <t>They need not to cry or beg for anymore on the road and pavements.</t>
  </si>
  <si>
    <t>Because i got this idea when i saw the people on the road and not just now prior too i have done such work like giving the money to the people who has the work to combine and the take trees fallen on the roads.</t>
  </si>
  <si>
    <t>https://enpower-school.com/wp-content/uploads/elementor/forms/5fe441518c9de.pdf</t>
  </si>
  <si>
    <t>December 24, 2020, 12:50 PM</t>
  </si>
  <si>
    <t>IFT112</t>
  </si>
  <si>
    <t>vedaji2006@gmail.com</t>
  </si>
  <si>
    <t>DPS GBn</t>
  </si>
  <si>
    <t>The Indian education system, although very effective and efficient, still has certain flaws in the schooling system before the pandemic that affected the lives of students negatively. We list some aspects of the problem below-
In schools, the curriculum is more theoretical based rather than activity-based. It gives students majority grades only based on marks they’ve got in exams. 
Students get pressure by parents and teachers for achieving marks rather than understanding the concept.
The pressure gives students high levels of stress and depression. This leads to mental and physical health issues.</t>
  </si>
  <si>
    <t>We explain the aspects in the points-
Because school is more theoretically based, the children don’t have time to implement what they learned in their daily lives. For example- They don’t see how an experiment works, but are instead given theories based on previously conducted experiments by the scientists. Because of this, Children end up memorizing the concepts rather than understanding them and explaining them in their own words.
The parents of students pressurize their children to get the marks necessary to top the class. Parents and Teachers force students to study the theories rather than supporting them to understand the concept. Taking the example stated in the previous point- parents then ask the students to memorize the experiment from the book rather than giving them the environment necessary for understanding the experiment. 
Children get a lot of stress due to the pressure for getting good grades. This can cause severe depression and other mental and physical illnesses. For example- studying for 8-12 hours continuously and not getting any rest may lead to neck pain and headaches. This can further lead to migraines and depression if they don’t perform well enough.</t>
  </si>
  <si>
    <t>These problems are addressed to whoever can make this change. It is addressed to all the students who cannot achieve good grades based on the theoretical system of education. It is also addressed to all the students who wish to understand the knowledge they are taught instead of just memorizing it.</t>
  </si>
  <si>
    <t>This problem is critical, as it usually affects the students’ health and can harm them. That is why it needs to be addressed. Another reason it needs to be addressed is that this same system has been around for a long time and it is still being used. Few people have tried to change it and therefore, we would like to do that for the betterment of the children of India.</t>
  </si>
  <si>
    <t>To solve these issues, we need to change the education system. The new education system can be like the one we are suggesting below
Term-1 (50%) 
Activity (10%) - we can relate Activity to the application of the concepts taught in the class for term-1. It can be an experiment, a project, an essay, a speech, a debate, etc.
Homework and Attendance(10%)- The students should also be given homework based on the applications rather than the theorems only. They also need to have at least 25% attendance so that we consider them at least for a few times to be in the class.
Theory Exam(15%)- The theory exam for term-1 should be completely based on theoretical knowledge of the concepts being covered in class.
Practical Exam(15%)- Practical exams can be different for every subject. In Hindi and English, we can write letters to the teachers of our school. In foreign languages, we can interact with native students of the language we are studying. In math and science, we can plan an experiment of our choice and show it to our respective teachers.
Term-2 (50 marks)
Activity (10%) - we can relate Activity to the application of the concepts taught in the class for term-2. It can be an experiment, a project, an essay, a speech, a debate, etc.
Homework and Attendance(10%)- The students should also be given home 25% attendance so they are considered at least for a few times to be in the class.
Theory Exam(15%)- The theory exam for term-2 should be completely based on theoretical knowledge of the concepts being covered in class.
Practical Exam(15%)- Practical exams can be different for every subject. In Hindi and English, we can write letters to the teachers of our school. In foreign languages, we can interact with native students of the language we are studying. In math and science, we can plan an experiment of our choice and show it to our respective teachers.</t>
  </si>
  <si>
    <t>This will majorly benefit the students. They would have much less work to memorize and more to understand. They would not have to spend immeasurable hours studying for school and could spend time outside or with their friends. Their mental health would be healthier than they could focus more on doing and reading about things they like.</t>
  </si>
  <si>
    <t>We are best equipped to offer this as were students and we are going through this phase of being put under pressure to get marks. Instead, we as students would like to understand the topics. We also think we’re best equipped because we observe people around us having these issues of being put under pressure and fall into stress.</t>
  </si>
  <si>
    <t>https://enpower-school.com/wp-content/uploads/elementor/forms/5fe746d2b5c91.pdf</t>
  </si>
  <si>
    <t>December 26, 2020, 7:51 PM</t>
  </si>
  <si>
    <t>IFT132</t>
  </si>
  <si>
    <t>vatsalmishra2021@gmail.com</t>
  </si>
  <si>
    <t>Crime in India is very common. Robbery , burglary , theft , arson , illegal drug trade , arms trafficking are some of the forms of crimes. Gates , barriers , toll plaza's are some security measures for us. After doing crime thieves  , burglars, hijackers have the tendency to break the gates , barriers ,barricades of toll plaza's too.</t>
  </si>
  <si>
    <t>Paying  taxes at toll plaza is a must .It has been seen that some people use to run off without paying at toll plaza. Condition becomes terrible when some criminals, hijackers or smugglers destroy/dashes the barrier of  toll plaza or check post and run away.</t>
  </si>
  <si>
    <t>User group are the common people fir the sake of whom gates, barriers, plazas are made to protect and help prevent burglaries.</t>
  </si>
  <si>
    <t>Now and then , we use to hear about numerous cases of toll plaza's accidents and crimes. People also avoid paying taxes. Robbery of tax is done. So I think there is an urgency to take some step in  this field.</t>
  </si>
  <si>
    <t>To control these antisocial elements here we are making an arrangement. In this a spikes strip  also known as tyre deflation device will be laid {fitted} down at 10 -15 meter ahead of  barrier of  toll plaza/check post and a sliding plate is allowed to slide or cover the spikes strip at some angle giving it the look of a bumper.  
                    When some vehicle hits the barrier toll plaza or check post  by the front movement of the  barrier, it will be sensed  by a sensor , it beeps and allowed the sliding plates to get inside the pit /frame which previously was covering the spike strips . Thus spike strips comes out and puncture the tyres of that particular vehicle and thus accused will be caught. 
                     The sliding plate further will be manually operated by operator  by hydraulic system to come back to its original place thus allowing the normal running of the traffic.</t>
  </si>
  <si>
    <t>Crimes will be reduced. As burglars , hijackers, thieves, will have no way to run-off. They will have the fear of getting caught at the check post , gates, toll plaza's on crossing the boundaries. Paying tax at toll plaza is also a must.</t>
  </si>
  <si>
    <t>Similarly can be followed for all those high speed vehicles which are crossing the check posts/ Toll plaza above the needed speed where sensor  will sense their high speed and  similar process will be followed.                                                          
                  It will be an introduction of an effective toll plaza operation plan by the Government , it's strict implementation and monitoring which would result in a more efficient and a more responsive system that could be a good option for easing  the challenges associated with the existing tolling processes.</t>
  </si>
  <si>
    <t>https://enpower-school.com/wp-content/uploads/elementor/forms/5fe8ce7809a87.pdf</t>
  </si>
  <si>
    <t>December 27, 2020, 11:42 PM</t>
  </si>
  <si>
    <t>DISQUALIFIED</t>
  </si>
  <si>
    <t>IFT412</t>
  </si>
  <si>
    <t>varshathathradan@gmail.com</t>
  </si>
  <si>
    <t xml:space="preserve">THEERTHA
</t>
  </si>
  <si>
    <t>TV</t>
  </si>
  <si>
    <t xml:space="preserve">St.mary's high school for girls ,Payyannur
</t>
  </si>
  <si>
    <t>Payyanur</t>
  </si>
  <si>
    <t>1.Students can't avail phone at the time of their need as most of them depend on their parents phone who may be working at distant placs.
2.Heavy load for eyes can cause irritation and associated problems.
3.Use of computers can replace the usage of mobile phones but there arise the problem of porability of computers.</t>
  </si>
  <si>
    <t>In the recent months we have  witnessed teachers requesting students to learn chapters and do home works through mobile phones and make them learn through pdf.This has become a problem of concern in this circumstance as this raises all the abovesaid issues or problems.</t>
  </si>
  <si>
    <t>Students of course are those who are going to be benefitted with this presentation .As the students of all age group depend on the pdf and other important notes in mobile phones this idea can really benefit them and be a really friendly approach tackling their issues.</t>
  </si>
  <si>
    <t>Overuse of mobile phones as we all know can lead to multiple disasters.Children are the most vulnerable group both physically and mentally .Most of the children today including myself depends on mobile phones and spare a major part of the time writing notes using them .This of coure s has resulted  in  al ot of issues related to eyes and has lead to most children using high power spectacles .Of course the transformation from black 
 boards to screenshots have resulted in   overstrain of eyes and brain .</t>
  </si>
  <si>
    <t>Taking into consideration all the above mentioned problems I would like to put a novel idea  to resolve the issues .
     I would like to introduce 'CABLE LESS PROJECTOR'.Projector is a very common device nowadays .The function of a projector is to magnify the image on a blank  wall.The image is inserted from devices like a laptop using an HDMI CABLE .But still arises one confusing question.It is the portability of the projector which is supposed to be fixed at a permanant place.What if the projector is a cable less one?The notes sent as images will be given as an input from the phone via  USB cable like we import photos and videos to a computer from phone using the same.By applying a storage system same as the one in a computer, data can be stored in the projector.Next is the output .The data which is entered is given out as information .Data which is a raw input that has  been processed could be given out as an information that can be identified by people.A mini monitor will work inside the projector through which the information is given out.Next is the projection.The output which is a light source will be projected using lenses.</t>
  </si>
  <si>
    <t>This can be really a benefit for students as its advantages are many.
As the images  are born on black walls the rays won't  directly fall into the user's eyes .Also as the screen is really big as compared to mobile phone stress on eyes can really be reduced .As the information is store one ther is no need for an instant source of  sent items.</t>
  </si>
  <si>
    <t>As I'm a sufferer of the above said problem I always longed that I find a solution for me and my friends.</t>
  </si>
  <si>
    <t>December 31, 2020, 11:40 PM</t>
  </si>
  <si>
    <t>Idea to build wireless projector which will help student not to strain on the eyes. Haven't mentioned much details</t>
  </si>
  <si>
    <t>IFT637</t>
  </si>
  <si>
    <t>vanshit.chheda@universal.edu.in</t>
  </si>
  <si>
    <t>Promoting deep and  rational learning by  encouraging students to listen to their heart's desire</t>
  </si>
  <si>
    <t>Students’ interest in studies and learning, as well as, their attendance with physical and emotional health DETERIORATES over time when we follow the normal current time-table which focuses on syllabus and compulsory subjects instead of passion of children ! Students are not confident of themselves when it comes to sharing their ideas. Current timetable only focuses on intellectual capacity and not on creative, social, mental and spatial-visual capacities</t>
  </si>
  <si>
    <t>Our idea primarily aims at user group of school children but it can be also applicable to college students as well.</t>
  </si>
  <si>
    <t>If you see over the past years ,
the use of words like exam pressure , stress and homework and students burden have increased due to current system focusing ononly academics. That's why we wanted to implement our idea to make school more fun, interesting
and useful.</t>
  </si>
  <si>
    <t>Our solution is of better timetable system using passion hour</t>
  </si>
  <si>
    <t>It is budget friendly and requires no monetary expense from anyone’s side, neither from the school nor from the students.
Also, it won’t require to make any changes in the school’s infrastructure. 
According to theory of multiple intelligence, following passions along with doing our normal studies increases brain’s power to absorb more information in less time as instead of one, our both sides of the brain would start functioning and not only functioning, but also synchronizing with each other enabling us to think rationally, practically and find, out of the box solutions to any problem that ever arises in our entire life ahead.
Our Passion Hour idea stimulates not only intellectual capacity, but also stimulates musical, interpersIf you see over the past years ,, spatial-visual, and linguistic intelligences. It will improve student’s mental, emotional, creative and social  health.</t>
  </si>
  <si>
    <t>Because we are students and we have ourselves experienced the flaws in the current system and want ot change it for good</t>
  </si>
  <si>
    <t>https://enpower-school.com/wp-content/uploads/elementor/forms/5ffb4788a0d1f.pdf</t>
  </si>
  <si>
    <t>January 10, 2021, 11:59 PM</t>
  </si>
  <si>
    <t>IFT110</t>
  </si>
  <si>
    <t>Ekta</t>
  </si>
  <si>
    <t>vaidehi.more00@gmail.com</t>
  </si>
  <si>
    <t>Vaidehi</t>
  </si>
  <si>
    <t>Issue is food security
People from different parts of the world either lack food or nutritious food in their daily lives</t>
  </si>
  <si>
    <t>Food, being the basic need of a man, promotes growth and immunity. This problem is seen worldwide in many children, as well as adults. many children are undernourished or malnutrition, they face these issues due to Inefficient distribution of exported food, Extreme poverty, Food waste. It’s not just about hunger, either. Malnutrition can cause debilitating symptoms among those affected, from the inability to get warm and difficulty breathing to delayed wound healing and the loss of skin and hair health. these circumstances cause various diseases thus depleting the economic development and a high risk of outbursts of diseases. distribution of food is not  efficient, thus many people are not able to access food.</t>
  </si>
  <si>
    <t>this problem is not just of a group but is seen in many parts of the world.</t>
  </si>
  <si>
    <t>food insecurity is a major problem that needs urgent solution. nowadays there is a huge demand for production of food, food mainly defines physical, social, and economic access. food insecurity causes hunger and fear of starvation. it also leads to decrease in the economic growth of the nation. due to increase in the government paying funds to hospital. the main problem is that distribution of food is less effective</t>
  </si>
  <si>
    <t>A community garden is a single piece of land gardened collectively by a group of people.[1] Community gardens utilize either individual or shared plots on private or public land while producing fruit, vegetables, and/or plants grown for their attractive appearance. 
So this also decreases the poverty rate and encourage people to continue farming in our country
This will also prevent the people from being undernourished and will fulfill a complete diet
Even schools should encourage students to learn more about farming in reality, the benefits of farming for our country and us 
These ideas even would reduce the number of migrants moving to other countries as they will become more attached to our land struggle to survive for themselves and increases the food production in our country.
Indirectly increase the economic condition of people in our country
buisness markets should be arranged for large scale selling of goods, products should reach  from produces to customers, no middle man should be involved , export should be encouraged</t>
  </si>
  <si>
    <t>the solution is effective as it makes 
food available, food is utilised, reduces hunger stress.</t>
  </si>
  <si>
    <t>an individual cant be enough to bring revolution in this issue, there is a need to bring  about awareness in children about food crisis.</t>
  </si>
  <si>
    <t>December 26, 2020, 6:15 PM</t>
  </si>
  <si>
    <t>disqualified-not education related but good idea</t>
  </si>
  <si>
    <t>IFT417</t>
  </si>
  <si>
    <t>urjakohli14@gmail.com</t>
  </si>
  <si>
    <t>Urja</t>
  </si>
  <si>
    <t>Kolhi</t>
  </si>
  <si>
    <t>11th grade</t>
  </si>
  <si>
    <t>9953601705, 8130685110</t>
  </si>
  <si>
    <t>Several of the present issues of education are:
the inability to differentiate between Educated and literate 
The practice of rote learning instead of practical based knowledge 
Government funding for education. 
Disciplinary policies
Technology in education
Charter schools and voucher programs
Common Core
Standardized testing</t>
  </si>
  <si>
    <t>The economic growth of the country not only depends on natural resources, technology, and capital but mainly on the quantity and quality of manpower.
By quality of manpower, we mean the efficiency and productivity of work force.
The efficiency of the manpower depends on many important factors like health and nutrition, education and training, housing facilities, safe drinking water and sanitation.
These are considered as important determinants of quality of life. Adequate investment in these fields will increase the productivity and efficiency of the manpower. Economists call it ‘human capital formation’. By human capital we mean “the body of knowledge attained by the population and capacity of the population to use the knowledge effectively”.
Education is the most important component out of various components of social infrastructure. The well-educated and properly trained manpower can accelerate the pace of economic development.
Problems of Education:
Despite our best efforts, our educational development remains at a low level.</t>
  </si>
  <si>
    <t>The User group whose problem I am referring to is our future generation which are in a verge of development and yet they are being backed by the bars of theoretical knowledge , or if not this then they are not allowed to pursue what they what at an early age resulting in  immense disinterest and a feeling of burden while referring to education .</t>
  </si>
  <si>
    <t>It is essential to educate the public through education programs, advertising campaigns (to raise awareness) and other methods in a strategic and in-depth way so everyone can understand the importance of a 'circular', sustainable economy.
Over time, by addressing these issues, we can change how people perceive value (especially in the younger generations) so they can learn to limit their consumption and waste as well as how to reuse.
Education is the cornerstone for development- a society lacking a proper education system eventually leads to the failure of the society. Therefore, a strong and progressive education system is a necessity for a nation’s holistic growth.</t>
  </si>
  <si>
    <t>These are some of the plans adopted to build such an education system:
I.            A curriculum reform:  The reform aims to adapt the curriculum to the new needs for skills and competences, strengthen the inter-disciplinary approach and provide educators with digital resources.
II.            Codes for quality education: These are the important codes and quality criteria that schools must raise the level of education by a minimum optimum level
III.            Subsidies in education: The city’s education sector will be built upon the concept of low-fee and subsidized schooling. Fees will be controlled by the governing bodies to ensure quality education to all.
IV.            Incorporation of technology and schooling: Digital systems, AI, internet-oriented technologies will be used to make the process of learning readily accessible.
        The young population is important for the future of a country. The priority in an educated city is to make students independent, confident, and rational human beings. 
        Education should not just be theoretical but practical also to promote the wholesome development of children. 
        The education system of the city is inspired by Finland and partially from The United States of America. Basic education starts at the age of seven, and instead of dividing it into elementary and junior high, it offers single-structure education for nine years. 
        Teaching is done by using participative measures by giving students projects and involving them in various activities for better learning of the subject.
Sustainable schools are the teaching tool that bring together environmental education and community engagement. 
These collaborative activities inspire all members of the school community, which creates a culture of continuous learning, growth, and development</t>
  </si>
  <si>
    <t>The solution offered is distinctive in its approach . It focuses on the overall growth of individual incorporating sustainability as a key feature in teh minds of coming generation , in addition with values , harmony and the ability to blend with the existing circumstances .</t>
  </si>
  <si>
    <t>This is because I am myself a part of the future generation which are yet to flourish their ideas , enrich their thoughts . So with this I would like to mention that recently I had been a part of An international project which was based on reforming the educational systems  to create an educated world . The Project "GRUEN: Green Urban Environments" is a Jean Monnet Project of Hong Kong Baptist University in Hong Kong SAR, co-funded by the Erasmus+ Programme of the European Union. I feel that events , programs like ENpower are vital to encourage the young minds like us to express themselves on a wider platform and to the world ..</t>
  </si>
  <si>
    <t>Working prototype</t>
  </si>
  <si>
    <t>https://enpower-school.com/wp-content/uploads/elementor/forms/5fee18a5cc765.pdf</t>
  </si>
  <si>
    <t>December 31, 2020, 11:59 PM</t>
  </si>
  <si>
    <t>There are many valuable suggestions given on the education system and also they have mentioned about the case studies of dirrent countries about the education system</t>
  </si>
  <si>
    <t>IFT400</t>
  </si>
  <si>
    <t>unistreamctf@gmail.com</t>
  </si>
  <si>
    <t>Rom</t>
  </si>
  <si>
    <t>Assor</t>
  </si>
  <si>
    <t>UNistream</t>
  </si>
  <si>
    <t>Concisely, the problem is the inability of pupils, students or every other person to learn, expand, delve into or complete the knowledge they are interested in, in the time, the place and the way that are most convenient for them and in a wide range of subjects.</t>
  </si>
  <si>
    <t>As students we’ve encountered many occasions in which either we or our friends have missed, or haven’t understood major parts of the lessons or material that was taught in school. We’ve seen that the completion of material is almost impossible apart from the help of classmates or tutors, which requires financial resources and time. In addition, even when we wanted to expand our knowledge of a particular subject we had to search for the information in different platforms and not always the explanations were accurate or understandable. We’ve also discovered that there is no platform or app that allows us, pupils, students and so on, from all over the world, to receive filmed lessons (neither live broadcasts nor rebroadcasts) in an accessible way, in our language and in where we live.</t>
  </si>
  <si>
    <t>Apparently, the problem we are attempting to solve touches each and every one who has desire to acquire new knowledge, expand existent knowledge, or share instructional information with people all around the world.</t>
  </si>
  <si>
    <t>Education and learning are the basis for social and personal development. Providing access to diverse and available study material brings lots of advantages, for example:
-Raising the educational level and reducing gaps.
-Encouraging people to learn while creating interest in innovative and tailored material and teaching methods.
-Independence in the pace of the teacher who teaches you, and the ability to progress at the pace that the student chooses with the constant availability of the material in the app.
In an age where the degree of success of people is measured by their extent of knowledge it is important to have a place where everything can be learned regardless of the school or profession they have chosen to pursue in life, thus being able to be exposed to new discipline they were not familiar with.</t>
  </si>
  <si>
    <t>The ability to provide accessibility of instructional information via available videos and live broadcasts brings the following advantages:
-Responses and detailed explanations receiving from the videos uploaders.
-An ability of advance that suits you the most.
-One place whereby every user can find what he's searching for easily and without limitations.
-Completion of material that you missed without any other way to do so.
-New matters exposure.
-Enjoyable learning experience.
-An ability to delve into a certain subject more than you could do elsewhere.
-Free and unrestricted choice of teachers and videos that you like out of wide variety.
-An ability to learn everywhere and every time.
-Every language videos and live broadcasts access.
-Free solutions for people who cannot afford a tutor.
- An ability of watching rebroadcasts.
-Learning gaps reduction between students all over the world.
-An ability of asking questions and getting answers from the teacher in the course of live broadcasts, and even after.</t>
  </si>
  <si>
    <t>The app enables the teaching and learning of an endless assortment of topics by watching free videos and live streams. Thus, with the help of which the users will be able to learn any profession they’ll choose to, in the time, the place and the pace that suit them the most.</t>
  </si>
  <si>
    <t>We think we’re the best equipped to offer this solution due to several reasons.
First of all, to us students, especially during the Corona period, it happend not once that we couldn’t go to school, haven’t understood the teaching material through the small Zoom screen, and even when we wanted to complete it, we haven’t had so many ways except for asking friends. And thus, after almost a year of experience with our own hands, we felt that that is the right time to suggest this idea and start making change. Secondly, we’re a pair of kids who come from a project called Unistream whereby we learn about entrepreneurship, the steps of developing a project, and even during three years of studying and work developing one by ourselves. I am (Ido) studying for two years already robotics. The profession contains the studyings of mechanics, electronics and logic, and I’m using an Arduino controller. And I’m (Rom), nowadays it’s the third year, studying computer science and specialise in several programming languages.</t>
  </si>
  <si>
    <t>December 31, 2020, 10:42 PM</t>
  </si>
  <si>
    <t xml:space="preserve">Want to build an app for students, but similar apps are already existing in school. </t>
  </si>
  <si>
    <t>IFT384</t>
  </si>
  <si>
    <t>ukt1974.jsr@gmail.com</t>
  </si>
  <si>
    <t>Since, this pandemic has compelled us for a transition from offline to online mode we are yet again witnessing the loopholes in our current education system. Our education system where our inclination is forced to be towards theories, is no longer effective for a creative and innovative rather a competitive mindset to be more specific and lacks to serve industrial requirements.</t>
  </si>
  <si>
    <t>Forcing a 24x7 timetable on students won’t help them to improve their skills and will only put pressure on them. It is true that just giving essence to pen and paper judgement won’t work. We as students are in a habit of mugging up rather than understanding the base concept and applying them in real life problems and tackling the same. Hence, not only hard work but smart work is required.</t>
  </si>
  <si>
    <t>This prototype involves the following user groups:-
* Students
* Teachers
* Parents
* School Managing Authority
* Talent acquisition groups</t>
  </si>
  <si>
    <t>This problem is very critical as, the current education system and practices seem to be very suppressing but not enjoyable. Students who are the future of this nation, need an efficient ecosystem around them. Forcing a 24x7 timetable on students won’t help them to improve their skills and will only put pressure on them.” It is true that just giving essence to pen and paper judgement won’t work. Since the pandemic has compelled all of us for the transition of education system from offline to an online mode, it yet again highlighted the loopholes of current education system.</t>
  </si>
  <si>
    <t>Our solution aims at the following:-
* A medium for the students to keep a check on their topic or chapter wise strengths and weaknesses.
* For the student, of the students by the students: At this platform, ample of study material being prepared by the students and approved by experienced elites in the job will make the concepts of the students crystal clear who prepare it and who watch it as well.
* A drift from just theoretical to practical way of accepting things.
* Learners become creaters: Students get an opportunity to enhance and refine alot many skills while working in this new way.
* Fun fact: Theory of relativity gets related to Theory of relatibility</t>
  </si>
  <si>
    <t>My solution is a one-stop destination for a student which not only makes the work easy by presenting all the necessary stuff at the fingertips but also allows student indulgence to make learning more relatable and enjoyable.</t>
  </si>
  <si>
    <t>In my opinion there is no such solution available currently which can make things ordered and well-organised for a student.</t>
  </si>
  <si>
    <t>https://enpower-school.com/wp-content/uploads/elementor/forms/5fedefaccc114.mp4</t>
  </si>
  <si>
    <t>December 31, 2020, 9:05 PM</t>
  </si>
  <si>
    <t>The idea is good not unique as some schools are using similar apps. The intresting thing about this app is afte learning students will make their own notes in fom of video PPT. This can also be done as group activity and the best PPT will be uploaded by teacher. How much this is implementable that has to be seen as teacher worl load increases to check each students PPT/ Video.</t>
  </si>
  <si>
    <t>IFT105</t>
  </si>
  <si>
    <t>tweetie.sk@gmail.com</t>
  </si>
  <si>
    <t>Hrishith</t>
  </si>
  <si>
    <t>Savir</t>
  </si>
  <si>
    <t>1. Impact on current education system due to Covid-19 Pandemic. 2. Impact on overall personality developments on the students due to online classes. 3. Inadequate infrastructure in rural areas for online classes.</t>
  </si>
  <si>
    <t>1. Syllabus of higher classes have been curtailed due to pandemic. 2. Due to less physical interaction with teachers and peer group, students' personality development has affected. 3.Rural Schools are not able to afford online teaching and have limited access to desired technical devices.</t>
  </si>
  <si>
    <t>1.Students and teachers are facing difficulties 2.Effect in studies is a major issue for higher classes and personal connection has been discontinued for junior classes. 3.In rural areas, there is a shortage of skilled and well-trained teachers are desired so that each and every child gets equal attention during an online class.</t>
  </si>
  <si>
    <t>1. A major impact on their career because of reduction of syllabus in the wake of the pandemic. 2. It's a critical time for students as it will effect there career and future . Quality of good citizen within the students will lack behind</t>
  </si>
  <si>
    <t>[3:58 PM] Hrishith Savir
    1. Not only in studies even effect in personality has been seen because of pandemic. 2.They can provide continuous feedback and brush up their weak personality traits. Talking to the students 1-0-1 meeting and can be done 3.Finding ways to encourage them to have an interest in the books. The concept will be more clear and effective.The reason of the problem is the increasing number of single classroom to educate students from more than one grade. In some states attendance of teachers and students is also decreasing.</t>
  </si>
  <si>
    <t>We think that we are the best equipped to offer this solution as we are the victims of the problem in the current education system. We have identified the problems practically and propose a solution that we think can resolve the issues occurring due to pandemic.</t>
  </si>
  <si>
    <t>Improvement of Teacher student ratio in rural schools • Adequate teachers should be recruited to address the required shortage • Teachers must be continuously trained to use technology as an emerging tool to improve the learning outcome Improvement in school infrastructure • School Building equipped with basic amenities ( e library , ERP , biometric attendance of teachers and students etc)</t>
  </si>
  <si>
    <t>https://enpower-school.com/wp-content/uploads/elementor/forms/5fe7127391787.pptx</t>
  </si>
  <si>
    <t>December 26, 2020, 4:07 PM</t>
  </si>
  <si>
    <t>nothing concrete</t>
  </si>
  <si>
    <t>IFT122</t>
  </si>
  <si>
    <t>tulikarachitkumar@gmail.com</t>
  </si>
  <si>
    <t>Dakshaya</t>
  </si>
  <si>
    <t>Ashwini Kumar</t>
  </si>
  <si>
    <t xml:space="preserve">7th </t>
  </si>
  <si>
    <t>9711587070, 9899500000</t>
  </si>
  <si>
    <t>Due to this pandemic life has almost come to stand still, as a individual I am trying to bring the life to normal as we can do. We are attending our online classes with the help of technology but many of the students have no access to the technology which is real challenge and problem. So, we have to work in a direction to provide equal platform to all the students so that all gets equal opportunity which will be helpful to the nation.</t>
  </si>
  <si>
    <t>I am a student and attending the online classes since the beginning of the session. I am privileged to have access of technology with the gadget I have. The real problem is for the unprivileged student who don’t have access to the technology it can be because of the gadget or the internet connection.</t>
  </si>
  <si>
    <t>I am trying to address the problem of student who do not have access do the gadget or internet connection due to various reasons.</t>
  </si>
  <si>
    <t>This may lead to inequality among the student who are attending and not attending the virtual classes. An equal opportunity shall be provided to all the student.</t>
  </si>
  <si>
    <t>The government can play a positive role providing the gadget among the urban and rular, a low cost and affordable device should be provided by the school. Device should be easy to access so that everybody can visit with ease.</t>
  </si>
  <si>
    <t>As suggested my solution are for mass education all the children   will get opportunity to attend the online classes. It will be helpful and learning for all the students and building a bright future for nation. It will also promote or prime Minister dream of making digital India. Future generation will be well versed with the technology.</t>
  </si>
  <si>
    <t>In my option this is one of the best solutions because it will help in the growth of children’s education &amp; upbringing. It will help in lighting up the country bright future.</t>
  </si>
  <si>
    <t>https://enpower-school.com/wp-content/uploads/elementor/forms/5fe87caf15a93.pptx</t>
  </si>
  <si>
    <t>December 27, 2020, 5:53 PM</t>
  </si>
  <si>
    <t>IFT526</t>
  </si>
  <si>
    <t>trishita03@gmail.com</t>
  </si>
  <si>
    <t>An educational degree shouldn't be a criterion to judge a person unless they practice in real life. People motive on the degree and not on the learning process.</t>
  </si>
  <si>
    <t>Almost every part of the country is now aware of the importance of education. The various campaign on awareness about education and with the aid of govt. for setting up schools providing primary and secondary education at a negligible fee, children from poor families are slowly encouraged to go to school. Providing a school does solve one problem but what about the quality of education. The knowledge they are gaining will anyhow be useful for their future, is still a big question. Will education make them a better person or is it just about the marks and get the certificate?</t>
  </si>
  <si>
    <t>The user groups I am focusing are the students from different economical sectors. Some don’t get enough equipment to study where other with the availability of the resources couldn’t create any impact. According to me, these groups possess the sharp youth mind to rekindle and rethink which is beneficial for development.  Child labor is always a spontaneous topic and due to lack of awareness, this happened with the consent of their parents to earn some extra money for their living. Although the govt solved the part of the problem by making education feasible but lack of consent kept it stagnant.</t>
  </si>
  <si>
    <t>Education is one of the major key factors for any nation to make progress. The stability of a country lies in humans as resources. It's quintessential to be aware of general facts as lack of education tends to keep a person behind. Education should be the first and foremost attention of the government as well as for the people. Education doesn’t imply mugging any subject for a degree, it’s the way to know the world, what’s around. People should read in the thirst of knowing and gathering knowledge from the pool of information. It shouldn’t be considered a burden.</t>
  </si>
  <si>
    <t>If there’s a will, there’s a way similarly if we try, it's possible to find solutions.
Some solutions I got to combat this problem in the field of 'Education' are as follows:-
1) Making people aware: - It's really very essential to become independent. People should understand the worth of being educationally stable. Survey is very essential to know the scenario. 
2) Making education interactive. We need to enjoy the learning process. It should be fun yet knowledge is exchanged in the process.
2)  Educational policy need frequent update. It should cover personality development aspect of student it should also imbibe values of culture and social services.
 3) Morality for humanity: In our country, Moral education just serves as a subject in our books but not in practice. The students must not just learn about moral education to score marks, they must practice and participate in every moral activity.</t>
  </si>
  <si>
    <t>When education will be interactive, students will find more interest in knowing the topics in depth rather than just cramming up pieces of information. And later calling it a burden and leaving it. People who're aware will contribute and create more impact on society. Realization helps a person to grow better when immaterialist things like certificates will be less prioritized and the first priority would be gaining knowledge. By running behind the transient, we stand to lose the permanent. The values and ethics that we learn are something that will always be there within us and that makes a person accomplished and sober. Education is a boost to humankind to uplift and upgrades our own system.</t>
  </si>
  <si>
    <t>I feel I am best equipped to offer this solution because whatever I mentioned is a very practical and direct approach to a person’s thought process. Education imparts us lifelong knowledge, there’s no end to the pool of knowledge. It’s on the person how much they’re capable more specifically how much they want to dwell in that pool. Moral ethics, awareness, proper infrastructure, and a different approach to thinking are very essential. We need to build a strong foundation (in terms of knowledge) in us so that we can survive the walk in this competitive race of mankind. The thinking should be flexible and must possess an approach to take new ideas for those interactive learning in form of group discussions. Also, it's a fact that anything we learn in the process of the game or any sort of infotainment sustains more in our brain.</t>
  </si>
  <si>
    <t>January 6, 2021, 10:16 PM</t>
  </si>
  <si>
    <t xml:space="preserve">Repeated, similar to the IFT 201, though there is a slight variation in content </t>
  </si>
  <si>
    <t>IFT430</t>
  </si>
  <si>
    <t>titiksha.manav@maxfortdwarka.com</t>
  </si>
  <si>
    <t>with this pandemic going on we thought of finding a solution to the problems being faced by us as a student and our friends.</t>
  </si>
  <si>
    <t>here we thought of developing an app named yearbook that can even help introverted students who are shy to ask questions in class through our app and making sure that the students can also talk to school psychologists or counselors regarding the problems being faced in their academic and personal life.</t>
  </si>
  <si>
    <t>we are trying to solve the problems being faced by students during online classes and in offline classes.</t>
  </si>
  <si>
    <t>yes, this problem is critical and needs a solution.</t>
  </si>
  <si>
    <t>we thought of creating an app that can help students as being students ourselves there are some problems that are faced by us such as not being able to ask a question in the class and not given equal chances as some teachers tend to choose their favorite students.</t>
  </si>
  <si>
    <t>yes, it does because in this application everyone is given a fair chance.</t>
  </si>
  <si>
    <t>it is an application that can be downloaded from app stores from phone and various schools can use it to improvise the relationship between school and its students.
my google slides link:  https://docs.google.com/presentation/d/1208RS7gjfAIH-ccrs_re1jdwWR21H9GdxErI49QR2-s/edit?usp=sharing</t>
  </si>
  <si>
    <t>January 1, 2021, 6:52 PM</t>
  </si>
  <si>
    <t>IFT028</t>
  </si>
  <si>
    <t>tiffiny.buffington@outlook.com</t>
  </si>
  <si>
    <t>Hi,
We're wondering if you’ve ever considered having a web-based tool to schedule and analyze all of your social marketing activities, which increases your social media efficiency, reach and saves you time?
- Analyze, Monitor &amp; Report Your Social Performance: SocialPilot provides a powerful, yet easy to understand social media analytics tool
- Connect 50+ Accounts &amp; Schedule Posts: Start posting on each of the social networks from one unified social media scheduling tool. 
- Be On Top Of All Conversations With Social Inbox: Respond to comments, messages, and posts across your social media pages
- Upload Upto 500 Posts with Bulk Scheduling: Schedule enough updates to last you weeks or months. You can edit, delete or move posts if you change your mind.
Plus lots more!
There's a 14 day free trial available to you at the following link: https://www.socialpilot.co/plans?fp_ref=marlenm&amp;fp_sid=2
Regards,
Tiffiny</t>
  </si>
  <si>
    <t>Hi,
We're wondering if you’ve ever considered having a web-based tool to schedule and analyze all of your social marketing activities, which increases your social media efficiency, reach and saves you time?
You can read a bit more about the software here: https://www.socialpilot.co?fp_ref=noot&amp;fp_sid=1
Regards,
Tiffiny</t>
  </si>
  <si>
    <t>Hi,
We're wondering if you’ve ever considered having a web-based tool to schedule and analyze all of your social marketing activities, which increases your social media efficiency, reach and saves you time?
You can read a bit more about the software here: https://www.socialpilot.co?fp_ref=solomona&amp;fp_sid=1
Regards,
Tiffiny</t>
  </si>
  <si>
    <t>Hi,
We're wondering if you’ve ever considered having a web-based tool to schedule and analyze all of your social marketing activities, which increases your social media efficiency, reach and saves you time?
You can read a bit more about the software here: https://www.socialpilot.co?fp_ref=jameskool&amp;fp_sid=1
Regards,
Tiffiny</t>
  </si>
  <si>
    <t>Hi,
We're wondering if you’ve ever considered having a web-based tool to schedule and analyze all of your social marketing activities, which increases your social media efficiency, reach and saves you time?
- Analyze, Monitor &amp; Report Your Social Performance: SocialPilot provides a powerful, yet easy to understand social media analytics tool
- Connect 50+ Accounts &amp; Schedule Posts: Start posting on each of the social networks from one unified social media scheduling tool. 
- Be On Top Of All Conversations With Social Inbox: Respond to comments, messages, and posts across your social media pages
- Upload Upto 500 Posts with Bulk Scheduling: Schedule enough updates to last you weeks or months. You can edit, delete or move posts if you change your mind.
Plus lots more!
There's a 14 day free trial available to you at the following link: https://www.socialpilot.co/plans?fp_ref=kiyoshim&amp;fp_sid=2
Regards,
Tiffiny</t>
  </si>
  <si>
    <t>Hi,
We're wondering if you’ve ever considered having a web-based tool to schedule and analyze all of your social marketing activities, which increases your social media efficiency, reach and saves you time?
- Analyze, Monitor &amp; Report Your Social Performance: SocialPilot provides a powerful, yet easy to understand social media analytics tool
- Connect 50+ Accounts &amp; Schedule Posts: Start posting on each of the social networks from one unified social media scheduling tool. 
- Be On Top Of All Conversations With Social Inbox: Respond to comments, messages, and posts across your social media pages
- Upload Upto 500 Posts with Bulk Scheduling: Schedule enough updates to last you weeks or months. You can edit, delete or move posts if you change your mind.
Plus lots more!
There's a 14 day free trial available to you at the following link: https://www.socialpilot.co/plans?fp_ref=kooldizz&amp;fp_sid=2
Regards,
Tiffiny</t>
  </si>
  <si>
    <t>December 19, 2020, 2:07 AM</t>
  </si>
  <si>
    <t>https://enpower-school.com/contact/</t>
  </si>
  <si>
    <t>Disqualify: This idea is about connecting all social media accounts in one platform, the link they have provided is not working. This is not related to education but its a good idea if they relate to education and have good plan as till now it looks just as thought process.</t>
  </si>
  <si>
    <t>IFT379</t>
  </si>
  <si>
    <t>tianagupta365@gmail.com</t>
  </si>
  <si>
    <t>9820057232, 9004299365</t>
  </si>
  <si>
    <t>We wish to extend education beyond the classroom. Students and teachers face issues due to not being able to attend the class or being late (for any reasons). Incomplete syllabus, missing homework, last minute doubts/explanations are also another area of education we want to solve.</t>
  </si>
  <si>
    <t>The problem we decided to solve was one we also faced on a daily basis - the problem of not having access to information or notes when you need them or not being able to get your doubts cleared in time before the exam or missing something in class because of absence or sickness</t>
  </si>
  <si>
    <t>Majorly, our audience are Students and Teachers, but if the Students are benefitted, so are the parents. The School also have advantages.</t>
  </si>
  <si>
    <t>This problem is not very critical. But, we know the struggle of not being able to clear doubts or have access to information and knowledge when needed. So, although this problem might not be the most critical, it is definetely one that needs to be solved. We like to think Micro as well as Macro.</t>
  </si>
  <si>
    <t>We have come up with a website idea, called S.H.I.K.S.H.A, Student Handler Interface for Knowledge Sharing Helping All. It has 5 features that reduce student and teacher work issues by a few notches.</t>
  </si>
  <si>
    <t>Our website, Shiksha, provides a safe interaction area for students and teachers, no matter what age. Teachers will be able to grade and help students easier and students will be able to clear their doubts and find information on specific topics faster and more efficiently.</t>
  </si>
  <si>
    <t>Being Students, we know the issues that many students face. We also know some teaching issues that occur in our classes. Everyone provides solutions, but no one practically applies it and we want to do that.</t>
  </si>
  <si>
    <t>https://enpower-school.com/wp-content/uploads/elementor/forms/5fede96074ceb.mp4</t>
  </si>
  <si>
    <t>December 31, 2020, 8:38 PM</t>
  </si>
  <si>
    <t>The concept is better explained in IFT365. Brilliant concept which will help urban and rural students, teachers, housewives, retired person.... this is superb idea</t>
  </si>
  <si>
    <t>IFT111</t>
  </si>
  <si>
    <t>thiruvikas2000@gmail.com</t>
  </si>
  <si>
    <t>Thiru</t>
  </si>
  <si>
    <t>IDEAS ARE IN DEMAND</t>
  </si>
  <si>
    <t>Every millionaire , billionaire , trillionaire , rich peoples have money but not have great ideas.
talented peoples also have extremely talented but not have idea to utilize it.
Every young entrepreneurs(including me) have idea about there product or service they innovated but not know how to safeguard it and utilized it for futures and most important to know that the limitation or disadvantage or effects of there innovation.</t>
  </si>
  <si>
    <t>Almost these problems faced by Indians and peoples below poverty.</t>
  </si>
  <si>
    <t>We know, Dubai, Qatar, Abu Dhabi  was  desert before 30 years but now it was the  richest countries in the world because they got oil(naturally) and utilize it in a proper way , if they not used it in a proper way these is not possible. Same like these every peoples have different talents, skills, knowledge, and even Rich peoples. If the skills, talents, ability, knowledge, money , speed, accurate are utilized in best idea India becames very very very RICH on less than 30 years.</t>
  </si>
  <si>
    <t>The solutions is "IDEA".</t>
  </si>
  <si>
    <t>The best Idea they get is the top most benefit for there skills, talent, money.
And make our country rich , proud to our nation.</t>
  </si>
  <si>
    <t>I seen many entrepreneurship program in youtubes, social medias etc. In that many peoples have said there innavations but they know or don't know how to excute there idea of innovation.
"PHYSICAL IDEAS CAN LOST BUT VIRTUAL IDEAS CAN'T"</t>
  </si>
  <si>
    <t>December 26, 2020, 7:37 PM</t>
  </si>
  <si>
    <t>IFT144</t>
  </si>
  <si>
    <t>tejasvani1357@gmail.com</t>
  </si>
  <si>
    <t>Now a days, basic problems are, Students face the major drawbacks in the lack of memory, lack of visualized classes, difficulty in following up the online classes and lack of technological effective learning, least concentration/distraction and lack of interest. Pain points of the teachers are- In the times of pandemics they face technical errors and also lagging behind in the implementation of technology and difficulty in tracking the learning of students. The challenges for the parents is to follow up their children's learning.</t>
  </si>
  <si>
    <t>By less usage of technology students can't save information for long time without visualization and can't aid better comprehension. Teachers lag in following up the child's learning accurately, can't guide the student without knowing where the child is left behind. Less co operation from the parents and students which mislead the teacher in analyzing the student's engagement in learning.</t>
  </si>
  <si>
    <t>Team "Educracy" is willing to solve the problems of students, teachers as well as parents parents. Because pain points of teachers and parents on any student can affect the future of the one. It is necessary for every student to analyze and visualize the complex practical knowledge in the simpler form. Henceforth we are trying to solve all these problems to facilitate the fluent learning.</t>
  </si>
  <si>
    <t>As "One small mistake can change everything" the problem stated above must be solved as soon as possible because these problems can grow up to the heights of changing student's future without knowing practical knowledge. Here after we shouldn't let these problems grow up to the heights of spoiling student's future, so it's better to find a solution as early as possible.</t>
  </si>
  <si>
    <t>Team "Educracy" is introducing it's product, Tech Geek Education where it is a device which is simple and convenient. It gives better visualization of the concepts that we learn practically. It is interconnectedly beneficial for the teachers and the students. The teacher could only approximately take the analysis of child’s learning but this product helps to analyze it accurately. It shortlists the students who lag behind in following up the teacher where teacher is able to concentrate on them. this product helps in transforming the virtual classes into visualized classes. It creates visualized reality based labs. There exists an application that facilitates to know parents and teachers about student's progressive or regressive reports based on their performance.</t>
  </si>
  <si>
    <t>Majorly the students can easily analyze the complex concepts, it creates an infinite set of possibilities in learning that students can experience. By this tutor understands the learning range of a student, through which he/she can enhance and engage students learning by understanding student's drawbacks. By the application provided the parents can track the student's learning progress immediately in an efficient way.</t>
  </si>
  <si>
    <t>Because Our product has all the abilities of giving qualitative and progressive education which also helps teacher in better understanding about the students capacity of learning.  Because we assure you that our product will be a best solution as it is worthwhile, cost effective, Simple yet convenient, which also gives better visualization of the concepts that we learn with a ternary (students, teachers and parents) beneficiaries. Students get motivated by learning through our product with digital labs and much more provided. Our product can be used in either of the pandemic or post pandemic situations. Hence we think that we are the best equipped to offer this solution.</t>
  </si>
  <si>
    <t>https://enpower-school.com/wp-content/uploads/elementor/forms/5fe9d6fbee5ec.pptx</t>
  </si>
  <si>
    <t>December 28, 2020, 6:30 PM</t>
  </si>
  <si>
    <t>IFT549</t>
  </si>
  <si>
    <t>tejas.bwj@gmail.com</t>
  </si>
  <si>
    <t>2020, bought a rise and success to COVID-19 but it resulted in very sad and bad outcomes. One of those was shutting of the schools not only in India but worldwide, but our innovative teachers and education ministry came up with ideas of online study. We saw this as opportunity and started learning through virtual meeting, we read and studied many a times from PDFs, soon we were giving our tests and exams too on digital applications and websites, it was an interactive and joyful experience. After the    pandemic arrived, education was fully functional online but for that a necessary thing was required, which was “Internet”. Despite the technology has succeeded much with the internet speed and quality, it was not available to many students in India. Now who were those students and why they didn’t had internet to use, these were the students of rural areas or those whose parents was poor.</t>
  </si>
  <si>
    <t>Internet is necessary for many things like shopping, payments, entertainment, etc. But now its necessary for education as well. In the above point we mentioned that not everyone is getting access to internet for which there can be multiple reasons. At a latest survey it was found accessibility of internet is only to 38% of children in India.  Starting from the very first its “Affordability”, maybe a person can use high speed internet every month/day but there are people who can’t even afford it, in a country where a Rupee 1000 per month earner is above the poverty line there, there are many who are very poor and can’t give off their earnings to the service providers.</t>
  </si>
  <si>
    <t>We can address the problem to the ISPs or the government , the problem can also be addressed to the schools.</t>
  </si>
  <si>
    <t>Internet is a very important need to study and if the students wouldn’t get it then their studies would suffer, so it is a very critical topic and a topic to be addressed and focus on. Once some solutions are applied things can be better and the students living in villages can also get internet to study and can still keep their hopes alive to complete and achieve their dreams.</t>
  </si>
  <si>
    <t>If there is a problem, then there would be a solution to it too, just we need to use our machinery of mind to get it. We have a poor fibre optic broadband for internet, which can be improved, also the prices are very high. Fibre wires need to be focused on as they are useful for broadband which gives a good quality speed. We can setup cyber cafes at local or rural locations, so that any student can use the devices or internet required from there. The school faculty can also tie up with the ISPs and provide the internet packs to the students who are poor, those students can pay up the charge later on. The ISPs can also make some broadband packs specially for students who are poor, they should keep those pack prices a little low.</t>
  </si>
  <si>
    <t>Everyone in this world wants his/her benefit, now what’s the benefits in our observations and solutions, if the user gets internet and his/her problem is solved then the child can study and its not like internet is only required for students in villages but the adults can also use as it’s a basic necessity and a very helpful feature.</t>
  </si>
  <si>
    <t>The problem might be common but we are best equipped with the solution because we believe or we are sure that our given solutions would work for sure and we believe that we can contribute towards the solutions for not only this but many other problems too.</t>
  </si>
  <si>
    <t>https://enpower-school.com/wp-content/uploads/elementor/forms/5ff6e08caf3c1.pdf</t>
  </si>
  <si>
    <t>January 7, 2021, 3:51 PM</t>
  </si>
  <si>
    <t>IFT113</t>
  </si>
  <si>
    <t>tanmayee.paruchuri@gmail.com</t>
  </si>
  <si>
    <t>The problem I aim to solve is the problem of lack of proper resources and poor management skills. My idea doesn’t solve someone’s poor management skills but helps them.</t>
  </si>
  <si>
    <t>The problem is many students have a poor schedule or lack planning skills and many students lack certain resources or many do not understand the notes they received or have a hard time understanding a certain topic. Students can have packed schedules or lack communication with the teacher. Another problem that will be solved is teachers may not know the students schedule or how the student is outside of school, they might wonder when the student will be able to complete the work or may not know how far the student has completed. My idea helps in all these factors.</t>
  </si>
  <si>
    <t>I’m trying to help students with busy schedules, students who can’t plan their work out, students who don’t understand what they received or have a hard time keeping up with subjects. I’m trying to help the teachers to understand each student and help both ends when it comes to work.</t>
  </si>
  <si>
    <t>I don’t believe this is an urgent problem or crisis that needs to be fixed immediately. I think my solution is beneficial for students at a long term level. It will help them improve grades and help them pick up a behavior of doing things on time and making time for things. Also in the situation we are in at the moment this will be helpful since we may not have proper communication or if our daily schedules are messed up.</t>
  </si>
  <si>
    <t>My solution is an app, it has 3 main features. 1. allows students/teachers to interact with other students/teachers: you can ask questions on certain topics and see if it was already answered, it also allows you to post your own notes you made on a topic, this makes writing notes fun and if someone else's notes were more easy to understand you can download it. 2. Planner: it will ask you to tell it how long you can work a day, when you receive an assignment you will tell it the due date,the day received and how long you think it will take and the planner will sort all your assignments out, telling you the best dates to work. Check the assignment you're done with. 3. The app allows you to create classrooms so your teacher knows how busy you are and what assignments are already assigned.</t>
  </si>
  <si>
    <t>My solution focuses on helping another user and making things easier and interactive for them. It helps build a bridge between the teacher and the student which is beneficial to the teacher when it comes to assigning work and is beneficial to the student as they don’t have to worry about extra work or work that will disrupt their schedule. My solution also plans the students work out to make it easier for them. It also creates an interface between students making it fun to create notes and makes it easier for others to understand other topics, also the teachers and students can help one another and in the end it feels good to know you have helped someone.</t>
  </si>
  <si>
    <t>I believe I'm best equipped to offer this solution because I thought of this idea. Only the artist will be able to explain the story behind their work, in the same way only I will be able to explain my solution and talk about it in the way I envisioned it. Another reason why I believe I’m best equipped is because I’m a student myself and if an app like this existed I would find it beneficial and I know many other students would too.</t>
  </si>
  <si>
    <t>December 26, 2020, 8:57 PM</t>
  </si>
  <si>
    <t>IFT450</t>
  </si>
  <si>
    <t>tanishqbishnoi@gmail.com</t>
  </si>
  <si>
    <t>If a massive solar storm hit the earth directly, the entire planet would go into darkness. The solar storm is a giant cloud of hot plasma and electromagnetic radiation that the sun ejects when it opens its coronal holes. . Within 30 minutes, the flares would reach Earth's magnetosphere and trigger a geomagnetic storm this led to the total darkness and failure of transformers or power station to deliver electricity for about 10 years and the destruction budget will cost about 2 billion us dollars .</t>
  </si>
  <si>
    <t>the solar flare will produce in 10 years of cycle in this phase the poles of the sun flips that led to produce solar flares 
and at that point we have cannot do anything because it takes 30 min to reached the earth .that point it will produces very huge amount of magnetic fluctuation that led to produce high current in the wires of  power station , and also satellite communication led to total blackout. and it take approximately 10 years to replace transformers to again provide electricity.</t>
  </si>
  <si>
    <t>The sun has produced its biggest solar flare since October 2017, potentially suggesting it is emerging from the solar minimum. ... They are associated with solar flares—sudden explosions caused by changes to these magnetic fields. Activity on the surface of the sun appears to increase and decrease on an 11 year cycle.an</t>
  </si>
  <si>
    <t>The solar cycle is the cycle that the Sun's magnetic field goes through approximately every 11 years. ... The Sun's magnetic field goes through a cycle, called the solar cycle. Every 11 years or so, the Sun's magnetic field completely flips. This means that the Sun's north and south poles switch places.in this phase the sun is at its peak point to produce max solar flare that can cause earth into total blackout and approx in 2029 we will face this event.The Carrington 
Event</t>
  </si>
  <si>
    <t>Faraday’s cages shield their contents from static electric fields. An electric field is a force field surrounding a charged particle such as an electron or a proton. As Faraday’s cage distributes that charge or radiation around the cage's exterior, it cancels out electric charges or radiations within the cage's interior.
With origami, it's possible to create large structures that fold up for transportation or for squeezing into tiny spaces. And the intricate folding patterns can be used to make complex mechanical systems with movements that can be controlled by a single motor.</t>
  </si>
  <si>
    <t>this type of cover for transformer will automatically cover the transformer and can easily fold again for reuse.this led to provide high protection to transformers from the solar flare and provide protection to the power station which will decrease the amount of destruction very much .
and in 30 min alarm provided through satellite monitoring led to prepare the citizens for the problem.
and provide information to foil rap or to put your electronic devices into a box of conductive material for prevention</t>
  </si>
  <si>
    <t>basically i have most correct method to handle it but i cant do these whole thing alone to setup all these thing .
so sir i need your opinion and your team for support .</t>
  </si>
  <si>
    <t>https://enpower-school.com/wp-content/uploads/elementor/forms/5ff1c4464fc68.docx</t>
  </si>
  <si>
    <t>January 3, 2021, 6:49 PM</t>
  </si>
  <si>
    <t>wow! way beyond my comprehension ability. definitely worth following up</t>
  </si>
  <si>
    <t>IFT546</t>
  </si>
  <si>
    <t>tanishatg33@gmail.com</t>
  </si>
  <si>
    <t>1. no hassel-free means to take advice /ask something from public figure.
2. booking an appointment to take advice /ask something from public figure takes lots of time and money(travel expenses etc).and it is not possible if many people want to do so.
3. public figure rarely reply to ordinary people mail,dms etc.</t>
  </si>
  <si>
    <t>IN this growing world  with lots of information avalible  both good or bad people tend to confuse and sometimes take up wrong decisions for  their  questions getting nothing.</t>
  </si>
  <si>
    <t>it depens on public figure</t>
  </si>
  <si>
    <t>now a days we can see  no of hackers, false information( websites , blogs , posts, etc),scammers who give wrong information/ advice  have increased if this grows at this rate it can harm many people in various ways(mentally, physically,financially)</t>
  </si>
  <si>
    <t>what  if we gets advice  directly from our role models or whom we  want to take advice from ( public figure). 
people will get one on one advice on a video call by booking it ( avg time for 1 person =2 min  and max time restriction =3 min)  there will be one admin who will take care of this(one goes next comes) for taking advice it can by done online. and for offline immidate booking will be held on a public place and then we will conduct  one on one video call.</t>
  </si>
  <si>
    <t>1. direct and face to face  advice from whom they want advice from( public figure).
2. they will get unaltered advice.
3. hassel free process to take advice.
4. decent price
5.no time waste in approching the person whom they want advice from.</t>
  </si>
  <si>
    <t>1. I am creative person whome understands  the value of unaltred advice and advice given from experience.
2. i am intersed in opening a company which provides with these things.</t>
  </si>
  <si>
    <t>January 7, 2021, 1:45 PM</t>
  </si>
  <si>
    <t>IFT451</t>
  </si>
  <si>
    <t>tanish07858@gmail.com</t>
  </si>
  <si>
    <t>There is lesser spotlight on character working of a student.</t>
  </si>
  <si>
    <t>Our education system usually focuses on just quantity of subjects and topics, rather than teaching students to be a person with great character. We see a numerous of students who are good in studies but still having dumb mindset as well uneven thoughts.</t>
  </si>
  <si>
    <t>Being a student, I have seen a numerous of students who are having great mind also good in studies but still when we converse to them we observe that there is somehow a lack in his mindset. He / She 
is somewhere not having that thoughts that a good person should have.</t>
  </si>
  <si>
    <t>It could be observed that this problem is not that much critical since it could be rectified just by giving a little bit effort on character building of a student. But still there's an urgent need to resolve this problem. If not done so then surely we will get brilliant students but not a good human being.</t>
  </si>
  <si>
    <t>Character building has the solution that is, students should be given separate classes on "how to be a good person rather than just being a brilliant student" students should be taught this too. There should be an appropriate amount of content in the topics of respective subjects that should should encourage students that they should also have a good character. Not only this teachers should also interact with students so that they could learn great values.</t>
  </si>
  <si>
    <t>This solution will significantly help students gain knowledge how to behave, how to interact with people and etc.</t>
  </si>
  <si>
    <t>I would say that now a days our education system is just focusing on quantity due to which the quality of education has been lost. And this suggestion is helpful in rectifying this issue since this is one those solutions which is needed the most. There could be more also but still this solution is the most important one.</t>
  </si>
  <si>
    <t>January 3, 2021, 7:20 PM</t>
  </si>
  <si>
    <t>idea refers to charecter building -disqualified</t>
  </si>
  <si>
    <t>IFT522</t>
  </si>
  <si>
    <t>tanisaghosh19@gmail.com</t>
  </si>
  <si>
    <t>Tansia</t>
  </si>
  <si>
    <t>army</t>
  </si>
  <si>
    <t>This pandemic has posed many problems for the students as they can only have teacher's guidance online and education system has changed drastically</t>
  </si>
  <si>
    <t>Due to this pandemic students from rural parts of the country are not able to study properly they lack the various components needed for e learning , students who are provided with all the components are also facing various problems like lack of proper guidance, degrading self confidence, detoriation in co curricular activities and critical thinking and analysis,and concepts are not clear to them as compared to offline classes ,lack of perspective limited access to wide range of knowledge.</t>
  </si>
  <si>
    <t>Students are the user group students need a better way to learn the  basic concepts in the lessons e-learning has come up with many drawbacks as mentioned above which leads to inefficient learning for upcoming generation</t>
  </si>
  <si>
    <t>The problem is critical as ,if the students don't have this problem solved soon they will be facing a huge problem in understanding the concepts in higher education they would feel more pressured if the concepts of the lessons are not clear and if their is lack of perspective this would limit their thinking capability ,degraded confidence would affect every step they take in the near future all these factors might have ill-effects on there careers and can be a huge barrier in the path of them achieving their goals</t>
  </si>
  <si>
    <t>I would suggest teachers to give one to one attention to students after every class asking them about their doubts having frequent interaction with their parents about their performance in e classes and behaviour at home , counseling sessions once in a month teachers should always engage students in more online debates , competitions, meetings schools should develop apps or website for children to  give frequent exams and play quizzes on lessons students should form their own groups within the class and discuss about their doubts in each chapter one day in a week in the supervision of a teacher .</t>
  </si>
  <si>
    <t>One to one attention given to each students would enhance their attentiveness in the class and would increase their confidence and build trust among the teacher and student, having feedback from their parents about their behaviour and counseling session are essential for the discipline building and their mental well-being . Engaging them in more online competition and debates would elevate their confidence level forming students group and discussing about each others doubts would give them a wide range of perspective and ideas and would enhance their critical thinking skills giving them more scope to achieve their goal</t>
  </si>
  <si>
    <t>This plan and suggestion given by me would help the user group to ease their current situation and strive for a better future ,the ideas given by me might help them in many ways to achieve their dreams in future hence I am equipped with my thinking and idea to help out the user group</t>
  </si>
  <si>
    <t>January 6, 2021, 8:50 PM</t>
  </si>
  <si>
    <t>IFT180</t>
  </si>
  <si>
    <t>tanayprasad750@gmail.com</t>
  </si>
  <si>
    <t>The problem is the poor network.</t>
  </si>
  <si>
    <t>Nowadays the world has become virtual so as teaching, so many times due to poor network it becomes difficult for the students to hear the teacher's explanation, and for the teacher, it becomes difficult to hear student's doubts.</t>
  </si>
  <si>
    <t>It will not help any particular group or user, it will give benefit to everybody as many people have their works set on the internet and if it goes off or gets disconnected it creates a problem for the user but the teaching department will get most of the benefit as it will help them technically in running their classes smoothly.</t>
  </si>
  <si>
    <t>This problem is critical and urgent because during the online class if the network gets poor the voice starts breaking and sometimes even disconnects the user so it becomes difficult for teachers and students to interact and utilize the class.</t>
  </si>
  <si>
    <t>My solution is to plant new towers or upgrade the previous one with beamforming technology because the beamforming technique will prevent network criss-cross and will provide fast network with low radiation to users. So it will not disrupt people's work and will also prevent forming various diseases caused due to radiation.</t>
  </si>
  <si>
    <t>It will give benefit to students and teachers in joining and conducting online classes with a good network strength and will also not disrupt them in between and will be cheaper than the normal tower connections we are using.</t>
  </si>
  <si>
    <t>I am best equipped to offer this solution because My mother is a teacher and I am a student so I can understand this very common issue faced by us during online classes so my main motive is to overcome this problem and provide them a hassle free network connection.</t>
  </si>
  <si>
    <t>December 29, 2020, 7:12 PM</t>
  </si>
  <si>
    <t>IFT420</t>
  </si>
  <si>
    <t>talinkevorkian05@gmail.com</t>
  </si>
  <si>
    <t>Evekorian</t>
  </si>
  <si>
    <t>Boyar High School</t>
  </si>
  <si>
    <t>Jeruselam</t>
  </si>
  <si>
    <t>Many pupils and students suffer from a lack of concentration while learning.
.</t>
  </si>
  <si>
    <t>Many pupils and students suffer from a lack of concentration while learning. Medications they take to treat the problem, such as ratlin and concerta, do not help and may even cause depression. Lack of concentration and inattention in important classes causes these students a lack of control over the material and a significant impairment in the ability to complete the degree or finish the school year.</t>
  </si>
  <si>
    <t>Our target group are pupils and students in general, and especially those who suffer from learning disabilities or other learning disabilities(such as ADHD). ( Global Product)</t>
  </si>
  <si>
    <t>Our product is designed to reduce the pain of students who have difficulty studying due to their learning disabilities.
During the Corona period we increasingly understood the difficulty of understanding the material and the lack of attention in the virtual lessons, the frontal connection with the professional teachers is missing which makes it difficult for the students to master the material being taught.
We saw the difficulty of the students and knew we must answer it as quickly as possible. From students to students.</t>
  </si>
  <si>
    <t>'WE-R' are virtual reality glasses (VR) with built in teaching software.
We-R provides a virtual learning experience that is a breakthrough in the end of personal learning. This is done by remotely connecting the software users to virtual lessons by adding technological learning aids. The goal of We-R is for students to be able to study in a place and time that is convenient for them, without distractions. Adjustments can be made to assist students with learning disabilities.</t>
  </si>
  <si>
    <t>Our product is designed to reduce the pain of students who have difficulty studying due to their learning disabilities.
During the Corona period we increasingly understood the difficulty of understanding the material and the lack of attention in the virtual lessons, the frontal connection with the professional teachers is missing which makes it difficult for the students to master the material being taught.
Our product is the virtual learning experience passed through vr glasses that gives an illustration of a frontal lesson as if the student is right in front of the teacher. We also bring content, special versions and lessons in the form of games. Our goal is to convey the learning experience as a more spoonful and pleasant experience.</t>
  </si>
  <si>
    <t>We are in an organization called Unistream. An organization that trains youth in Israel to engage in business and social and their exposure to the world of business.
During our programs at this association we learn a lot from talented business people. We formed a company with 13 brilliant boys and girls. We currently have two business lenders, an instructor from the association and help from Microsoft. We believe that we are best equipped to offer the solution because we work hard and believe that we will succeed in leading to a change in helping our target group</t>
  </si>
  <si>
    <t>https://enpower-school.com/wp-content/uploads/elementor/forms/5fee3eb4d0d9f.pptx</t>
  </si>
  <si>
    <t>January 1, 2021, 2:42 AM</t>
  </si>
  <si>
    <t>IFT007</t>
  </si>
  <si>
    <t>syedzohaibali999@gmail.com</t>
  </si>
  <si>
    <t xml:space="preserve">CBSE </t>
  </si>
  <si>
    <t>The problem with the school's education system, what i think is neglecting the weak students, mostly at the time when the exams are near. Teachers do pay more attention to the weaker students but at the time of exams they are more pressurized to study.</t>
  </si>
  <si>
    <t>The students who are weak in studies are either not wanting to study because of distractions or they are mentally weak.
Most parents appoint tutors to teach their children, but they never assess what is the problem of his/her child for being weak in studies.</t>
  </si>
  <si>
    <t>I am trying to describe the students who are considered as weak in studies.</t>
  </si>
  <si>
    <t>This problem is critical and if not solved ASAP this would become a huge problem. Take moment and think the students weak in studies wont be able to complete their studies and subsequently not get jobs, only if they a family business they would be financially stable but that is very rare. But the students who are weak in studies and not financially stable their future is in crisis. They would either become a cheap labour or worker or become a criminal, thief, any job that would get him/her money illegally.</t>
  </si>
  <si>
    <t>The solution to this is, at the start of the academic year the weaker students need to be separated from the sharper students and a separate class section should be made for them and all the strict teachers of the school should be appointed to teach them. The strict teachers should also show courtesy towards the weak students as being strict to them not always works.</t>
  </si>
  <si>
    <t>My solution would create a perfect standard for studies in schools is what i think. It also would reduce the pain of teachers who are not able to focus much on the weaker students and also of the parents as they feel satisfied that their child is in safe hands and must be improving.</t>
  </si>
  <si>
    <t>I think that no one has put up this question and thought of spreading awareness about this topic that i have come up with.</t>
  </si>
  <si>
    <t>December 11, 2020, 9:51 AM</t>
  </si>
  <si>
    <t>https://enpower-school.com/courses/be-a-part-of-indias-biggest-youth-entrepreneurship-hunt/</t>
  </si>
  <si>
    <t>IFT538</t>
  </si>
  <si>
    <t>sushant128815@gmail.com</t>
  </si>
  <si>
    <t>We students nowadays get class experiments in form of videos which are not interactive</t>
  </si>
  <si>
    <t>Class experiments should be interactive and well explained with the guidence of the teacher to give us in-depth understanding</t>
  </si>
  <si>
    <t>This is a problem that is encountered by both teachers and students in this pandamic situation</t>
  </si>
  <si>
    <t>This is a critical problem for the students who are going to give their board exams this year or the next</t>
  </si>
  <si>
    <t>My solution is tthe implementation of AR Technology Which Is supported By most phones of the major brands.</t>
  </si>
  <si>
    <t>This will make classes more interactive than before simulating a class room like environment</t>
  </si>
  <si>
    <t>I am an Android and WebApp Developer and can create cross-platform applications. 
I am also skilled in 3D Modelling and animation</t>
  </si>
  <si>
    <t>January 7, 2021, 10:05 AM</t>
  </si>
  <si>
    <t>IFT172</t>
  </si>
  <si>
    <t>sumitcoomar1@gmail.com</t>
  </si>
  <si>
    <t>CBSE &amp; CIE</t>
  </si>
  <si>
    <t>I think the incorrect statement is "It's even better if we are précised in articulating it".</t>
  </si>
  <si>
    <t>The problem in this sentence I think is that problems not always be what we have learnt. In real life, problems are not what we expect. Problems come always come as a surprise. This sentence is saying that we need to be précised in articulating it. We can't be precise in any problem let alone be articulating. Problems help us to use our brain, not formulas.</t>
  </si>
  <si>
    <t>I am trying to solve for the user group who feel to be scared of problems. The group doesn't know that problems always are unknown.</t>
  </si>
  <si>
    <t>People always are scared and demotivated of problems. They should require a solution to this statement. Problems can not be known. They occur like a surprise.</t>
  </si>
  <si>
    <t>My solution is that Problems should be faced calmly and not to be scared of.</t>
  </si>
  <si>
    <t>My solution will allow people to enjoy problems as a way of gaining knowledge.</t>
  </si>
  <si>
    <t>I have faced this issue, and thus know all the tension and impatient someone becomes when they see problems.</t>
  </si>
  <si>
    <t>December 29, 2020, 5:16 PM</t>
  </si>
  <si>
    <t>Haven't given any solution</t>
  </si>
  <si>
    <t>IFT598</t>
  </si>
  <si>
    <t>sudikshaphukela33@gmail.com</t>
  </si>
  <si>
    <t>Sudiksha</t>
  </si>
  <si>
    <t>Phukela</t>
  </si>
  <si>
    <t>Pragati Public School</t>
  </si>
  <si>
    <t>Problem’s always come with a possible and effective solution. Online education and offline education/traditional education both have pros and cons. Talking about online mode there is a lack of face-to-face interaction and also lack of team work. Nowadays students are getting more engaged in individual activities due to m lack of interaction between the classmates. Whereas in traditional education there is face to face interaction and group activities are more encouraged but they don’t provide a suitable environment and seems to be boring for a few of them and while studying online we can sit wherever according to our convenience.</t>
  </si>
  <si>
    <t>Online education is new in India, we all i. e. the teachers, students and parents were not at all ready for this drastic change. There is a lack of Computer literacy which is leading to a great problem even for the teacher's also. Network issue's and a lot of other problems are causing disturbance for students to study. Creative learning is now causing a big trouble for teachers to conduct which is leading students mind towards academic studies in spite of the Creative learning and Problem solving. Offline education is more expensive as travelling to school requires money. MARKS STILL CONTINUE TO HOLD AN IMPORTANT PLACE IN DECIDING A STUDENTS CAREER, WHETHER HE/SHE IS GOING TO BE SUCCESSFUL OR NOT.</t>
  </si>
  <si>
    <t>I AM TRYING TO SOLVE THE ISSUE’S FACED BY THE TEACHER’S STUDENTS AND ALSO BY THERE PARENTS.A PARENT WOULD NEVER BE SATISFIED WITH ANYTHING IF HIS/HER CHILD IS NOT GETTING WHAT HE ACTUALLY DESERVES.IF THESE PROBLEM STILL CONTINUES THEN THEIR WOULD BE A LOT OF TROUBLE FOR STUDENTS AND I BELIEVE EVERY PROBLEM COMES WITH A POSSIBLE SOLUTION WHICH WE NEED TO FIND.</t>
  </si>
  <si>
    <t>THIS PROBLEM NEEDS AN URGENT SOLUTION AS OUR YOUTH WILL BE RESPONSIBLE AND WOULD REPRESENT INDIA IN A COMING FEW YEARS IN SPITE OF BUSSINESS OR BECOMING A DOCTOR OR AN ENGINEER IT IS ALSO IMPORTANT FOR INDIAN YOUTH TO CONTRIBUTE IN THEIR HOBBIES.IF ONE LIKES SCIENCE IT IS NOT NECESSARY THAT THE OTHER PERSON WOULD ALSO LIKE AND DOING WHAT WE LOVE CAN MAKE US TOUCH THE HEIGHTS OF SUCCESS.</t>
  </si>
  <si>
    <t>INTRODUCING REASONING, COMPETITIVE MATHS AND FINANCIAL LITERACY AS AN ACADEMIC SUBJECT, AS THESE ARE THE PRACTICAL SUBJECTS REQUIRED IN JOB MARKET.ALSO, WE CAN PROPOSE MAKING APPS LIKE DIKSHA PORTAL FOR STUDENTS HAVING SELF ASSESSMENTS THAT CAN ACT AS A FACILITATING FACTOR FOR STUDENTS WITH NO JUDGEMENTAL OPINION.GIVING EQUAL RESPECT TO ALL THE SUBJECTS AND TREATING THEM ALL EQUALLY.</t>
  </si>
  <si>
    <t>MY VIEWS AND MY SOLUTIONS CAN HELP PEOPLE AND WILL POSSIBLY REDUCE THEIR PAIN AS GETTING TO KNOW FROM OUR SURROUNDINGS CAN HELP US A LOT. I DISCUSSED WITH MY PARENTS, GRANDPARENTS AND RELATIVES ABOUT WHAT THEY THINK IS THE PROBLEM IN EDUCATION SYSTEM NOWADAYS, KNOWING THEIR ISSUES REGARDING IT HELPED ME AND BEING A YOUNG LEARNER, I CAME WITH A FEW POSSIBLE SOLUTIONS FOR THEM.</t>
  </si>
  <si>
    <t>I THINK I’M THE BEST OUT OF ALL, LIKE I MENTIONED ABOVE I CONDUCTED A SHORT SURVEY AND DISCUSSED A FEW PROBLEMS WITH THEM.BEING A PARENT THEY ALL THOUGHT WHAT COULD BE BETTER FOR THEIR KIDS. I HAVE HEARTEDLY THOUGHT AND HAVE PUT ALL MY EFFORTS IN WORKING UPON THIS AND HARD WORK NEVER GETS WASTED.BY THE END I WOULD SAY THAT I HAVE ALSO TAKEN MY EXPERIENCE ALSO FOR THE IMPROVEMENT.</t>
  </si>
  <si>
    <t>https://enpower-school.com/wp-content/uploads/elementor/forms/5ff86f5ff21e3.docx</t>
  </si>
  <si>
    <t>January 8, 2021, 8:12 PM</t>
  </si>
  <si>
    <t>IFT381</t>
  </si>
  <si>
    <t>sudhakar20031111@gmail.com</t>
  </si>
  <si>
    <t>The COVID-19 pandemic has created the 
largest disruption of education systems in 
history, affecting nearly 1.6 billion learners 
in more than 190 countries and all continents. Closures of schools and other learning spaces have impacted 94 per cent of the 
world’s student population, up to 99 per cent 
in low and lower-middle income countries. 
The crisis is exacerbating pre-existing education disparities by reducing the opportunities 
for many of the most vulnerable children, youth, 
and adults – those living in poor or rural areas, 
girls, refugees, persons with disabilities and 
forcibly displaced persons – to continue their 
learning.</t>
  </si>
  <si>
    <t>Learning losses also threaten to extend 
beyond this generation and erase decades 
of progress, not least in support of girls and 
young women’s educational access and retention. Some 23.8 million additional children and 
youth (from pre-primary to tertiary) may drop 
out or not have access to school next year due 
to the pandemic’s economic impact alone.</t>
  </si>
  <si>
    <t>vulnerable children, youth, 
and adults – those living in poor or rural areas, 
girls, refugees, persons with disabilities and 
forcibly displaced persons.</t>
  </si>
  <si>
    <t>Yes, because it is related to student's education. 
And they are future of the world. 
So it is to be taken a strict action.</t>
  </si>
  <si>
    <t>Is to provide education through conducting class through different medium like radio, television and by distributing study material. 
Because in covid era everyone is going though financial problem. So, it not possible or in state of buying phone for online class. 
By this three medium we can spread education to every children. Though they poor, economic effected or what so ever.</t>
  </si>
  <si>
    <t>As they effected economically so when they get free study material, free class so i think they can make their future better. By using these facility without any financial pressure. 
And this can also help those student who thinking for dropping due to financial problem. And we also know that how one year is important in student life.</t>
  </si>
  <si>
    <t>Yes, because in this era everyone is thinking for student who can afford online class or so. 
And my idea helps student of every section irrespective of rich or poor. 
I find myself self very greatful to be a part of this project and so for helping the needy person.</t>
  </si>
  <si>
    <t>December 31, 2020, 8:55 PM</t>
  </si>
  <si>
    <r>
      <rPr>
        <rFont val="Calibri"/>
        <color theme="1"/>
        <sz val="11.0"/>
      </rPr>
      <t xml:space="preserve">They want the education through mode of TV and radio as pandemic has affected many financially and school drop out happening so is this medium is taken they dont have to invest in any other devices. </t>
    </r>
    <r>
      <rPr>
        <rFont val="Calibri"/>
        <b/>
        <color theme="1"/>
        <sz val="11.0"/>
      </rPr>
      <t>IFT 382 same idea and explained in much detail, whether same team or not cannot identify as in PPT attached in IFT 382 name of students not mentioned</t>
    </r>
  </si>
  <si>
    <t>IFT191</t>
  </si>
  <si>
    <t>sudhajha02@gmail.com</t>
  </si>
  <si>
    <t>The problem that we face in our Education System is that there is a lack of practical methods and what we are taught is irrelevant to the job – market.</t>
  </si>
  <si>
    <t>Our education is based upon learning, but as we all know practice makes a man perfect. This should be changed and more attention should be given to practical studies.
What we are taught in school is irrelevant to the job - market. We need our schools to have classes for professions and more. This will help the students get a good exposure to the world.</t>
  </si>
  <si>
    <t>We are attempting to solve the problems of the students of the country, while providing with an innovative, up to mark solution for the same.</t>
  </si>
  <si>
    <t>We believe that this problem is critical and needs urgent solution because it has been faced by every student. In this dynamically changing world, we need these solutions for the betterment of the students.</t>
  </si>
  <si>
    <t>Our solution, simply, is to introduce practical ways of teaching and methods in studying in the schools. Classes and workshops on profession held by professionals should be introduced also. Practical methods and job – markets knowledge will provide a good exposure to the students.</t>
  </si>
  <si>
    <t>Our solution gives a distinct benefit to users to reduce their pain as it will help them broaden their minds to more aspects. With practical knowledge and job – market exposure they will have more opportunities with them and will also have the experience which in itself is very important.</t>
  </si>
  <si>
    <t>We are best equipped to offer the given solution because we ourselves are students. We have the kind of aspect that is required for it. We have analyzed the system and ourselves seen this problem along with our friends.</t>
  </si>
  <si>
    <t>https://enpower-school.com/wp-content/uploads/elementor/forms/5feb611e8a564.pptx</t>
  </si>
  <si>
    <t>December 29, 2020, 10:32 PM</t>
  </si>
  <si>
    <t>Great idea but lacks proper direction-maybe bootcamp</t>
  </si>
  <si>
    <t>IFT608</t>
  </si>
  <si>
    <t>stark.tony1529@gmail.com</t>
  </si>
  <si>
    <t>communication problem faced by the deaf and dumb people who cannot see , hear or speak.</t>
  </si>
  <si>
    <t>as deaf and dumb people cannot speak , talk or see this creates a major  communication gap for them to communicate with rest of the people .</t>
  </si>
  <si>
    <t>Deaf-mute is a term which was used historically to identify a person who was either deaf using a sign language or both deaf and could not speak. ... Such people communicate using sign language. Some consider it to be a derogatory term if used outside its historical context; the preferred term today is simply "deaf".</t>
  </si>
  <si>
    <t>due to this communication gap the deaf and dumb people are becoming more backward and disconnected to this growing era and this need to be solved by making a  reliable and easy to access source to solve this problem</t>
  </si>
  <si>
    <t>i have created a system that converts hand gestures to speec,text the working is super simple  and has two ways one is gesture flex senor eqquiped gloves which can detect different gestures and sends a direct signal to an simple app which show the alphabet and convert it into speech too</t>
  </si>
  <si>
    <t>this will help deaf and dumb people to communicate with other normal and due to usage of app everyone can use it cause nowhere days everyone is using smartphone.</t>
  </si>
  <si>
    <t>cause of it's accuracy and reliability , accessible for everyone and it's a low cost solution instead of using high end gadgets .</t>
  </si>
  <si>
    <t>January 9, 2021, 8:51 PM</t>
  </si>
  <si>
    <t>IFT573</t>
  </si>
  <si>
    <t>spranatharthivaradhan13@gmail.com</t>
  </si>
  <si>
    <t xml:space="preserve">S. Pranatharthi
</t>
  </si>
  <si>
    <t>Varadhan</t>
  </si>
  <si>
    <t xml:space="preserve">Amrita Vidyalayam
</t>
  </si>
  <si>
    <t>287 million, or 37% of the world's illiterate people, are Indian according to UNESCO. India’s literacy rate is about 74% - leaving a quarter of the population without basic reading and writing skills. While education is every child’s basic right, a bad educational system is depriving many children of a world of books and learning.</t>
  </si>
  <si>
    <t>India’s literacy rate is about 74% - leaving a quarter of the population without basic reading and writing skills. And though India has rolled out the Right to Education Act, the country is yet to witness its complete and proper implementation. While education is every child’s basic right, a bad educational system is depriving many children of a world of books and learning.</t>
  </si>
  <si>
    <t>Students whose parents are illiterate.</t>
  </si>
  <si>
    <t>India is a developing country. Education is the backbone of a developing country. India also contribute 26% of the youngsters to the world where only 16% of them are literate.</t>
  </si>
  <si>
    <t>Idea 1:
School should concentrate on many activities in which the child is talented. Like some students are good writers but they can't show their talent in school. Many playwright events can be conducted so that students can participate and show their talent. Same way for other talents also.
Idea 2:
Many educational trips can be taken place. Rather than taking students to normal places school can take them to some historical places. By this the students can understand the topic easily and they can also enjoy with friends.
Idea 3:
Students can be thought with realistic world. Like they can be thought with the current situation and how to overcome it.
Current affairs should be a compulsory subject.
Idea 4
Students should be left to their choices for studying i.e., students can choose the subjects they want to study.
Idea 5:
More subsidiaries should be given to the education of poor.</t>
  </si>
  <si>
    <t>Poor people can study easily and students can learn stress-free.</t>
  </si>
  <si>
    <t>We are affected by this problem and only we can give a solution.</t>
  </si>
  <si>
    <t>https://enpower-school.com/wp-content/uploads/elementor/forms/5ff735be634c0.pdf</t>
  </si>
  <si>
    <t>January 7, 2021, 9:54 PM</t>
  </si>
  <si>
    <t>https://enpower-school.com/ld-profile/orders/</t>
  </si>
  <si>
    <t>IFT408</t>
  </si>
  <si>
    <t>soumyagupta2015@gmail.com</t>
  </si>
  <si>
    <t>Problems in the current education system.</t>
  </si>
  <si>
    <t>The main irony of the education system is that its main focus is on the percentage scored by a student. It should take the true potential of the students into consideration along with their performance in examinations.</t>
  </si>
  <si>
    <t>Secondary and Senior Secondary Students</t>
  </si>
  <si>
    <t>1) Rote learning- Students end up mugging up the facts without gaining the basic knowledge behind them.
2) Marking system- Students are evaluated on the basis of their performance in examinations. If only the axis of grading is shifted to classroom participation, project work etc., then only the true potential of the student will shine.
3)Respect for all streams- Indian mindset is filled about stereotypes that medicine, engineering, IITs etc are the only way a student can flourish in his/her life.</t>
  </si>
  <si>
    <t>1) Making classroom a bit more playful
  * Try to ask out of the box questions
  * Do demonstrations to seize the interest of the students
2) Focus on qualitative education rather than quantitative education
3) Use visual learning
4) Make students believe in themselves instead of just gulping down the facts</t>
  </si>
  <si>
    <t>Like Einstein once said,"Education is about diascovering new ideas, not learning facts. Everybody is a genius. But if you judge a fish by its ability to climb a tree, it will live its whole life believing that it's stupid" . 
This solution will help students to find their true potential and will also help them to nurture their talents.</t>
  </si>
  <si>
    <t>This is the best age to adapt these ideas and bring them into motion.</t>
  </si>
  <si>
    <t>December 31, 2020, 11:20 PM</t>
  </si>
  <si>
    <t>Suggestion to make studies more playful and inteactive rather than mugging up. They have given suggestion only</t>
  </si>
  <si>
    <t>IFT177</t>
  </si>
  <si>
    <t>sonithakur.25@gmail.com</t>
  </si>
  <si>
    <t>Online education is such a type of platform, where one cannot work properly if they do not have proper information about the way of learning. But, sometimes working with this platform brings some problems and drawbacks that need to be solved. 
Usually, when students face any kind of issues with the online way of learning, they panic up and end up missing their syllabus which can be harmful for their future. If they miss their studies, this can affect their job opportunities in the future. Students are the future of the world and should have access to education. 
No problem should stop them or come in their way of education. During these hard times, Survival is our main aim. But the need for education has kept the schools working in the form of online education. That is why, students should have no problems with the online way of studying. We have an aim and vision of ending these problems forever.</t>
  </si>
  <si>
    <t>The problems that we thought are many in number. Students worldwide face many type of issues that need to be solved. Online education comes with its own advantages and disadvantages. 
But people don’t pay much attention to these problems and students continue facing these issues. And not only students, but teachers also face issues with the online platform which comes in their way of teaching. If there will be no teachers, then how will the students study?  That is why we thought of solving both the problems, of teachers and of students.</t>
  </si>
  <si>
    <t>The user group that we thought are suffering the most from the online way of education is students. Working professionals and college students can manage to solve their problems by themselves but students cannot   do so. They do not have much experience in the online field and are new to this system of learning. That is why the students face most of the problems.
As students are minor, they do not know what to do in the time of a problem and end up panicking. Thus, this results in their overall lacking in studies .That is why we thought of solving the problems of students.</t>
  </si>
  <si>
    <t>-As we all know, the world we are living in now has many restrictions due to the virus that has gained control over the world and our lives. But education and studying should continue under any circumstances. This is done through the online classes. 
But the problems that are faced in the online platform stop students from studying and act as an interruption in their way of learning. That is why, the problems that are faced in online studying are critical and need an urgent solution.</t>
  </si>
  <si>
    <t>We have thought of a creative way of solving the problems. Rather than just working on finding the solution of one or two problems, we thought of creating such a platform where we could provide the students the solution of all their problems. 
That is why, we thought of creating a website where a student can select his/her problem and find the solution for it. This would be better and more efficient way of solving the problems as internet is the only way of learning these days, and students can use the same to find the solutions for their problems. In our website, we have included a “Describe your issue” tab in the menu where the student can go through the list of problems and find his/her specific problem. 
We have even added a comment section there, which a place where a student can enter his or her other problems, if they are not listed in the problems list. We have other tabs too, like an “About us tab”, where the students can know more about us and can even learn the way to create a website by following the video we have provided there. Our website is a working prototype, and we will further continue developing it.
This is the link of our website:-
. http://thenewthinkers.unaux.com/?i=1 
If this link doesn’t work, then just type-thenewthinkers.unaux.com on chrome</t>
  </si>
  <si>
    <t>Our website, which is a fully functioning and working prototype, basically acts a platform where students can find the solution, and if their problems are not listed, can enter the problems in the comment section. The students can get solutions of their problems, anytime and anywhere. Now, through this website, the students can freely ask their problems and get solutions for it.
If the students have any other concerns, they can even contact us through the information in the “Contact us” tab. Our website contains some of the most common problems that are faced by students all over the world, and it also contains some specific problems that can be solved by just following the listed methods. So, this website acts as an overall problem solver.</t>
  </si>
  <si>
    <t>I think that I am the best equipped to offer this solution because, first things first, I am a student. I know the problems faced by the students and can thus provide the solutions for it. And we selected the Idea of creating a website because, I Aaryan have some expertise in coding and website development. 
I have been creating games and websites since the last 2 years. That is why I thought of using this Competition as an opportunity to showcase my skill and also solve the problems of my fellow students worldwide. I am also an editor. So, through my knowledge of editing, I can create some video tutorials also which will help students to learn the procedure of making a website. 
Through my knowledge of developing websites, I can continue modifying this website and add more problems and solutions to it. This will expand the choice of problems that the students can choose, and they will be able to get the solution for each and every problem they face. My teammate Khushi Agarwal is also very creative, and has contributed in giving the solution of some problems too. That is why I think, we are the best equipped to offer this solution.</t>
  </si>
  <si>
    <t>https://enpower-school.com/wp-content/uploads/elementor/forms/5feb2d906e316.docx</t>
  </si>
  <si>
    <t>December 29, 2020, 6:52 PM</t>
  </si>
  <si>
    <t>IFT188</t>
  </si>
  <si>
    <t>soni.thakur25@gmail.com</t>
  </si>
  <si>
    <t>As we all know, the world we are living in now has many restrictions due to the virus that has gained control over the world and our lives. But education and studying should continue under any circumstances. This is done through the online classes. 
But the problems that are faced in the online platform stop students from studying and act as an interruption in their way of learning. That is why, the problems that are faced in online studying are critical and need an urgent solution.</t>
  </si>
  <si>
    <t>https://enpower-school.com/wp-content/uploads/elementor/forms/5feb491ea4ccb.docx</t>
  </si>
  <si>
    <t>December 29, 2020, 8:49 PM</t>
  </si>
  <si>
    <t>IFT580</t>
  </si>
  <si>
    <t>snl.vij@gmail.com</t>
  </si>
  <si>
    <t>Education Re-Defined.</t>
  </si>
  <si>
    <t>How Covid-19 situation has turned homes into school for students &amp; teachers due to the lockdown imposed.</t>
  </si>
  <si>
    <t>User Group is the Student who are having difficulties as they are not going to schools and they are forced to study online.</t>
  </si>
  <si>
    <t>Students are missing the physical interaction with teachers. They are not enjoying the study and unable to meet with their friends &amp; participate in cultural activities.</t>
  </si>
  <si>
    <t>Our proposed solution is to bring AI- enabled classes, where the teachers &amp; students can interact in a virtual classroom. By using, the projector &amp; different tools, teachers will interact like they are in front not in video but a virtual image, also virtual whiteboard can be broadcasted on the wall of their home, so instead of watchin on laptop they can feel like they are inside the classroom.</t>
  </si>
  <si>
    <t>Instead of sitting long hours on the Laptop &amp; working on keyboard, they can see the picture on the wall and using AI, they can ask queries directly &amp; speak/dictate important points instead of typing.
Virtual playroom or drawing/music room can be created where students can interact &amp; speak face to face instead of watching video.</t>
  </si>
  <si>
    <t>Its just a start &amp; want many more things which can be implemented here using AI.</t>
  </si>
  <si>
    <t>https://enpower-school.com/wp-content/uploads/elementor/forms/5ff74012b9105.pptx</t>
  </si>
  <si>
    <t>January 7, 2021, 10:38 PM</t>
  </si>
  <si>
    <t>IFT369</t>
  </si>
  <si>
    <t>snehaa.gupta.0302@gmail.com</t>
  </si>
  <si>
    <t>While countries around the world are racing to understand and limit the spread of the novel corona virus , and as headlines focus on those efforts, a major side effect has been overlooked: education. Our group is aiming to find an effective solution to help and solve the problem faced during pandemic by students and teachers related to their health  , concentration and time management. Time management is a universal problem but it has become a way too common for students because of ongoing pandemic . As students don’t get to attend any physical classes, they are not taking them seriously and used to sleep or use social media during the class which in turn leads to lack of concentration and bad health.It is very important to take actions to solve various problems faced by different students  during online education otherwise their academic results will be worsely affected.</t>
  </si>
  <si>
    <t>Online classes require a high degree of self-regulation and focus from students .While studying from home there can be more distractions than usual which make time management more challenging and students tend to loose their focus and not able to concentrate properly . Lack of proper schedule , multitasking and improper prioritization are major factors causing problems. Many students do not have a designated space to study which is resulting in low concentration. Ongoing pandemic is building a lot of stress for the students. The fear of getting infected by the virus and overloaded online assignments   is affecting their mental health worsely. Their sleeping schedule is completely messed up and as there is no physical activity included in students schedule, laziness is becoming a major concern. Also ,because of increased screen time ,students are facing many eye problems plus regular headaches are becoming very common.</t>
  </si>
  <si>
    <t>We all are aware of the fact that when it comes to education the priority is students. The ‘user’ group whose problem we are attempting to solve is the students. The students are little careless about their studies and future and are not paying proper attention during online education and are not being consistent. Students are not  waking up early and  not attending  classes on time and become very lazy. Also they are taking online assignments and home work given by their teacher very lightly .Apart from online learning students are using mobiles a lot more making their eyes weak. Eventually, all of this is leading to bad health ,poor concentration and lethargy among the students. Therefore, we have come up with effective solutions that will help in solving these problems and building the future of the country.</t>
  </si>
  <si>
    <t>There is an urgent need to reduce/manage the Distractions caused during online classes otherwise the academic syllabus of students will not be completed properly with their full attention and their concepts remained unclear. The competition is somehow missing  among students and no self motivation is left for them to score good marks and their this behaviour of carelessness will impact once schools reopen. Also due to lack of physical activities students will gain fat which will be a downfall for their health in future and also the effect on their eyes will remain for a long time so, reducing screen time for students ASAP is very important. Due to cronic procrastination the academic performances of students is declining and some of them are at a risk of dropping out.</t>
  </si>
  <si>
    <t>We think that the following solutions will help to solve the problems to some extent:
•	Teachers to include MIND MAPS AND SPEED READING while revising the topics to help the student to store information in their long term memory. 
•	Also, VIDEOS to be included while teaching because some students are visual learners and they understand and learn better when they see something. 
•	By creating a TO-DO LIST and SETTING REMINDERS for their courses and assignments time management will become easy.
•	By improving CO-CURRICULUM activities and practising some simple EYE EXCERCISES in between online classes helps students to relax and improves their focus.
•	 Classes of YOGA and MEDITATION to be held on regular basis will help students to relieve their stress and it will make them more self aware and calm. Also, doing yoga will make them physically and mentally strong and boost up their concentration.
Thus , these are some ways which help in improving some parts of education system.</t>
  </si>
  <si>
    <t>If the ideas that our team has suggested are applied by schools in their daily course of education it will result in the overall growth of the students as well as teachers. If the schools will help in developing the habit of meditation, yoga  and promote extra curriculum activities ,it will help in their personality   development. Regular revisions of the topics that have been learned help the students to boost their memory and score good in exams. Mind maps, vedic maths and methods like visual learning are some ways to improve concentration and manage time properly. Students are bored of passively reading from laptops/ mobile screens and improvement in extra curriculum activity will help in breaking the monotony. One of our idea of setting reminder for online classes help students by reminding them about all the sessions and activities conducted by the schools.</t>
  </si>
  <si>
    <t>We think we are best equipped to offer  this solution because we have researched a lot about different problems and challenges faced by students and teachers  during pandemic and of all the problems the problem in time management, health and concentration are the major one . Also, as a student we faced these problems in our daily lives  and so we suggested some practical solutions which we believe if  implemented by our schools make our learning more interesting and productive.. We have talked to students, teachers as well as parents about the current education system and asked them about their experiences and problems faced by them during e-learning and summarize them all to make our project more effective. We want you to please check out the attached file of questionnaire  in the powerpoint presentation.</t>
  </si>
  <si>
    <t>https://enpower-school.com/wp-content/uploads/elementor/forms/5feddb5282790.pptx</t>
  </si>
  <si>
    <t>December 31, 2020, 7:38 PM</t>
  </si>
  <si>
    <t>The idea is not unique teachers making videos and uploading is something which is happening, Yoga is already been taught even online in schools.</t>
  </si>
  <si>
    <t>IFT488</t>
  </si>
  <si>
    <t>smruthimuralidharan@gmail.com</t>
  </si>
  <si>
    <t>Copying or Cheating During online exams.</t>
  </si>
  <si>
    <t>Due to the current pandemic situation, we have gone through a major transformation in the field of education. Online lectures and online exams are being conducted regularly although, one of the major problems is copying and cheating during online exams. Copying during exams has always been a common concern and a concern that requires immediate action. After the digital transformation, it has now become easier and un-complicated to cheat. Many students, with the help of advanced technologies, copy in order to score more marks and better grades.</t>
  </si>
  <si>
    <t>My idea benefits both the students and the teachers. Teachers play a significant role in a students’ life. They support, guide and moreover help the student become successful. I believe that it is important for the teachers to know who’s copying so that they can help the students overcome the fear of failure and motivate the students who lack confidence.</t>
  </si>
  <si>
    <t>As Jose Rizal rightly quoted "The youth is the hope of our future" which means that the youth, if given proper education and knowledge, can run the world. Examinations are conducted to asses a students' performance which is very important so that the school and teachers can help the students. It is important to pass a right judgement but if the student copies or cheats, there is a chance that the student will be misjudged. Copying or cheating is also not fair for the students who are dedicated and sincere.</t>
  </si>
  <si>
    <t>I came up with a solution that can help solve this problem. Many schools use video conferencing apps so my idea states that the school/teachers create an app or apply a feature by which teacher can see all the students but the students can only see the teacher. Once this feature is applied or app is installed, then they can ask the students to sit facing the wall, only for the exam borrow another device and log in through both and place one device in a way that both the student and the screen where he is writing his paper is seen. (More information in PPT that is attached below)</t>
  </si>
  <si>
    <t>Once this feature is applied and all the above steps are followed, the teacher or examiner will be able to see what each student is doing and will be able to identify the students who are copying or cheating. Firstly, this will help the teachers and the school identify the people who are copying so that they can help them. Also, the students will not tend to copy because of the fear of getting caught and will start working hard. Moreover, the students will pay attention during the class and take studies more seriously.</t>
  </si>
  <si>
    <t>Thomas Jefferson rightly said, “Honesty is the first chapter in the book of wisdom”, and I totally agree with him. I have never copied and neither have I ever cheated in anything. I think its better to accept failure as failure is the stepping stone for success. I strongly believe that copying hampers our progress and development. I think I am best equipped because I want to help not only the teachers but also the students who have got the habit of copying.</t>
  </si>
  <si>
    <t>https://enpower-school.com/wp-content/uploads/elementor/forms/5ff4754359b76.pptx</t>
  </si>
  <si>
    <t>January 5, 2021, 7:48 PM</t>
  </si>
  <si>
    <t>IFT087</t>
  </si>
  <si>
    <t>skaustubh908@gmail.com</t>
  </si>
  <si>
    <t>The importance of education is known to all of us. If we take a recent example which is the pandemic and the lockdown, we can understand that alternative methods were found or created by organizations so that education does not stop. The new education policy is proof that teaching methods should also revolutionize. As education is shifting to Online Platforms lately. This tells us that the ways of accessing education should also revolutionize. All of this tells us that our problem statement is redefining or altering the ways of education according to the education, especially in India, is going through a revolutionary phase, so along with it, our changing times.</t>
  </si>
  <si>
    <t>The problem we are trying to solve with Scholastic SchoolOS is to make online and offline education more impactful and interactive for students. Based on the online survey conducted by us, during this pandemic,  maths and science teachers are facing a lot of problems while teaching geometry and science experiments to students, So, to solve this problem we have added geometry tools and science experiments in our application.</t>
  </si>
  <si>
    <t>Our user group whose problems we are trying to solve consists of teachers, students, and administrators. The students face problems in understanding maths concepts and science practicals due to the lack of a practical approach during online classes. Coming to the teachers, they face problems in managing class, having security problems, and lack of important tools along with sometimes failing to give an impactful lecture to their students. The admins are having trouble conveying information to all the teachers and having trouble managing online school work.</t>
  </si>
  <si>
    <t>This education problem is critical and needs an urgent solution as we face the problem of lack of a more practical, and knowledgeable approach along with the lack of an experimental ideology. Due to the lack of a more practical and knowledgeable approach students are having trouble during the preparation of their exams and are unable to crack competitive exams and also become bookish. Now we know why the is problem is serious and needs an urgent solution.</t>
  </si>
  <si>
    <t>Scholastic SchoolOS is a complete Operating System that is specially curated for schools and colleges. It is a concept application that tries to solve all the problems faced by teachers during online and offline classes. The application when ready will use End-to-End Enhanced Encryption. Our application also makes Online Classes very interactive and impactful by using Quizzes, Polls, Geometry Tools, Online Chemistry Labs, Automated Attendance, etc. We will provide details on nearby internships.</t>
  </si>
  <si>
    <t>Our solution benefits the users and reduces their pain in many ways. First of all, the Scholastic SchoolOS does not use the meeting ID and password method which makes it easier for students to join a meeting by providing a timetable to the students and the teachers from which they can join or start the class. This also creates an Enhanced Encryption-based Environment that does not allow any fake IDs. The UI of the Scholastic SchoolOS is really simple and doesn't require any previous training for its usage. The problem of finding decent online or offline Internships is widespread in India, but this problem has been solved by high-level AI Algorithms embedded in Scholastic SchoolOS. Most of the problems, solved by Scholastic SchoolOS have been accomplished using the process of a more solution-based approach along with a design methodology which is commonly known as Design Thinking.</t>
  </si>
  <si>
    <r>
      <rPr>
        <rFont val="Calibri"/>
        <color rgb="FF1155CC"/>
        <sz val="11.0"/>
        <u/>
      </rPr>
      <t xml:space="preserve">We are best equipped to offer this solution, as we are l students and are experiencing all the problems, that students are facing. We also know the problem that the teachers have been facing as we conducted a survey using Google Forms and collected information on difficulties faced by students and teachers we analyzed the problems using design methodology which gave us a lot of pointers on how we should shape our solution. While taking online and offline classes we realized the things that needed to change and we started planning on how we could rectify those problems and build a better platform for both students and teachers. Our main focus while building this project was to solve every important problem, unlike the professional companies who forget some minor problems.
PLEASE CHECK OUR PROTOTYPE TOUR VIDEO HERE: </t>
    </r>
    <r>
      <rPr>
        <rFont val="Calibri"/>
        <color rgb="FF1155CC"/>
        <sz val="11.0"/>
        <u/>
      </rPr>
      <t>http://bit.ly/ssosvideo</t>
    </r>
  </si>
  <si>
    <r>
      <rPr>
        <rFont val="Calibri"/>
        <color rgb="FF1155CC"/>
        <sz val="11.0"/>
        <u/>
      </rPr>
      <t>https://enpower-school.com/wp-content/uploads/elementor/forms/5fe5d8f624c3c.jpg</t>
    </r>
    <r>
      <rPr>
        <rFont val="Calibri"/>
        <color rgb="FF1155CC"/>
        <sz val="11.0"/>
        <u/>
      </rPr>
      <t xml:space="preserve"> , https://enpower-school.com/wp-content/uploads/elementor/forms/5fe5d8f624f88.pptx , https://enpower-school.com/wp-content/uploads/elementor/forms/5fe5d8f626f9b.pdf , https://enpower-school.com/wp-content/uploads/elementor/forms/5fe5d8f6271d5.jpg , https://enpower-school.com/wp-content/uploads/elementor/forms/5fe5d8f6276b4.jpeg , https://enpower-school.com/wp-content/uploads/elementor/forms/5fe5d8f62793a.jpg , https://enpower-school.com/wp-content/uploads/elementor/forms/5fe5d8f63cc5a.jpg</t>
    </r>
  </si>
  <si>
    <t>December 25, 2020, 5:50 PM</t>
  </si>
  <si>
    <t>IFT517</t>
  </si>
  <si>
    <t>sir8081828389@gmail.com</t>
  </si>
  <si>
    <t>Artificial intelligence biometrics overcomes this problem using dynamic profiling the system learn is to improve more and the facial recognition system also they can improve more.</t>
  </si>
  <si>
    <t>Fingerprints print and facial recognition has to improve more because sometimes it not recognize it 50percent of the security is depend on biometrics only.</t>
  </si>
  <si>
    <t>I am attempting the software company's problems that they are making biometrics security  systems.</t>
  </si>
  <si>
    <t>I believe that this problem is critical because half of 80 percent of people uses biometrics security to protect data,information etc.</t>
  </si>
  <si>
    <t>My solution is to improve the Artificial intelligence systems more to be secure.</t>
  </si>
  <si>
    <t>It makes the people data more secure and safe if someone is using his biometrics data to secure his personal data.</t>
  </si>
  <si>
    <t>I am not the best equipped to offer this solution because  I have little bit knowledge to improve Artificial intelligence but I am telling to the software developers that they running this sever or whole system.</t>
  </si>
  <si>
    <t>January 6, 2021, 6:35 PM</t>
  </si>
  <si>
    <t>IFT551</t>
  </si>
  <si>
    <t>simranvohra862006@gmail.com</t>
  </si>
  <si>
    <t>Vohra</t>
  </si>
  <si>
    <t>The government released a new education policy in which the government states that by 2030, the children which are not in schools which is 3.22 crore  (mentioned  in the policy released by MHRD)
i think that the government should reconsider this problem as to enroll  the childen they require  approx 20000-30000 schools in 10 years and THIS REQUIRES A GREAT DEAL OF MONEY.</t>
  </si>
  <si>
    <t>The government released a new education policy this year in which the government states that by 2030 they will enroll 3.22 crore children back to schools, this requires more funding and the more money which government needs will be an INCREASE IN THE TAXES.</t>
  </si>
  <si>
    <t>I want to address this problem MHRD about the user group of common people</t>
  </si>
  <si>
    <t>This problem is critical  because till now the taxes imposed by the government  are already too high for the common people but if there will be an increase in the taxes, the commons will not be able to pay for their Daily Needs.</t>
  </si>
  <si>
    <t>In my opinion, the government can make preparations for online classes for those who have access to internet connection, while the other students can be provided  offline teaching in groups of students or maybe a programme in which students with higher education can volunteer and teach.</t>
  </si>
  <si>
    <t>This solution will provide basic education to those in need as well as instead of spending a great deal of money this solution can be equipped and common people will have less burden for the increase in taxes</t>
  </si>
  <si>
    <t>I think im the best equipped  to offer this solution  because im a student myself and thus understands the problem  better</t>
  </si>
  <si>
    <t>January 7, 2021, 4:16 PM</t>
  </si>
  <si>
    <t>IFT391</t>
  </si>
  <si>
    <t>simmikhurana1984@gmail.com</t>
  </si>
  <si>
    <t>9958398844,  9958398855</t>
  </si>
  <si>
    <t>The coronavirus pandemic has resulted in lockdowns across the globe. Schools and universities, like several other organizations, are moving their operations such as regular classes and examinations online. In online exams, students cheat by opening answers on google or opening books and it cannot be detected in the camera by the teacher</t>
  </si>
  <si>
    <t>In online exams, students cheat by opening answers on google or opening books and it cannot be detected in the camera by the teacher. It is very easy to cheat as schools use google form for exam and through that, we can switch tabs easily and find the answers. Students can also chat with friends to find the answer.</t>
  </si>
  <si>
    <t>I am attempting to solve the problem of the teacher's user group for preventing the cheating of students in online exams.</t>
  </si>
  <si>
    <t>This problem is critical and needs an urgent solution as it can damage the future of students as their knowledge will be missed. They will have problems in future classes because their basic things about further study would be missed as they have cheated in online study.</t>
  </si>
  <si>
    <t>My idea to solve cheating in online exams is to make an  AI-based software which cancels the exam if you look somewhere else out of the computer screen to cheat and does not allow to exit the exam paper and go on another screen to cheat.</t>
  </si>
  <si>
    <t>My solution gives a distinct benefit to users as students cant cheat because there are only two ways through which students can cheat which are to ask the answers from google through another device or search on that device which is not possible through my software.</t>
  </si>
  <si>
    <t>I am the best equipped to offer this solution because there are only two ways through which students can cheat which are to ask the answers from google through another device or search on that device which is not possible through my software. After all, if they cheat by searching on google through another device they will have to look down and my software immediately detects as it does not allow to look away from the computer screen and if they search on that device through google my software will not let them use google as it does not allow to exit full screen.</t>
  </si>
  <si>
    <t>https://enpower-school.com/wp-content/uploads/elementor/forms/5fedfac5597b9.mp4</t>
  </si>
  <si>
    <t>December 31, 2020, 9:52 PM</t>
  </si>
  <si>
    <t>The idea is to build an AI system linked to school app for online exam, if students are tryring to search in google system will command it and it will make him exit from exam for cheating. There are many other modes of cheating like keeping books out of reach from camera and copying and others how about this issue. Can look in to the idea</t>
  </si>
  <si>
    <t>IFT536</t>
  </si>
  <si>
    <t>simiman10@gmail.com</t>
  </si>
  <si>
    <t>APS</t>
  </si>
  <si>
    <t>Switching from traditional way of teaching to computer based teaching results in not understanding the problem properly and easily</t>
  </si>
  <si>
    <t>Adaptability struggle</t>
  </si>
  <si>
    <t>Students</t>
  </si>
  <si>
    <t>Because it is harming students career and creating uncertainty about the future . There is an urgent need for solution to build a productive youth in the upcoming future</t>
  </si>
  <si>
    <t>Arranging learning events both offline and online. Interactive classes with more fun and conceptual based</t>
  </si>
  <si>
    <t>It gives a distinct benefit as it will make student to gain more knowledge and be wise and intelligent in their decision</t>
  </si>
  <si>
    <t>As it will make them more effective and efficient in their work . With clear understanding faults can be diagnosed easily</t>
  </si>
  <si>
    <t>January 7, 2021, 9:59 AM</t>
  </si>
  <si>
    <t>IFT033</t>
  </si>
  <si>
    <t>sidverma2908@gmail.com</t>
  </si>
  <si>
    <t>These days, children are facing problems and so are teachers. The load of work of teachers have been increased due to these virtual classes. Teachers are having ton more problem than the students as the teachers have to make the concept clear of a student which is only possible by making presentations and documents which can only be created by the hardwork  and giving it a lot of time, throughout the day.</t>
  </si>
  <si>
    <t>– Teachers face a lot of problems and some of them are:
	Very few students are active in the class which disheartens the teacher as she has spent the past day preparing for the class and now very less students respond.
	Because the classes are online the teachers cannot force the students to open their video’s or unmute them to ask for an answer.
	As this is the case there is limited amount of classes as we have to reduce excess screen time and it is difficult for the teachers to complete the necessary syllabus in very less time</t>
  </si>
  <si>
    <t>group to which we are trying to address the problem is teachers. They are the one who are having most problems in this pandemic.</t>
  </si>
  <si>
    <t>The teachers have a load of work which has to be minimized as doing too much work can lead to severe headache and eye strain which is not at all good for their health.</t>
  </si>
  <si>
    <t>We can create a survey in which students will answer why they don’t turn on their videos and microphone and urge them to turn the microphone and videos on. Also teachers can have a viva after completing a chapter and for the practical based chapters, teachers can ask them to either show an experiment or make a working model which should be marks based. The teacher can also ask the students to answer the question made by the teachers on their own.</t>
  </si>
  <si>
    <t>The teacher will have a benefit as the students will start to respond and remain active which will not dishearten the respected teacher. Also the work of teachers will be decreased as it will be the work for only children to learn and do the instructed experiment or make a model.</t>
  </si>
  <si>
    <t>We are best equipped to offer this solution as we are children and we understand when our teacher is in pain and having some trouble. Also our problem is best equipped as the concept of students would be clearer as ‘doing and understanding is better than just learning’.</t>
  </si>
  <si>
    <t>https://enpower-school.com/wp-content/uploads/elementor/forms/5fdefa64db41b.pptx</t>
  </si>
  <si>
    <t>December 20, 2020, 12:46 PM</t>
  </si>
  <si>
    <t>The idea is good but the solution is not convincing as they are specifying on survey and experiments by students at home, they haven't clearly explained their idea how will this happen also the PPT attached mentions the same what is written here.</t>
  </si>
  <si>
    <t>IFT199</t>
  </si>
  <si>
    <t>sidharthmannikoth@yahoo.com</t>
  </si>
  <si>
    <t>The youth have become addicted to social media and online games. Banned apps like PUBG are played
using VPN’s. The youth also have easy access to pornography. Many apps and websites
collect personal details. This application gives prime importance to cyber security and health
of the youth. Students attending online classes often switch windows during the class. They
cheat during the exam by searching on Google. They bunk classes by giving excuses about
internet connectivity. This app will allow parents and teachers to monitor the children, track
their attendance and progress. It will have a folder that provides daily IQ updates.</t>
  </si>
  <si>
    <t>Each month around 12,456 cyber crimes are being reported in India. Among the total number of suicide cases committed in India 21% are being committed by teen girls due to cyber traps. Also in a survey conducted by Microsoft it has been identified that more than 53% of young youths are completely addicted to social platforms.
My idea is to develop an app which will solve cyber insecurity as well as social media addiction in the youth and it will also be an Educational platform that provides beneficial and safe facilities. This app will be customized to prevent access to unwanted websites, abused materials and pornography. Excess usage of games will be prevented. Using banned apps like PUBG using VPN will not be allowed. Unwanted ads and notifications and using of apps which ask for personal details and interests will be blocked. Virus remover and malware remover will be introduced. During a test students will not be allowed to minimize the screen and eye ball tracking will be introduced. Calls and online browsing will not be allowed during the test. This app will be available in three forms: Parents, students and school. At the end of the day the parents will receive a notification which will give them the total screen time of their ward. All the details of the student's attendance, class time and internet connectivity during classes will be available for parents and school. Students will also be able to submit their notes, home works, project , assignments along with their other works . Teachers will also be able to correct and mark the work of the student in Android, iOS, Linux, Windows etc..
 Parents will be alerted if the student misses class or is engaged in other activities during class time. Switching of apps during class is also blocked. Regular feedback after each class along with Sample question papers will be developed</t>
  </si>
  <si>
    <t>The main user is between the schools as the app is for students for educational purposes. Therefore main consumers will be the students and the youth .
details. This application gives prime importance to cyber security and health of the youth.
The main problems like pornography , click bites , unwanted adds , unwanted switching of Camera/mic in application's like Zoom , Hacking using virus etc.. Are
the main problem of the youth .These all results in the diversion of studies and slowly they get detached from society .In this situation the app can make a difference.
and also focusing on cyber security it is not only needed for students alone so my app will be fully beneficial for students and for others this will be partially useful one.</t>
  </si>
  <si>
    <t>These problems happening in these present days really have an adverse effect on the life of youth Problems like pornography ,sharing of abused materials, hacking etc.. brings the youth to the brink of committing suicide. This causes diversion in their studies and also the diversion from the society. As we all know today's youth are the future of the country, so if their mindset and life is destroyed due to these reasons it may completely affect the future of the country. And will result in a depressed economy.
Therefore these problems have to be solved at the earliest, at this point of time this application will be an excellent solution that will work as a guide for the students as well as the youth.</t>
  </si>
  <si>
    <t>First of all my solution is through a form of software (Kidu Safe)
Which primarily gives importance to Education and Cyber security for Students.
This application mainly provides safety to youth and students. It acts as a guide to the new generation by guiding them through the right path. At the school level it ensures that the student does not use any cheap tricks for his or her success. It also makes the students and parents about their working and overall progress. It also alerts them by providing the students attendance, screen time, usage of games etc..
And on the other level it provides safety to all persons using it. It blocks the usage of unwanted websites and apps. It prevents the unwanted switch on and off of camera and mics. It prevents pornography and usage click bites.
It protects the youth from diversion from studies and the society. It provides them a platform to learn new things through the IQ updates.</t>
  </si>
  <si>
    <t>The main pain that is being faced by the youth is the discrimination that they face from the society if they are affected by any issues related to pornography. Instead of protecting and providing them with mental support they avoid them from the society. This causes the situation of diversion from studies and society in the youth. It brings them towards the extreme end or edge of suicide. They will start loosing their ability to make themselves productive towards the nation. And lead to wastage of their whole life. And all their dreams and expectations are being shattered . All of these  become  their biggest pain. This app will become a solution for all of these problems by providing them with all the required mental and online support by working for them 24×7.</t>
  </si>
  <si>
    <t>I have the self confidence that this application will be the first application in the world to provide all these facilities together. Even though certain apps have tried to solve some of the cyber issues as well as the diversion of the students from studies by providing one or two of these features no one have been able to provide all these facilities together and ensure cyber safety. So this app will definitely create a space in the top apps in social media. It will also act as a guide for Millions.
As well as an information source. So this application will find it's own space in the social media platform</t>
  </si>
  <si>
    <t>December 29, 2020, 11:39 PM</t>
  </si>
  <si>
    <t>IFT004</t>
  </si>
  <si>
    <t>siddobrawal@gmail.com</t>
  </si>
  <si>
    <t>Big. Problem is money because I belong poor family</t>
  </si>
  <si>
    <t>Idea/ innovation title:- auto adjustable mic
Stand
Description about mic :-This mic is very useful of schools ,collage and auditorium.
This saves time in school assembly or in cultural activities,etc.
This can be adjust according to our height
It is easily moveable
It' is Light weight
Anyone use this mic stand easily
And chargeable also.</t>
  </si>
  <si>
    <t>money problem</t>
  </si>
  <si>
    <t>Because no equipment I can not buy</t>
  </si>
  <si>
    <t>I try to get money to my parents</t>
  </si>
  <si>
    <t>This mic is very useful of schools ,collage and auditorium.
This saves time in school assembly or in cultural activities,etc.</t>
  </si>
  <si>
    <t>I used 3 pipes .and the radius of pipes are different.
And fourth and very most important is shaft . The shaft is connect with motor.
The moter will run than the shaft will move the mic stand to up and down.
Ardino uno is most important to automatic up and down the mic stand</t>
  </si>
  <si>
    <t>https://enpower-school.com/wp-content/uploads/elementor/forms/5fcb06a68753a.jpg</t>
  </si>
  <si>
    <t>IFT002</t>
  </si>
  <si>
    <t>siddhantlal103@gmail.com</t>
  </si>
  <si>
    <t>Problem statement - The inaccessibility of students in rural areas to communicate to teachers.</t>
  </si>
  <si>
    <t>In these times, the education system in rural villages had a massive setback. Its either study(but taking risk of getting infected) or not going to school and not study. Due to this students are having a hard time for just to clear doubts. Students of class 10 and 12 are most affected because of their board exams and even though Boards have reduced their syllabus, it is still difficult there to interact with teachers.</t>
  </si>
  <si>
    <t>User group for this project would be students from rural areas who are having difficulty communicating with teachers and teachers who are having difficulty in taking classes. Basically all the rural areas where student do not have acces to internet to study while following socil distancing.</t>
  </si>
  <si>
    <t>This problem is critical and needs an urgent solution as students of classes 10 and 12 who have to appear for board examinations are having difficulty in understanding and interacting with teachers. Board examination are one of the most important examination in a student's life and these exams have potential to change student's future but due to this covid 19, students in rural area have a massive setback and hence it is important to find a way for students to communicate and interact with teachers safely.</t>
  </si>
  <si>
    <t>Solution is to use a raspberry pi combined with a wifi modem(it is not important that modem have internet access). The only requirement would be that students should have a cell phone which has wifi option. Nowadays most phones have these even the cheap ones and button ones. The modem would be used to connect all the devices to raspberry pi and then raspberry pi would be used as a local server to take online classes. Teacher would be using the raspberry pi and using its camera feature they will take online classes. in order for students to post doubts there can be a QNA panel on the server from which teacher can read doubts.</t>
  </si>
  <si>
    <t>My solution gives benifit to users as they won't be going out to study and the local teacher will take classes. And instead of buying internet connection for everyphone we can just make an initial investment and then continue studying. It requires minimal maintainence and it can be cleaned by ourselves also. So with this they will be able to study without any problem, interact without a problem and hence can study well and cover the gap which was made by the covid 19 in their studies.</t>
  </si>
  <si>
    <t>I am best equipted to offer the solution as I myself is giving 10th board exam this year and i know about the problems caused by the covid. I have participated in Toyota's Road Safety Hackathon at IIT Delhi and won 6th position hence i know about the technical aspects about my project. My school is equipped with ATL Lab hence i also have access of tools and mentors of lab to deliver the perfect solution.</t>
  </si>
  <si>
    <t>https://enpower-school.com/wp-content/uploads/elementor/forms/5fc9decde1c04.mp4</t>
  </si>
  <si>
    <t>IFT140</t>
  </si>
  <si>
    <t>shruthika0608@gmail.com</t>
  </si>
  <si>
    <t>What we study or learn today should always be a part of our lives forever!
For example, If this is the case then why there is a need for a medical aspirant to study in detail about the chronicles of our world?!
Even though if the contradiction pulls you, it is not important or necessary to score 100 percent in this subject(History) so that you'll be graded A+ in your 10th boards.</t>
  </si>
  <si>
    <t>A student does not realize his/her mistake at the beginning of anything. Likewise, it shouldn't waste one's lifetime. Obviously, time is precious! Hence the problem we conclude is one should know what he loves to do and make his dreams come true possibly soon before demise!</t>
  </si>
  <si>
    <t>Before we give solutions it's important to know what are we aiming for! 
Hence the group which gets benefited are-
1. STUDENTS
2. TEACHERS
3. BOTH STUDENT'S AND TEACHER'S PARENTS
4. THE SCHOOL MANAGEMENT
5. THE EDUCATION SECTORS</t>
  </si>
  <si>
    <t>It's always important to love what we learn! 
Path of Success is always the way we get educated! 
The more we love our own subject we excel and dedicate much.
Hence it's is very much necessary to Study which is needed according to your career.</t>
  </si>
  <si>
    <t>'You must be the change you wish to see in the world."
 To make it happen henceforth we introduce the Idea of INITIATING OUR OWN GROUP SYSTEM! 
A Group system is a new way in which young-minded ones put all their brains together and innovate many simple and engrossing Ideas! also we concentrate on the subjects one learns where it benefits his or her career!</t>
  </si>
  <si>
    <t>In this way, students learn to work together which enhances TEAMWORK, students are encouraged to share their works/ideas with their very own teammates. This benefits not only the students also the teachers by making interest in the subjects which they aspire and leads to achieving their dreams! Communicative skills are also very much important for a student to tackle the situation and act bravely! The looming society is tough than what other generations had! It is because there arises much more competition between young-minded ones! To be Brave and Bold we should learn things at the basic level so that we don't suffer where we shouldn't suffer! Education doesn't deal with only books! It also molds junk clay into a refined student!</t>
  </si>
  <si>
    <t>One can understand THE PAIN of anyone only when they experience,
 I'm a STUDENT!
 I'm a LEADER!
 IF NOT ME THEN WHO?
Small changes bring lots of benefits! Let's change changes to make a change in everyone's life for a better CHANCE that a student whish to CHANGE!</t>
  </si>
  <si>
    <t>https://enpower-school.com/wp-content/uploads/elementor/forms/5fe9c5040ddac.mp4</t>
  </si>
  <si>
    <t>December 28, 2020, 5:14 PM</t>
  </si>
  <si>
    <t>IFT100</t>
  </si>
  <si>
    <t>shourya.ss08@outlook.com</t>
  </si>
  <si>
    <t>7th</t>
  </si>
  <si>
    <t>Students are forced to study all subjects despite their interests. And for languages, they read chapters, rather than focusing on grammar.</t>
  </si>
  <si>
    <t>Students need to study all the subjects despite their interest in a particular one. This diverts their mind during classes. Also, they lose interest in the subjects they used to like before the pressure. This makes them feel bored, and thus they stop paying attention in those few classes which they used to pay attention to earlier. Languages though should not have a choice. But there is still an issue with them. There are more chapters than grammar, and being able to answer questions from a chapter is good, but is not going to help children in the future.</t>
  </si>
  <si>
    <t>This idea, in my opinion, will help both the students and the school. The students will be able to pay more attention in class, and the teacher, would not have to waste the time of the class, just asking the students to pay attention, and scolding them if they do not listen to the teacher. This interest of students in the classes will help them in having a better understanding of the concept, and the school result will also flourish.</t>
  </si>
  <si>
    <t>According to me, this problem is not critical in the early stages but can be fatal for students later in their life, when they will not have enough knowledge about their job, or otherwise as well, if they would not take interest in the work, they would do based on the subjects which had to study. And, that can also cause some serious stress later on, if they feel the burden of being pressurized to study all the subjects whatsoever.</t>
  </si>
  <si>
    <t>The right way to handle this problem is to allow the students to choose the subject that intrigues them even before the stream system starts in class 11. They should be allowed to study only the subjects they like. This will help them as they would not have the burden of the other subjects. The basics of the other subjects should be taught just in case they change their mind later on. And as far as languages are concerned, they should not have a choice in them, but rather, they should be taught the grammar of the language rather than the chapters they are asked to read in class. Reading should be done, but not until Class 10.</t>
  </si>
  <si>
    <t>This will reduce the burden on students, and their stress to study the subjects they find hard, for the exams. Also, the school will be able to pay more attention to the students based on the subjects they choose. Implementing this idea will allow students to relax and do their work. Rather than having to stay up for the work and having to look up google for answers, they are not sure of. Other than that, the teaching of grammar for languages will help the students in the future when they will have to answer questions related to general knowledge and will have to speaking order to reply.</t>
  </si>
  <si>
    <t>Since we are free to express our views/thoughts, it is imperative that ideas from one and all including kids like me should be welcomed. So we have put forward our thoughts in the form of a presentation and would be delighted in case an idea from futuristic minds (our group) is picked and brings a positive change in the education system if implemented.</t>
  </si>
  <si>
    <t>https://enpower-school.com/wp-content/uploads/elementor/forms/5fe6e1331bc98.pdf</t>
  </si>
  <si>
    <t>December 26, 2020, 12:37 PM</t>
  </si>
  <si>
    <t>IFT445</t>
  </si>
  <si>
    <t>shivikasethi31@gmail.com</t>
  </si>
  <si>
    <t>◆paucity of confidence.
◆lack of experience.
◆sensitive brain-leads to difficulty in adapting the real world.
◆lacks managing finances efficiently 
◆no time management skills
◆no value for responsibilities
◆lacks communication skills.</t>
  </si>
  <si>
    <t>specially abled people find it difficult to find a career path for themselves, and they are not treated equally in the society.
Teenagers lack experience and confidence and mostly waste their time.
They don't have equal opportunities  to find paid/unpaid internships</t>
  </si>
  <si>
    <t>we aim to attract specially abled people and teenagers(14+)</t>
  </si>
  <si>
    <t>Because due the covid 19 this time is crucial and it should be used wisely</t>
  </si>
  <si>
    <t>we'll provide jobs to these people by becoming a connection between them and the companies</t>
  </si>
  <si>
    <t>Through our services they only need to register on our website and they don't have to waste their time finding jobs</t>
  </si>
  <si>
    <t>January 3, 2021, 3:12 PM</t>
  </si>
  <si>
    <t>idea is provide a career/job portal for differently abled student ad teenagers. good start but kind of fizzles out towards providing a solution. maybe bootcamp</t>
  </si>
  <si>
    <t>IFT119</t>
  </si>
  <si>
    <t>shivansh.gautam.sg@gmail.com</t>
  </si>
  <si>
    <t>EATDRAI   stands for   Education And Technology Development in Rural Areas of India.
 We are here to solve the biggest problem  of  India  i.e.   illiteracy and the education in rural areas.</t>
  </si>
  <si>
    <t>Around  70%  of  Indian population is currently residing in rural areas.
The most important problem India currently facing in the academic industry is that most of the academic innovations are only aimed to improve urban education while rural education is neglected.</t>
  </si>
  <si>
    <t>The schools in rural India have really poor infrastructure. There is a huge lack of teachers, especially well-trained ones which disturbs the student-teacher ratio extensively. This leads to very poor quality of education being imparted, hardly fulfilling the need of education.</t>
  </si>
  <si>
    <t>Over one-third of Indian population living in rural areas is illiterate even after 68 years of independence, according to the Socio Economic and Caste Census (SECC) 2011.
Rural India Gained 86 Million Illiterate People
This project could have reduced the illiteracy number &amp;  could have provided them with better opportunities.</t>
  </si>
  <si>
    <t>Provide  smart gadgets (tabs , pc’s) to the children in the rural area so that they can learn whenever they want .
The smart gadgets will be installed with a user friendly graphic interface software.
The software provides better user interface and they can personalize their learning for themselves. 
Any queries can be solved by just a single click.</t>
  </si>
  <si>
    <t>This project  can be accessed by everyone but the  people in rural areas will have more privileges.
They can access it by linking it to their aadhar account
Simple and easy to use.
Free internet connection will be provided.
Has room for development and adding more features.
Doubts can be cleared then and there .</t>
  </si>
  <si>
    <t>is trying to develop the rural education by using the ways of urban education but in a simplified way . He was also happy that he could now access to various subjects but in his preferred  language and could personalize the learning  as per his needs . He  was also happy to get his doubt cleared then and there . He also approved  of the user friendly graphic  interface software and the affordable price.</t>
  </si>
  <si>
    <t>https://enpower-school.com/wp-content/uploads/elementor/forms/5fe7fa8075ea4.pptx</t>
  </si>
  <si>
    <t>December 27, 2020, 8:37 AM</t>
  </si>
  <si>
    <t>IFT136</t>
  </si>
  <si>
    <t>shauryasingh242728@gmail.com</t>
  </si>
  <si>
    <t xml:space="preserve">99712 22199 </t>
  </si>
  <si>
    <t>Indian Education works on "One size fits all" concept. Every student has different weakness and strengths. How can we leverage Technology to create solve this problem.</t>
  </si>
  <si>
    <t>As mentioned above, we have common homework, assignment and assessment for every student in a class. It doesn’t take into account that every student has different learning capabilities and also different aspirations. E.g. one student might be weak in English while he excels  in Maths. Also, this student might want to take higher level of mathematics as he is preparing for Olympiad.</t>
  </si>
  <si>
    <t>Main user group of this is the students who will get personalized education. Teachers will also get relieve as our solution will do Auto-grading of homework and assessments. 
Parents will also be benefited as they will get a Dashboard of how their kids are doing subject wise and also if they are doing homework and assignments on time.</t>
  </si>
  <si>
    <t>As per one research, kids in China performed much better and had less errors as compared to Indian kids in real time environment. It shows that Indian kids are used to studying in a fixed format of studying and faces issues with real time problems. Given AI is going to change the future and environment is going to be very different, time has come for students to study focused on their strengths and weakness. E.g. a kid good in computers, can take higher coding assignments to future sharpen his/her skill.</t>
  </si>
  <si>
    <t>AI is going to transform Education in years to come. We will use power of AI to create an Student Assist AI App which will integrate with School’s Learning Management Systems(LMS).
It will create personalize experience for every student. We will start with Maths first and then move on to other subjects. Our system will assign homework to students and will grade that automatically using Natural Language Processing (NLP). Based on the grading, it will create assessments on the topics where students have not performed fairly so that student can focus on weak areas. 
If students want to go to higher level for any subject, it will create level 2 assessments as well for higher level of topics which will prepare them for Olympiads etc. 
Hence students will have focused learning on the areas they want to improve for certain subject and work on higher level as well. Every Student will have personalized learning plan.
Teachers and Parents will also have access to see if how they are doing their homework and assignments. If any student is lagging behind in homework/assignment, then AI will notify them as well. Hence Parents and teachers will know which student is doing and performing in one dashboard for each student.</t>
  </si>
  <si>
    <t>Our Solution is for Students and by Students. Being a Student I understand what our pain points are. We are considered all equals in our capability so there is no personalized studies for us. Having a personalized system will help us in bridging the gaps for our weakness and strengthen our strenghts.</t>
  </si>
  <si>
    <t>I understand what students need and hence we are best equipped to offer this solution.
e.g. I (Shaurya) loves coding and am learning python on my own. My syllabus just has introduction to Python. If my school had option to go to higher level for Python then it would have really helped me. Also, I am preparing for maths Olympiad where level of questions is very high as compared to normal syllabus. So this would have helped me there as well. And I am weak in Hindi. This app would have focused on my weak areas (Vyakaran) and gave me customized assignments for practice. It would have definitely helped me.</t>
  </si>
  <si>
    <t>December 28, 2020, 12:36 PM</t>
  </si>
  <si>
    <t>IFT638</t>
  </si>
  <si>
    <t>sharmaruchira06@gmail.com</t>
  </si>
  <si>
    <t xml:space="preserve">Delhi Public School </t>
  </si>
  <si>
    <t>Problem Statement:
The problem we've chosen to work on is the implementation of all-round education in schools, in India.
Our experience as students has made us realize time and again that the short-comings aren't in what we are taught, but in what is expected of us to be done with the knowledge. A major driving force for us is the fact that students' passion for the 'lesser-lucrative' subjects is crushed in favor of the conventional maths and sciences. Then how do we, as a nation, progress if the youth is not given the liberty to tread the lesser-known water? We want to make sure that the students aren't just academically competent, but also have reasonable physical, mental and social health. This is exactly what education means, to be a complete human being with the right morals and ethics towards life.</t>
  </si>
  <si>
    <t>The All-around education of youth is a salient problem that hinders the growth of our nation and society. The many bared threads in the tapestry have shifted the priority from curiosity and inquisition to rote-learning in the battle for immaculate grades. The way we approach learning needs a profound reflection, in both the education system and how the educational apps are shaped.
Another overlooked aspect to it is the absence of a link between the student, and the resources and guidance they require to take their first step towards realizing their potential.
This is the gap we intend to fill.</t>
  </si>
  <si>
    <t>The 'users' or the Target Audience of our product are the school students of India. We believe that it is the youth, which is capable of deciding the future of a country. So, we want to work for their betterment. The youngsters often look up to their parents and teachers to show them their path to success. But unfortunately, many aren't able to do so because of a lack of resources. So, we want to guide them towards following their passion.</t>
  </si>
  <si>
    <t>We want to create a difference in the mindset of people. Most Indian parents think that their child should only pursue engineering or medical fields. This not only discourages the child to unfollow their passion but also instills in them a lack of creativity, originality and intellect. 
This has halted many child prodigies to excel at what they're destined to. That's why we think that this problem needs to be taken care of. Many other companies have tapped into this problem but yet, none of them has been successful in doing so.</t>
  </si>
  <si>
    <t>Our objective is "Building an application to provide an exposure towards vocational disciplines to Indian students, free of cost." 
We strive to deliver a platform where students can converse with learners of similar interests to prosper together. In the events tab, they can find numerous events and competitions nearby and maybe even stumble upon IFT! 
Based on their interests, they can take quizzes and keep track of their performance. And as curiosity has no limits, in the explore tab they can scour for new knacks. To hone their newfound skills, they can stop by the brainstorming tab. Their endeavours with the app will also earn them terrific badges to keep them motivated. The personalized dashboard will display the silhouette of the app and the profile will showcase their skills and bio (students will have the liberty to publicize their details). Our PPT encompasses all the features of our app.</t>
  </si>
  <si>
    <t>We have witnessed a case where a student of our age was suicidal as he didn't wish to continue his studies. Lack of interest is like a widespread disease among us. We want to help students have a persistent focus and self-confidence. 
Covid 19 has been a harbinger of hardships for students. Many have drifted away from their paths and developed hostile mindsets. To help teens tackle negative thoughts and emotions, they can have a virtual session with a therapist to work on their mental health. Mental health is a serious issue that needs to be undertaken carefully. 
Another prospect is choosing the right career. This is a very crucial decision in every students' life. They can discern several colleges and institutions and colleges and choose the optimum opportunity for themselves by viewing the degrees they provide.</t>
  </si>
  <si>
    <t>We'd like to take a chance here and tell you, we aren't. We aren't the 'best-equipped' out there to execute this idea.
All we know is, this is something that hits home. The redefinition of Education means everything to our present and the future. We're both high-school students. The imprint of what society expects of us is very fresh on our minds and dictates almost everything we do. "For every time we breathe, there could be homework to do instead."
In meme culture, the depressed, sleep-deprived, caffeine-fuelled student has become the most relatable caricature.
But it is legitimately scary how the darkest sides of this exist so widely and openly.
The Kota Factory sheds light on the extremely brutal pressure and atmosphere the students are subjected to. A great many even turning to suicide because, in their lives and themselves, they see no hope.
It is ingrained in the youth early on, to do what it is dictated. Or suffer.
We see this around us, in our peer group. How the exams bring deep hush and silent suffering. How its end is liberation but the process of testing what we've learnt isn't fruitful. Because we see this and we feel this, and we'd do everything that needs be, to change. That is all we offer.</t>
  </si>
  <si>
    <t>https://enpower-school.com/wp-content/uploads/elementor/forms/5ffb4a43100d9.pptx</t>
  </si>
  <si>
    <t>January 11, 2021, 12:11 AM</t>
  </si>
  <si>
    <t>IFT118</t>
  </si>
  <si>
    <t>sejwalkunal2005@gmail.com</t>
  </si>
  <si>
    <t>Many student in the country is the fact that they cannot handle stress and they do suicide.</t>
  </si>
  <si>
    <t>That in turn is because they are subjected to too much mental pressure.</t>
  </si>
  <si>
    <t>Aditi who face mental pressure of her study . I advice her to join Shooting game.</t>
  </si>
  <si>
    <t>Youths are our country future when we save youths we save our country also</t>
  </si>
  <si>
    <t>By making sports compulsory it can be ensured that  all the students indulge in some sort of some physical activity.</t>
  </si>
  <si>
    <t>This will lead to students mind performing better and enable them to grasp their theory lessons well.</t>
  </si>
  <si>
    <t>I want to become a Shooting coach .I take part all shooting championship when I got experience in this game and become a couch I give training to poor student free they can't afford it's fees This problem is need to solution everybody  to pay attention this problem and it solution</t>
  </si>
  <si>
    <t>https://enpower-school.com/wp-content/uploads/elementor/forms/5fe7823624583.jpg</t>
  </si>
  <si>
    <t>December 27, 2020, 12:04 AM</t>
  </si>
  <si>
    <t>really like the idea of introduction of competetive sports at school level. would love to discuss</t>
  </si>
  <si>
    <t>IFT204</t>
  </si>
  <si>
    <t>seema91647@gmail.com</t>
  </si>
  <si>
    <t>As we all know that our country is facing a lot of problems in education so we should do something to improve it. Because every child has the right to be educated.</t>
  </si>
  <si>
    <t>The children living in the rural or undeveloped areas their parents just force them to work at a very early age and don't allow them to study.so I want to do something for that children.</t>
  </si>
  <si>
    <t>This idea most significant for the children of rural areas ir the undeveloped areas where can't afford education.</t>
  </si>
  <si>
    <t>I believe that this problem is critical and needs an urgent solution because children are our future if they wont study then how we can think of a a prosperous future for our country.</t>
  </si>
  <si>
    <t>My solution for this problem is that we can arrange speakers in every corner of the streets in the village and the hub of that speakers should be in a booth so that teachers can come speak  and can teach the students their lessons even children can also sit at their homes or on the street and learn , make notes etc.</t>
  </si>
  <si>
    <t>In this way instead of coming to school children can learn at their homes and their works itself.this will help them to study hard and fast with out any interruption of their parents.</t>
  </si>
  <si>
    <t>Because i have seen small young children shattering their future and coming to work but not study so that's why I thought why they could not just hear and study nevermind where they are.</t>
  </si>
  <si>
    <t>https://enpower-school.com/wp-content/uploads/elementor/forms/5fec0313d1daf.mp3</t>
  </si>
  <si>
    <t>December 30, 2020, 10:03 AM</t>
  </si>
  <si>
    <t>IFT548</t>
  </si>
  <si>
    <t>sathlokhar.jmd@gmail.com</t>
  </si>
  <si>
    <t>HARSHITAA</t>
  </si>
  <si>
    <t>THIYAGU</t>
  </si>
  <si>
    <t>LALAJI MEMORIAL OMEGA INTERNATIONAL SCHOOL</t>
  </si>
  <si>
    <t>Students of grade 9,10,11 and 12 are facing a major issue in attending practical classes due to the current pandemic situation because of which they LACK PRACTICAL EXPOSURE TO  LABORATORIES. With an understanding of the laboratory, when they are asked to take up their board practical exam they will be under a fix. It would be a time-consuming process for them to understand various acids, salts and equipment used for their analysis especially in a chemistry lab. And it is not only writing the test they should learn and understand why the colour is changing, what acid that is, what is its nature…</t>
  </si>
  <si>
    <t>Students of grade 9,10,11 and 12 are facing this problem. They may not be able to understand a topic in chemistry because Chemistry, the science that deals with the properties, composition, and structure of substances (defined as elements and compounds), the transformations they undergo, and the energy that is released or absorbed during these processes so they should see the changes visually so they can understand the topic. In online class for board exams students find it difficult to do it at home because they might not have necessary equipment and if they don't understand the topic, they may not be able to perform the experiment properly.</t>
  </si>
  <si>
    <t>Students of grade 9,10,11 and 12 are facing this problem</t>
  </si>
  <si>
    <t>It needs an urgent solution because the board exams are nearing and students need some practical exposure to the laboratory. And if they use this app, they may get some practical exposure because it is just like the lab. The student  needs to type the names of equipment and the student will get it.</t>
  </si>
  <si>
    <t>We are making an app that will help the students to perform experiments just like a laboratory. It is an app that helps the students to practice for their exams and let them do the test. This app helps the student to find out the mistake in the experiment, shows the procedure of the experiment and analyses why it is wrong and do the experiment again. The student will be able to ask doubts about the experiment and the students will know extra detail about that. It includes the complete procedure of the experiments. So whatever u do physically in a lab u can do it in the app through a virtual medium. Illustration process and salt analysis will be included in the app in a step by step procedure which is very important from their examination point of view. If they miss out the steps, then they might lose marks for</t>
  </si>
  <si>
    <t>Our app helps the student to understand the experiments in a virtual medium and also enables them to perform the experiments using the app which helps to perform well in their board exams.
The user will benefit from the practice sessions example there will be a procedure how to do the experiment and it will allow the user to do the experiment.</t>
  </si>
  <si>
    <t>Our brothers and sisters who are studying in higher grades( example 9,10,11 and 12) are not able to feel the experiments done in the subject chemistry .Physics has apps that the students will learn and understand but chemistry doesn't have any apps  to support learning .Chemistry, the science that deals with the properties, composition, and structure of substances (defined as elements and compounds), the transformations they undergo, and the energy that is released or absorbed during these processes so they should see the changes visually so they can understand the topic</t>
  </si>
  <si>
    <t>https://enpower-school.com/wp-content/uploads/elementor/forms/5ff6dcbc19135.pptx</t>
  </si>
  <si>
    <t>January 7, 2021, 3:34 PM</t>
  </si>
  <si>
    <t>IFT161</t>
  </si>
  <si>
    <t>sarvataman123@outlook.com</t>
  </si>
  <si>
    <t>The problem we are solving are the problems of the virtual classes. We know that due to the covid-19 pandemic we cannot go out and do physical classes, instead we are doing virtual classes. Everything comes with its benefits and problems. The benefits of online classes are many, but discipline etc. is a major issue in online classes. We don't know how long the covid-19 pandemic will be there, but till the schools open we have to stick with online classes.</t>
  </si>
  <si>
    <t>The problems of online classes are as follows:-
1.) Student bunk there classes.
2.) Student don't give answers
3.) Student do some other things and don't pay attention in class
4.) Students cheat during exams
5.) Teachers struggle to explain the concepts to the students, due to less available tools</t>
  </si>
  <si>
    <t>We are trying to solve the problems of the teachers, who are taking virtual class during covid-19 pandemic. They face a lot of problems during the online classes.</t>
  </si>
  <si>
    <t>We believe this problem is critical and needs an urgent solution because we don't know how long this pandemic will stay nor do we know that how many days later the schools will open. Also, many people are saying that even after the pandemic the schools will be virtual. If this happens, then we need to fix the problems of the virtual classes as quickly as possible because, if the students will not pay attention, they won't learn anything and the students will suffer later on.</t>
  </si>
  <si>
    <t>Our solution is a app which will have the following features to help the teachers-:
Teachers can see if the students are in the app or not and if they are not they can block that student from class and a direct complaint will be sent to parents via the same app about students. The Teachers will have all the apps in it to make a nice presentation to make it interesting for students.Teachers can conduct tests in the same app and check if the child is cheating. Students have to ask permission from the teacher to turn off their video or audio and the teachers can unmute students to make them answer.If any child bunks any class, the parent will get a notification regarding the attendance.Students cannot leave or join on their wish, if the teacher joins, then the join button will come.</t>
  </si>
  <si>
    <t>It gives benefit to the users(Teachers), as it will help them to teach students and maintain discipline in the online classes. It will also help the teacher to focus more on studies and teaching than on trying to maintain discipline in the online classes.</t>
  </si>
  <si>
    <t>We think we are the best equipped to offer this solution because, we are students and we see teachers struggling to make discipline everyday in the online classes. We know exactly what are there problems. That's why we think we are the best equipped to give this solution.</t>
  </si>
  <si>
    <t>https://enpower-school.com/wp-content/uploads/elementor/forms/5fead8877344f.pptx</t>
  </si>
  <si>
    <t>December 29, 2020, 12:49 PM</t>
  </si>
  <si>
    <t>IFT141</t>
  </si>
  <si>
    <t>santhoshalaxmi@gmail.com</t>
  </si>
  <si>
    <t>Surisetty</t>
  </si>
  <si>
    <t>Nityasree</t>
  </si>
  <si>
    <t>The problem is education in the digital era. So I would like to give ideas to overcome them.</t>
  </si>
  <si>
    <t>The problems in online classes are-
Lack of Connection
Limited Instruction Options
Response from students
Accountability</t>
  </si>
  <si>
    <t>Online education encompasses a tremendous number of topics, subject areas, disciplines, and degree programs. In its broadest terms, online education simply means acquiring knowledge through the use of instruction provided via the internet.</t>
  </si>
  <si>
    <t>Already a lot of students have faced many problems. Teaching through these systems is hard for teachers. Understanding is hard for students. Many poor children who don't have these facilities should be at home bored?</t>
  </si>
  <si>
    <t>Poor children should be given free devices with wifi connection.
And for those who already these-
Education systems should have interactive 3D systems.
A new way of exams with more practical hands-on
Freedom to select the choice of subjects.
Anytime interactive support for classification which can be A.I or remote manual support
Collaboration with other students.(Platform to discuss with other students)
Language should not be a barrier.
Education systems should focus on social awareness, individual sustainability.
Reward- based education portal which motivates students and reduces dependency on parents earnings
Senior students too can teach the juniors.
Students can choose their mentors.(Not only teachers)
Ration systems for senior mentors.</t>
  </si>
  <si>
    <t>It will give a lot of benefits to every teacher and student. Rather than the earlier system, this system would be the best and easy to handle.</t>
  </si>
  <si>
    <t>Because I guess these are the best ways to improve the current system. Though there can be many ways, According to me these are sufficient to me.</t>
  </si>
  <si>
    <t>https://enpower-school.com/wp-content/uploads/elementor/forms/5fe9c6065d814.pptx</t>
  </si>
  <si>
    <t>December 28, 2020, 5:18 PM</t>
  </si>
  <si>
    <t>IFT370</t>
  </si>
  <si>
    <t>sansoham01@gmail.com</t>
  </si>
  <si>
    <t>In today's new normal, where schools are closed and students are stuck at home, online education seems the only way to reach out to the students. In the cities, Alma maters have already started tutoring thier pupils through different online platforms like Zoom meeting, Google meet etc.</t>
  </si>
  <si>
    <t>But the problem is that-
1. Children studying through this way have to spend a lot of screen-time, mostly through Smartphones, Laptop or tablets. We all know that spending time on electronic gadgets is harmful for our eyes and this indeed  will affect the small aged students.
2. Its known that online education is costly. Owning electronic gadgets and having a good internet is really a problem for the poorer middle class families. This new style of reaching out to the students is really depriving the under-previleged kids from education.</t>
  </si>
  <si>
    <t>Using electronic gadgets for a long time is actually a problem for all the students. May it be the College students, the primary students or the teenagers, spending a lot of screen-time on electronic gadgets is harmful for all. It affects our eyesight and also our health.
And secondly the cost to support online education is really a matter to worry for the poorer sections of society.</t>
  </si>
  <si>
    <t>All know that compromising with health issues is next to foolishness. This problem has already started to   affect the  the learners as they are the victims of eye stress and health related issues.
The under-previleged kids are affected as they are lacking in studies because they are unable to afford online education.If we don't address their problems quickly they would be lagging behind in studies in comparison to the city students. It would be a grave sin if we don't do anything soon.</t>
  </si>
  <si>
    <t>I have a unique solution.
We would release Podcasts. It will have episodes on different Subjects and and Chapter on the basis of various topics. We would record the elaboration and explanation of the important topics from the best and top teachers. There will a large variety of Podcasts from different publishers, authors, professors etc. It will be also be available on different languages. They will be 100% equivalent to books and  present at low level of cost.</t>
  </si>
  <si>
    <t>1. Learners can listen to the Podcasts anywhere and at anytime. As they will be listening there won't be any eye stress and health issues. Learners don't have sit continuously infront of the device for hours and so this process will be much more productive and efficient.
Doubt clearance won't be a matter as students can repeat the same record a million times.
2. For the under-previleged kids the hardcopies will available at a very low and resonable prices. If want to download through internet, it don't require a permanent network connection. A one time internet pack would be enough. Sharing can also be done as many students at once can learn collectively.</t>
  </si>
  <si>
    <t>I ,myself, am a student of Tenth standard who is currently learning by this face to face online education process and moreover I were spectacles so I am very known to this problem and am fully equipped to offer the solution.</t>
  </si>
  <si>
    <t>December 31, 2020, 7:51 PM</t>
  </si>
  <si>
    <t>https://enpower-school.com/ld-profile/?profiletab=main</t>
  </si>
  <si>
    <t>The idea is to introduce podcasts and upload notes and lectures. The are also speaking about the problem of the poor kids not able to afford the gadgets. Podcasts is also an expensive gadget and once the school is physically opened it wont be of much use.</t>
  </si>
  <si>
    <t>IFT624</t>
  </si>
  <si>
    <t>sanjayviswa11@gmail.com</t>
  </si>
  <si>
    <t>An Normal Child will be able to attend their class during a pandemic using online mode whereas Deaf or Visually challenged child will not be able to access that, So have done a research and found that there is no existing solution for this problem. I am addressing this problem which is most needed in the current situation.</t>
  </si>
  <si>
    <t>Deaf or Visually challenged child cannot See or Hear the online mode of education, which will not suit them. Which is a serious problem that they will loose the education for the full academic year. Education is about learning skills and knowledge. So make every child get the required education I have chosen this problem.</t>
  </si>
  <si>
    <t>The main people who is getting benefitted is Deaf and Visually challenged children. This solution provides universal education to all age group children.</t>
  </si>
  <si>
    <t>Yes I believe that this is a critical and needs an urgent solution because Education is something which cannot be achieved in 2 or 3 days, It is a lifetime process. So each and every minute is needed for every child in a positive way.</t>
  </si>
  <si>
    <t>I have planned to Develop a app and create a Digi TPad. This app is a Student-Teacher interface where all the Learning resources can be uploaded. This Digi TPad will be in the form of pad which provides information to dumb person by braille system and for visually challenged person this pad provides sound and can be feeled by image(3D way) in the Digi TPad. This Digi TPad and the app will be connected by Bluetooth.</t>
  </si>
  <si>
    <t>My solution is user-friendly so that the child can easily handled by the disabled child. My solution also                 helps to increase mental health of the child as the Challenged child will get some confidence that they can study anytime anywhere.</t>
  </si>
  <si>
    <t>I think my solution is best equipped because;
*User Friendly
*Cost Efficient
*increases Mental health
*Provides education to physically challenged child 
*Any time anywhere Education.</t>
  </si>
  <si>
    <t>https://enpower-school.com/wp-content/uploads/elementor/forms/5ffb34ab62b72.pdf</t>
  </si>
  <si>
    <t>January 10, 2021, 10:39 PM</t>
  </si>
  <si>
    <t>IFT605</t>
  </si>
  <si>
    <t>sangeetamaikhuri@gmail.com</t>
  </si>
  <si>
    <t xml:space="preserve">D.A.V. Public School, Pushpanjali Enclave
</t>
  </si>
  <si>
    <t>The Covid period was not easy for anyone on this planet. With the end of the year, most of the things have gained their normal pace but education has undergone a revolution. But this change was most difficult to be adopted by a teacher. 
And even when a traditional teacher shifts her mode and knowledge online, then also she is unable to monitor students during the class as well as the exams. So being students, it's very important that we help our teachers to fit in this wave of change and help them overcome their pain from “work from home - work from online”.</t>
  </si>
  <si>
    <t>In virtual teaching, teachers face many problems. During online exams, they have problems in checking the answer sheets in PDF formats with varied handwritings. It becomes difficult to check the sheets with virtual pen. 
It is also a problem whether students give their exams honestly or they copy answers from any online search engines or from their friends. 
The bunking of classes keeping their mic on results in degradation in student’s performance as well as disturbs the whole class. 
All these problems faced by the teachers make them frustrated which may lead to health problems. This slows down the pace of the whole class as well as of the syllabus.</t>
  </si>
  <si>
    <t>Teachers(our second parents) are the user group defined by us. Our main aim is to solve the problems faced by them during day-to-day online lectures or during the exams or while assessing their exams. This problem can also be associated with one of the 17 sustainable development goals i.e. “Quality Education For all”. If the teachers are not able to teach in their own comfort zone, they won’t be able to share their knowledge and thus no vital education for kids.</t>
  </si>
  <si>
    <t>When people will go on exploring new resources, they bring on something which may or may not be vital for the human race. So, we need to be prepared for the upcoming terror. The new normal will not be the same as the past. So to move into the new definition of normal, we need to come up with futurists and idealists who can make this normal more appealing for people to live in.
We as students(futurists) want to resolve these problems for our teachers as they are the ones who would be guiding the future. If we do not get an urgent solution to this, then the education system will be disturbed.
The sooner as to prepare an ideal solution for these problems, the faster educators will get a better environment to give education to their students.</t>
  </si>
  <si>
    <t>The solution is to build a program which will be a helping partner of our teachers. The program will be able to check the answer sheet PDFs, uploaded by students to this program by a link provided and then this program will check their answer sheets and store the record in a virtual library. The program will then send the marks directly to the students.
This program will have the ability to track whether the student is attending the class or he/she has just joined and went away.
In online exams cheating happens quite frequently. To stop that, our program will keep the camera on and it will track student’s eye and face movement activity so that if the child will try to see somewhere else except the Question paper and their answer sheet, the program will notify the invigilator because its very difficult to monitor activity of 50 students at a time.</t>
  </si>
  <si>
    <t>The software will be of unique help to the educators. It will help them to teach and assess the students without any hustle. Though many apps provide features of checking and all but our  program/software provides everything at one place which increases efficiency. 
Using Artificial Intelligence, the checking of handwritten papers as well as forms will be made easy. Even during the examination, the software will ensure that the student is honestly giving the exam and not using unfair means.
If the program becomes successful, soon we will provide features of everyday use such as auto switch on/off of mic, assignment submission, Auto generated question bank, etc.</t>
  </si>
  <si>
    <t>Students are ones that are most connected to teachers. So we can understand what issues our teachers are facing. We are Science stream students which enable us to understand technical terms and follow them. Our scientific aptitude allows us to develop our app on our own and in future operate it as a startup. Our parents are teachers which help us to realise the real time problems of teachers and think of the most feasible and appropriate solution for that.
So all this enables us to provide this solution.</t>
  </si>
  <si>
    <t>https://enpower-school.com/wp-content/uploads/elementor/forms/5ff95369de6b7.mp4</t>
  </si>
  <si>
    <t>January 9, 2021, 12:25 PM</t>
  </si>
  <si>
    <t>IFT503</t>
  </si>
  <si>
    <t>sandhyasrivastava088@gmail.com</t>
  </si>
  <si>
    <t>Trees are being cut in masses to produce paper which is a path to global warming.
Bags of school kids become too heavy.
One needs to maintain many text books to write a large content or syllabus</t>
  </si>
  <si>
    <t>Millions of trees are cut to produce paper
School kids and their parents face a problem of carrying heavy bags
Anything written with a pen on a paper cannot be rectified</t>
  </si>
  <si>
    <t>School / college going students and even work professionals who need pen and paper to write their work</t>
  </si>
  <si>
    <t>Stopping the cutting of trees is the first thing to do.
Bags of kids need to be light waited to make them feel less exhausted and so to improve their efficiency.</t>
  </si>
  <si>
    <t>A simple solution to thus heavy problem is using e-textbooks</t>
  </si>
  <si>
    <t>Using e textbooks will reduce the use of paper and hence will conserve trees.
Kids no longer need to carry heavy bag because one e-textbook can save a use amount of data.
moreover usage of etextbooks is more convenient than using pen and paper as it provides certain inbuilt tools for the user
Additional e e text books are easily portable</t>
  </si>
  <si>
    <t>I am a science student who is interested in coding and certain other stuffs.
I also have good business knowledge and still learning more...</t>
  </si>
  <si>
    <t>January 6, 2021, 10:41 AM</t>
  </si>
  <si>
    <t>IFT157</t>
  </si>
  <si>
    <t>sanchitfzr5@gmail.com</t>
  </si>
  <si>
    <t>As we all know that we are passing through a crucial time period   and there is no chance that we can see to end this situation  but preventive measures should be taken to prevent any chance of critical situation. In our country there are many patients of  COVID 19 and when these patients are curesin place of these patients  some new patients are send to their place to quarantine them and when these patients are cured their room is well arranged and sanitized by humans in PPE kits but still they have a risk of   COVID 19 . In many offices like passport seva Kendra , banks etc visitors  visit  and  we do not know who is covid 19 positive or not  the officers working in offices make themselves safe from these  people by keeping them at distance , wearing face shield etc but what about the other people visiting. If they come in contact with any sick person in office they will also be sick so sanitization and disinfecting is the best way to prevent any type of illness.</t>
  </si>
  <si>
    <t>In our country a new virrus has also discovered and covid is also increasing day by day . so where these covid patients are quarantined it needs to be well sanitised . For this purpose the management hires person to santise and there is a lot many risk to these hired people of catching covid. If there rooms are not sanitised then there can be some more diseases also . so sanitisation is also important . In the public places like banks post offices , corier services etc there are many patients roaming so roads to be well sanitised .</t>
  </si>
  <si>
    <t>I am solving the problem and risk of the whole population . If the covid patient is roaming here and there then there is a risk of catching covid for everyone. It is mainly solving the problem of hospitals  in which there are special persons hired for this problem. It is also solving the problem of muncipal corporation in which they have to manually clean the roads manually.</t>
  </si>
  <si>
    <t>Yes this problem is critical and needs urjent solution. Because without sanitisation everywhere there will be dirty surroundings and there will be a lots of disaseas other than covid. If the covid patients quarantine places are not sanitised than in the air covid will enter and can effect many persons . So sanitisation is the first point to cure a disease.</t>
  </si>
  <si>
    <t>Solution of this problem    
we have made a prototype of our  solution to this problem ie BLUETOOTH CONTROLLED FLOOR  DISINFECTING AND CLEANING ROBOT. This robot is controlled by our smartphone  . by sitting outside the room we can sanitize and disinfect by using  our smartphone .we have programmed an app to give command to robot . in offices the controller can sit in his cabin and sanitise the whole office by his any android gadget .this robot takes command from devise and move and disinfects every single thing.  it has a range of about 22.5 m. It also have a mop and a vacuum cleaner .</t>
  </si>
  <si>
    <t>THERE will not be a risk of catching coviid . The places will be well sterlised , pure and sanitised . It will avoid covid entring into the air and it can be controlled any where as it is controoled by a phone laptop or tablet.It requares less human efforts . Just humans have to plug it into the   electricity to charge .</t>
  </si>
  <si>
    <t>I many public places this technology is used but it is controlled by humans like they are driving a car . but This  model robot can be operated from anywhere or we can fit GPS. its onroad price estimated is 10 000 rupees . IT is sustanable and a great use of technology .</t>
  </si>
  <si>
    <t>https://enpower-school.com/wp-content/uploads/elementor/forms/5feab89f8bac1.docx</t>
  </si>
  <si>
    <t>December 29, 2020, 10:33 AM</t>
  </si>
  <si>
    <t>IFT363</t>
  </si>
  <si>
    <t>sanchita.gupta2405@gmail.com</t>
  </si>
  <si>
    <t>Students finish high school and start adulthood without knowing how to create a budget, balance a checkbook, read bank statements or plan for saving. They often say they’re interested in investing, but they don’t know how the stock market works.Youth depression is getting worse every year and 80 percent of depressed teens receive little or no treatment.Students finish school and enter the workplace with no idea how to behave in a professional setting.</t>
  </si>
  <si>
    <t>The skills which are missing in our education system are disaster management,basic medical knowledge, communication,budget planning,financial responsibility etc.</t>
  </si>
  <si>
    <t>The user group whose problem we are attempting to solve is the  STUDENTS. Schools teach us a lot of things but it fails to teach some of the things which become extremely important once a child gets in a real world such as financial responsibilities and investments, how to think logically–retaining information and not merely temporarily memorizing information, and how to apply such abilities to real-world scenarios (which are bound to occur).</t>
  </si>
  <si>
    <t>Generally, the adults do not realise how important it is to teach such skills to the students from a younger age only. They tend to ignore it , hoping the school might team them. But unfortunately, schools also do not give pressure to such things.Schools might arrange a activity or two regarding the same ,but  continous instructions and guidance to students in such matters ,still lacks. OUR solution gives students the chance to acquire these important skills of Communication,financial responsibility. budget planning,knowing about ones rights from a earlier age only and in a continous and guided manner.</t>
  </si>
  <si>
    <t>Our Company (Street Smarts) aims to teach the students of all age groups these important life skills in a well organised, trained and planned manner. We will set up a public company of trained personnel to teach students such skills and set them on the right path. We will also be providing them with potential internships, mental / career counselling sessions.</t>
  </si>
  <si>
    <t>Practical knowledge is knowledge that is aquired by day to day hands on experiences.It is very much based on real life endeavours and tasks. Most schools does provide practical exposure through competitions or other activities.But those happens rarely and once a month and merely some students participate in them.Practical knowledge is a more wider concept and not restricted to subject based activities.</t>
  </si>
  <si>
    <t>We think that we are best equipped to provide this solution to students is because we ourselves are STUDENTS ( learners). We understand the void of such skills in our lives and how they can thrive us at a better path. Because, being students we are the closest to the education system of our country and knows certainly what it lacks.</t>
  </si>
  <si>
    <t>https://enpower-school.com/wp-content/uploads/elementor/forms/5fedd1885a99f.pptx</t>
  </si>
  <si>
    <t>December 31, 2020, 6:56 PM</t>
  </si>
  <si>
    <t>It's an amazing idea of teaching students practical knowledge, counselling, banking, tax and many more knowledge. They also wants students to experience internships at young age and help companies. Only thing is they have bery high budget and want to open Public limited company, we need to work on this startegy with them.</t>
  </si>
  <si>
    <t>IFT424</t>
  </si>
  <si>
    <t>sajidakabir07@gmail.com</t>
  </si>
  <si>
    <t>Experienced since childhood, I wanted to change this habit of the teachers. Teachers are supposed to know what they are teaching plus, should also have the knowledge of studies out of the syllabus. This will be helpful in clearing doubts of multiple students which come up in their minds when a lesson is taught to them.</t>
  </si>
  <si>
    <t>When students ask anything which is in their minds, teachers should be able to answer them. And as a result, they should know things of outer syllabus, not only what is there in the book.</t>
  </si>
  <si>
    <t>Most of the children in schools, including my elder sister face the same problem. When asking doubts, teachers are not able to answer them correctly and thus, children are left with more doubts.</t>
  </si>
  <si>
    <t>Children in doubt need answers for their questions. When teachers are the ones not able to answer them, then where are they going to clear the questions?
This, this is a critical problem and needs an urgent solution.</t>
  </si>
  <si>
    <t>There is only one person who can solve this and they are the teachers themselves. Learning new things and having the knowledge about studies related to the subjects can be the solution to this increasing problem.</t>
  </si>
  <si>
    <t>The solution will in return, help the students of course. Curious students who always have questions in their mind will benefit a lot by solving this problem.</t>
  </si>
  <si>
    <t>It is the teachers who can solve this problem. As a curious student, I too have asked various doubts to my teachers, but unfortunately they didn't know the correct answers. So, I humbly request all the teachers to have the needed knowledge of subjects related to them, not only from the specific syllabus but also outer knowledge which help them to solve problems of students and they will have more interesting classes than ever before.</t>
  </si>
  <si>
    <t>January 1, 2021, 9:31 AM</t>
  </si>
  <si>
    <t>disqualified- no idea here. more of a request to the teachers to respond to the students questions</t>
  </si>
  <si>
    <t>IFT504</t>
  </si>
  <si>
    <t>sajanpreet9189@gmail.com</t>
  </si>
  <si>
    <t>The students are having to study through their online classes but they are not able to understand what the teacher is trying to communicate also they end up not paying attention to their studies because of this. So we're trying to devise a alternative to the online sessions</t>
  </si>
  <si>
    <t>The time of the COVID-19 goes on and students have to follow a new routine of Online classes. These online sessions are not so effective for the students. They have to face lots of issues like, not being able to fully understand the concepts and ace their studies either due to network issues on his/her or the teacher's side. The online classes are very poor in communicating with the students they just do not get the feel that they are in a classroom rather they feel a bit off; and end up not paying attention to their studies due to it.</t>
  </si>
  <si>
    <t>We're trying to ease the pain faced by the students and the teachers due to online classes.
For the students: we're trying to make the classes more intuitive.
For the teachers: we're trying to reduce the gear needed, allow them to focus on teaching with the help of some extra features.</t>
  </si>
  <si>
    <t>As education is one of the most important aspects of life, and if the students are not able to ace their concepts in schools and other educational institutions, they will face many problems in life. Also the online education market has already proved it's worth this could be a good business opportunity.</t>
  </si>
  <si>
    <t>Something has to be created which offers the time savings of ‘online classes’ and the collaborative nature of ‘school learning’, students need to be provided with the feel of the classroom within the comforts of their homes and Virtual Reality makes this possible.</t>
  </si>
  <si>
    <t>Virtual Reality makes the online classes more intuitive.
Low network requirements with comparison of other virtual reality classrooms.         
People living in low-range areas can use the product efficiently.
OS independent.
No need of high-speed processors or costly VR headsets as the headset used will just have lenses and a phone inside and no circuit.
Also the extra features (mentioned in the attached in the proposal) will help the teachers</t>
  </si>
  <si>
    <t>Because we are students, and we have hands-on experience with the online classes, so we know where the improvement are needed.
                                                                           So we can design a solution that is best suited for the students.</t>
  </si>
  <si>
    <t>https://enpower-school.com/wp-content/uploads/elementor/forms/5ff5630dc2cea.docx</t>
  </si>
  <si>
    <t>January 6, 2021, 12:43 PM</t>
  </si>
  <si>
    <t>IFT279</t>
  </si>
  <si>
    <t>saitejasamala.77@gmail.com</t>
  </si>
  <si>
    <t>Students face a lot of problems trying to understand concepts and reach out to teachers during online classes.</t>
  </si>
  <si>
    <t>During physical classes, the teachers were able to estimate how much the students understood by observing their facial expressions. However, it is not the same with online classes. Teachers are unable to maintain a face to face interaction with students leading to various doubts and confusion. Students are also unable to find the right material over the internet which could possibly solve their doubts. This in turn is leading to low self-esteem and self-confidence. Students belonging to rural backgrounds are also facing the same issues or even more due to their lack of exposure to the internet.</t>
  </si>
  <si>
    <t>The user group whose problems I am attempting to solve are students. Students are one of the most affected people in this pandemic as they are unable to focus on their studies due to various reasons like distractions, lack of proper facilities, financial problems, etc. All these factors are resulting in a decrease in their grades which in turn leads to low self-esteem and self-confidence gradually leading them into depression.</t>
  </si>
  <si>
    <t>This is very critical and urgent as the academic year of many students could go in vain without immediate action. Students stopped paying attention to classes and are being depressed by the fact that they are unable to catch up with the rest of the class. Apart from this, the approaching exams are further pressurizing the students. And when it comes to students belonging to rural areas they face further problems like lack of proper internet access, lack of knowledge about the internet etc.</t>
  </si>
  <si>
    <t>The schools can introduce E-portals. These E-portals will be given to the students with their individual credentials. This E-portal will store all the info about the student who logged in including their personal details, academic performance, etc. Apart from this the portal will also contain a section where teachers can embed various conceptual videos, notes, articles, mock tests etc of each chapter specifically which are available over the internet in the form of QR codes or links. This way the students can use these videos and articles whenever they have any doubt regarding any concept and get them clarified. Apart from this the portal will also contain contact of every teacher of each subject or have an online chat room so that the students can be in touch with their teachers anytime. Parents can also have access to their child’s performance regularly and also reach out to their teachers anytime.</t>
  </si>
  <si>
    <t>With the help of these E-Portals students can easily access numerous articles, conceptual videos etc with a click and get their doubts solved immediately. This way students will be able to have a broader understanding about the concepts and will be on par with the rest of the class whenever they feel they are lacking behind. Students will now be more confident about their performance and feel motivated. Due to the availability of teacher’s contact and online chat rooms, students can reach out to teachers anytime without hesitation and develop a great student-teacher bond between them. The fact that these portals will be very easy to use, even students belonging to rural background will have a chance to expose themselves to the world of internet and be more familiar with it. It will also give them a great boost in terms of academics and morale.</t>
  </si>
  <si>
    <t>I feel I am best equipped to offer this solution because I am a student myself. I faced all the problems I mentioned above therefore I have a wider understanding about what the appropriate solution can be, because when we look at it in a different perspective, the solution I provided is something I wish I had access to myself. The E-Portals would have reduced the burden I had along with the struggle I faced gathering the right material to understand the concepts better. Through the E-Portal I feel that I not only solve my own problems but those of thousands of other students who go through the same struggle.</t>
  </si>
  <si>
    <t>December 30, 2020, 9:00 PM</t>
  </si>
  <si>
    <t>IFT374</t>
  </si>
  <si>
    <t>saikarthikthota@hotmail.com</t>
  </si>
  <si>
    <t>in our school we are having a problem of turning on all our webcams at a time.</t>
  </si>
  <si>
    <t>we cant turn on all the webcams together.if we turn on all together,the server crashes.</t>
  </si>
  <si>
    <t>student group</t>
  </si>
  <si>
    <t>this problem requires an urgent solution because if we cant turn on our webcams during the exam time,the teacher cant find wheatherwe are giving a fair test or not.</t>
  </si>
  <si>
    <t>my solution is:we should improve the server capacity so that we can all turn on our webcams together and the teacher can get to know wheather we are attentive and giving a fair test during the test.</t>
  </si>
  <si>
    <t>it gives a distinct benefit to the user to reduce the pain.because if we can all turn on our cameras,we can show what we are doing and that we are attending a fair test.</t>
  </si>
  <si>
    <t>i dont think iam the best equipped person to offer this solution.because iam just a person who is just giving simple solution for this problem</t>
  </si>
  <si>
    <t>December 31, 2020, 8:16 PM</t>
  </si>
  <si>
    <t>to increase server capacity but how not explained</t>
  </si>
  <si>
    <t>IFT127</t>
  </si>
  <si>
    <t>saatvik.negi2006@gmail.com</t>
  </si>
  <si>
    <t>Our education is based upon learning, but as we all know practice makes a man perfect. This should be changed and more attention should be given to practical studies.
What we are taught in school is irrelevant to the job - market. We need our schools to have classes for professions and more. This will help the students get good exposure to the world.</t>
  </si>
  <si>
    <t>We are attempting to solve the problems of the students of the country, while providing an innovative, up to mark solution for the same.</t>
  </si>
  <si>
    <t>We believe that this problem is critical and needs an urgent solution because it has been faced by every student. In this dynamically changing world, we need these solutions for the betterment of the students.</t>
  </si>
  <si>
    <t>Our solution, simply, is to introduce practical ways of teaching and methods in studying in the schools. Classes and workshops on profession held by professionals should be introduced also. Practical methods and job – market knowledge will provide good exposure to the students.</t>
  </si>
  <si>
    <t>https://enpower-school.com/wp-content/uploads/elementor/forms/5fe89ac70d5a5.pptx</t>
  </si>
  <si>
    <t>December 27, 2020, 8:01 PM</t>
  </si>
  <si>
    <t>IFT083</t>
  </si>
  <si>
    <t>saara.aamir.h@gmail.com</t>
  </si>
  <si>
    <t>Lack of Vocational training in School: India has 47 million youth of secondary and higher secondary school-going age dropping out of school, according to a report by the Montreal-based UNESCO Institute for Statistics and Global Education Monitoring. These dropouts have only memorized few things that they have learnt in their school curriculum. I am afraid that they have hardly learnt anything in schools which is going to help them in earning their livelihood. As per Professor David Perkins, 98% of things are never really utilized in a student’s life! Most of the things that are taught don’t help in the student’s profession.</t>
  </si>
  <si>
    <t>Studies show that only 25.8% of students go to colleges. We believe poverty and unemployment can be eradicated by good education. If a person gets a good education, they get a job and thus prosper. Therefore, getting proper education is a must for a developing nation. Hence we need to impart vocational training in schools which will help them in their lives. Even meager strong communication skills in English and elementary behavioral training is going to land them a decently paying job in BPOs/Call centres and Great Indian Retail Industry.</t>
  </si>
  <si>
    <t>We are trying to help the Lower and Lower middle class students. As they are the future of India.</t>
  </si>
  <si>
    <t>We believe this problem is critical as education is very important for a developing country and most of the Indians are literate but poor. We believe that the education policies are to blame since our system produces Implementers and Executioners rather than being entrepreneurs. Those people who have got success in life also doesn’t know how to invest their money and grow it for future security</t>
  </si>
  <si>
    <t>We believe that giving each student personalized vocational training in their preferred field after basic education (i.e. 10th grade) would prepare students to master their fields. Thus, not becoming ‘jacks of all but masters of none’  but, ‘masters of one’. Also recommended additions is to “Entrepreneurship” and “Personal Finance” which will help students to generate employment on their own as well as be prudent with their financial health in future.</t>
  </si>
  <si>
    <t>We believe that this would help student master one specific filed which is going to help them earn their livelihood thus also reducing unemployment in India. Thus helping India in becoming an economic super power.</t>
  </si>
  <si>
    <t>We think we are best equipped to offer a solution to this critical situation as we are students ourselves and understand the needs of fellow students. Most of the times, the people who identify the problem are best capable to solve it too.</t>
  </si>
  <si>
    <t>December 25, 2020, 1:50 PM</t>
  </si>
  <si>
    <t>IFT368</t>
  </si>
  <si>
    <t>ruchitanair18@gmail.com</t>
  </si>
  <si>
    <t>To make examination better. As their purpose is to test knowledge and not to test their memory.
Along with lack of practical knowledge and activities in the class.</t>
  </si>
  <si>
    <t>It is very common for teachers to presume
that children with higher grades are smarter than those with lower grades .the education system in our country has taught us to run behind marks. Children who get less marks are not failures, it is possible that they lack understanding because of which they rot to learn the things.</t>
  </si>
  <si>
    <t>The group whose probable we are trying to solve our fellow students.</t>
  </si>
  <si>
    <t>Knowledge which isn't helpful is like money that can't be spent.
There is no use to it and it makes you extremely poor when you actually have to means to be rich.</t>
  </si>
  <si>
    <t>Our solution is is to make examination much more better by making them helpful to bring out the strengths and capabilities of students instead of forcing them to rot learn concepts.</t>
  </si>
  <si>
    <t>Incorportaing Knowlegde by Practice and activities make sure that the Student *understands* the topic throughout his life and apply its life based application.. School is fun when students are tested on the basis of their understanding and skill instead of its *caliber to memorise* as students *tend to learn more* only when they *understand * the concepts instead of mugging up.</t>
  </si>
  <si>
    <t>As a student we understand the problem from a perspective that adults might not be able to, and who better than a victim to for a cure. For Braille was also made by a blind man.</t>
  </si>
  <si>
    <t>https://enpower-school.com/wp-content/uploads/elementor/forms/5feddac51d896.pdf</t>
  </si>
  <si>
    <t>December 31, 2020, 7:35 PM</t>
  </si>
  <si>
    <t>The idea is to make examination more skill based but how can this be done not explained</t>
  </si>
  <si>
    <t>IFT587</t>
  </si>
  <si>
    <t>rpranavhelios@gmail.com</t>
  </si>
  <si>
    <t>The innovative addresses the problem of the present education during the pandemic. Mainly throws the light on the stress faced by the students in this pandemic. And also the difficulties faced by the disabled student during this pandemic</t>
  </si>
  <si>
    <t>The innovative is made for making the student relief from the burden faced during this pandemic. Though there is online classes running, students could not enjoy their subjects as they are limited to their homes. Moreover students could not experience any practical experiments as in schools.  This also gives the solution to the upcoming  days.</t>
  </si>
  <si>
    <t>The user groups who gets benefitted from this innovations are the students and also the disabled ones.</t>
  </si>
  <si>
    <t>Yes this problem is  critical and needs an urgent solution, in the present scenario.</t>
  </si>
  <si>
    <t>TRAVIS STEREOPSIS ROOM is a solution for this problem. The stereopsis room is a virtual reality room which is facilitated with Artificial Intelligence . This class room has a virtual teach who teaches the students virtually to the means of VR. The further details about this innovation can be viewed in the attached file</t>
  </si>
  <si>
    <t>This solves the problem of stress among the students and those disabled will have different experience experiencing this. This enables the students to think in a different manner and brings them a new walk of life.</t>
  </si>
  <si>
    <t>Of course this solution is the best equipped to offer this solution</t>
  </si>
  <si>
    <t>https://enpower-school.com/wp-content/uploads/elementor/forms/5ff74e06e34c1.pptx</t>
  </si>
  <si>
    <t>January 7, 2021, 11:38 PM</t>
  </si>
  <si>
    <t>IFT565</t>
  </si>
  <si>
    <t>ronakanand2509@gmail.com</t>
  </si>
  <si>
    <t xml:space="preserve">Cambridge foundation school
</t>
  </si>
  <si>
    <t>The problem is that children are unable to attend online classes.</t>
  </si>
  <si>
    <t>Children who don't have access to wifi Or phone are unable attend any class thus affecting their studies.</t>
  </si>
  <si>
    <t>Children</t>
  </si>
  <si>
    <t>Because it's related to students future and we shall focus on that thing too.</t>
  </si>
  <si>
    <t>It's in my ppt I have attached</t>
  </si>
  <si>
    <t>I have submitted.</t>
  </si>
  <si>
    <t>Because I know and I have shared all of my ideas</t>
  </si>
  <si>
    <t>https://enpower-school.com/wp-content/uploads/elementor/forms/5ff723d87bdd9.pptx</t>
  </si>
  <si>
    <t>January 7, 2021, 8:38 PM</t>
  </si>
  <si>
    <t>IFT581</t>
  </si>
  <si>
    <t>ritamchanda06@gmail.com</t>
  </si>
  <si>
    <t>The education system has several loop holes.It does not gives a chance for creative thinking ,the only thing it is focused on is marks.It is no where helpful for choosing a career.The prescence of so many boards and the difference in the number of institution of different boards makes it difficult to accommodate students.</t>
  </si>
  <si>
    <t>The education system does not allow the students to do think critically over something rather than  focuses on muging up things.As their is a difference in numbers of schools and colleges of a particular board that is why a student of another board have to continue his/her higher education in a college of another board.It is also not job oriented too ,there os no technical learning in school that is why no scope for learning anything which can help in future.</t>
  </si>
  <si>
    <t>The problem described is for all the students studying in the education system as well as it also implies for me as i have been facing these problems from childhood</t>
  </si>
  <si>
    <t>Such problem can lead to difficulties further also for choosing career,as there is a lot of confusion by the end of the graduation or 12th standard that what to chose as a career option.If this not treated urgently then it will only retard the speed of development of the country.</t>
  </si>
  <si>
    <t>The solution is very simple making the system more job oriented and giving proper education and praticals for different fields in creative way.After a basic education for all yhe subjects the students should be allowed to study with their prefferable subjects.the schools have to be more resourceful for this.And also there should be only one board and for the diversity of the country in different state the regional language of that state should be a main language,so that everybody gets the same opportunity.</t>
  </si>
  <si>
    <t>This will certainly reduce their problem of confusion and lack of skill and knowledge.And would help them to get a successful career in the future.It will also remove the thought of deprivation or discrimination from their mind.</t>
  </si>
  <si>
    <t>Because i have been studying in this education system for 10 long years  and facing the problem mentioned and would have certainly eradicate this if this solutions would have been present.</t>
  </si>
  <si>
    <t>January 7, 2021, 10:42 PM</t>
  </si>
  <si>
    <t>IFT164</t>
  </si>
  <si>
    <t>reevbrar19@gmail.com</t>
  </si>
  <si>
    <t>Sukhveer</t>
  </si>
  <si>
    <t>YSP school</t>
  </si>
  <si>
    <t>As you know these in this pandemic disease, due to this issue children are facing a big problem related 
their study, so due to COVID-19, there is so much loss in practical learning of students as we also know 
that in this pandemic time all have been bookworms and no one learns the concept of practical 
knowledge moreover rather than understanding the concepts students are cramming, as teachers also 
don’t make the students do practical. So that they understand every concept clearly. As we also know 
that in this period, we have lack behind so many things such as writing skills, speaking skills, confidence, 
practical knowledge, social interactions and physical development etc. online classes were beneficial but 
due to bad network students were unable to attend classes due to this they skipped few topics later it 
becomes a problem to them. Mobile phones were the only source of study for the students but the 
other things on the phone like games distract them for study.</t>
  </si>
  <si>
    <t>Teaching and students assessments have moved online, with a lot of trial and error and uncertainly for 
everyone. Many assessments have simply been cancelled. Importantly these interruptions will not just 
be a short-term issue, but can also have many long-term consequences. To maintain continuity in the 
teaching-learning process study material updated daily on the google classroom or respective websites 
by the respective teachers of all departments. Teachers are taking classes and also solving queries 
through Skype, zoom app session and other online apps. We as teachers are trying our best by using 
three-four different apps. Daily and weekly online assignments and online tests are planned so the 
students don’t lose their interest and seriousness towards the subjec</t>
  </si>
  <si>
    <t>this pandemic disease, every community is facing many problems. Teachers, doctors, social workers 
and many others who have faced problems but most common are students who faced problems. Every 
student has faced problems related to studies because with a better education they can decide their 
future. but there were online classes to have more knowledge. but they have not taken it seriously they 
used to enjoy the class by playing. some of the students beg to their parents for mobile phones that they 
want to attend online classes but after that, they didn’t attend that.</t>
  </si>
  <si>
    <t>Yes, this problem is critical and it needs an urgent solution because the student’s life would be affected 
and if it will not have a solution then there will be a big loss. Students, their parents and educators 
around the world are feeling the extraordinary ripple effect of the novel coronavirus as schools are 
shutting down and quarantine methods are being ordered to cope with the global pandemic. Now some 
schools are training terms of students to provide basic- level tech support for the school, even at the 
elementary level. If the students are trained to handle and prevent the lower-level problems, this frees 
up the paid tech support staff to focus on the more complex issue.</t>
  </si>
  <si>
    <t>Yes, this problem is critical and it needs an urgent solution because the student’s life would be affected 
and if it will not have a solution then there will be a big loss. Students, their parents and educators 
around the world are feeling the extraordinary ripple effect of the novel coronavirus as schools are 
shutting down and quarantine methods are being ordered to cope with the global pandemic. Now some 
schools are training terms of students to provide basic- level tech support for the school, even at the 
elementary level. If the students are trained to handle and prevent the lower-level problems, this frees 
up the paid tech support staff to focus on the more complex issue.
will be consisting all age concepts a child need in his /her studies all the notes, sample papers, videos 
but all of them will be given by a particular subject teacher (for example we have brainly app for all our 
solution ) but the site we are of will be only for a particular school and as online classes are going on 
teachers will record all the stuff they teach in an online class and will post there on daily. teachers write 
them on that app after tests or something by which student will enhance more and work hard by this, 
they will not even lose interest in school.</t>
  </si>
  <si>
    <t>Students everywhere around the world have the turned the online applications and e-learning strategies 
as school and colleges are shut so that they can stay up to date with their course curriculum. in this time 
of lockdown, without the physical presence of teachers and educators, the online switch can be 
challenging. one reason for that us the challenges to adapt to new software s and technologies and learn 
to use them. the other challenge is to develop a focus for such online classes. There are various 
applications available that make online teaching-learning fun. From languages to figuring out how to do 
coding, there are various applications out there to keep the students mind sharp. Let’s take a look at 
some of these.</t>
  </si>
  <si>
    <t>’m the best equipped for the solution because as I’m a student so, I have also suffered in many of the 
problems related to studies because online classes but every student were thinking and recalling every 
topic is difficult to understand from online classes but from using the online apps, we can learn anything 
at anything it's not mandatory to learn at a particular given time. so, like with the problems I have 
suffered I don’t want that other student to suffer so, the solution I have given is good for everyone.</t>
  </si>
  <si>
    <t>December 29, 2020, 2:05 PM</t>
  </si>
  <si>
    <t>The idea is about online app but what will be in it how will it work no details mentioned, its mentiond as concept statge but no PPT or concept attached. This looks only a minimal idea stage.</t>
  </si>
  <si>
    <t>IFT411</t>
  </si>
  <si>
    <t>reetus827@gmail.com</t>
  </si>
  <si>
    <t>ya, it is better to define the problme    . even i developed this app idea to basically solve the problem of interaction between students and teachers this app not only gives the advantage of a better communication between a teacher and student but also helps us to learn more through different study material provided on the app realted to the studies realtively and i have included some gameing , co cricullar activites art classes etc to engage students and teachers. this will give teachers a better insight of a students capability and their potential.</t>
  </si>
  <si>
    <t>so, the apps using these days for our online classes incapebale of providing us proper notes or study material and students are facing problems , this is  the reason students are facing problems usually in offline classes teachers used to give us extra questions and extra notes that used to help us to clarify the topics in a more better way.</t>
  </si>
  <si>
    <t>i am helping to solve both students and teachers problems. teachers will get to know about their students in a more better way . students will be able to work on themselves and eventually evolve into a better person.</t>
  </si>
  <si>
    <t>yes, this problem is critical and needs an urgent solution. our education system, which evolved during the industrial revolution has become out dated and ineffective. and if we want to prepare our generation for the modern world , we need to redefine this system. more and more learners now prefer multimedia to stay engaged in a learning enviornment .</t>
  </si>
  <si>
    <t>app is the solution . i am promoting it because with the popularity of mobile devices and the ever increasing use of mobile application , elearning might end up running almost exclusively on mobile learning apps pretty soon.facts,opionons and value statements push people apart, stories bring people together . the key to succuess is getting people to do the right thing at right time we will provide push notifiatons.</t>
  </si>
  <si>
    <t>it will help teachers and students can interact in a more effective manner . it access anywhere and anytime ,variety of content .it will also test your knowledge , by online quizzez , quilets and solving their puzzles ,multi-choice questions etc.engaging learns towards the establishment of online learning communities is more effective using mobile devices .</t>
  </si>
  <si>
    <t>supports self paced learning ,can suit multiple learning styles and also provide book store to students and teachers they can read or see any book they want at any time , students can also check their daily attendence and also take part in online curricular activites and sports events, arts classes this will provide students more impactfull learning and easy way for them . this app consits of all the things students need [all in one] and students can also create their own class room or meetings for group discussion or any kind of project.</t>
  </si>
  <si>
    <t>https://enpower-school.com/wp-content/uploads/elementor/forms/5fee13962e11e.pptx</t>
  </si>
  <si>
    <t>December 31, 2020, 11:38 PM</t>
  </si>
  <si>
    <t>An app which will help student to learn and interact in fun way with quizzes, it has an book store can read books online, teachers can make videos for students. reward pounts for students to encash</t>
  </si>
  <si>
    <t>IFT097</t>
  </si>
  <si>
    <t>reachmemohor@gmail.com</t>
  </si>
  <si>
    <t>In the Education Policy, the vision is India-Centric, but we don't want this to be India-centric but - World-Centric.
We learn the history of  our country, but we have started learning about the important events but only to see the influence of these events in the world.</t>
  </si>
  <si>
    <t>In our history books we have started learning about the Nazism but here what is a small topic may be a very big topic taught in Russian schools. Teenagers want to leave the country or start following other cultures of the world.
But how many of these cultures are actually true? and by following the fake cultures are we destroying them?</t>
  </si>
  <si>
    <t>Students all over the world will get to experience our solution together.</t>
  </si>
  <si>
    <t>This problem is critical because as our Prime - minister is going forward for Atm -Nirbhar Bharat, He is also making sure our relationship with the world is better. Now as Youths are duty is to take a step in our own way for the same cause.</t>
  </si>
  <si>
    <t>Our solution is a friendly club for students all over the world to interact with the students of the same age group to know each other countries history and to give a new perspective to the problems faced by us.
Different batches of students can talk to different batches of students around the globe.
This covid - era taught us to be more tech-experienced, and this will help us to communicate with other students.</t>
  </si>
  <si>
    <t>The students will know about the different cultures, traditions ,beliefs and History about different countries and vice-versa.</t>
  </si>
  <si>
    <t>The Prime - Minister ,Narendra Modi, is taking a huge step to ensure a good relationship with the world, it is our duty to take steps ,whether it be tiny or huge, towards the same cause.</t>
  </si>
  <si>
    <t>https://enpower-school.com/wp-content/uploads/elementor/forms/5fe6b03a8ab3e.pptx</t>
  </si>
  <si>
    <t>December 26, 2020, 9:08 AM</t>
  </si>
  <si>
    <t>IFT383</t>
  </si>
  <si>
    <t>rashmiyadav200527@gmail.com</t>
  </si>
  <si>
    <t xml:space="preserve">Army Public School,BKP
</t>
  </si>
  <si>
    <t>Problem is with the system of education of just learning things which is the most inappropriate and unfair since we should be able to know it practically and apply it in our day to life and collect much more knowledge.</t>
  </si>
  <si>
    <t>Problem is with the system of memorising things for eg: tomorrow when I was studying in YouTube online my teacher told us that she was leaving in Delhi for her master's in chemistry during summer season she used cooler made up of iron for cooling purpose.......when she went to her hometown and come back she  noticed some small holes which were their due to rusting causes the tank to leak ......the cooler was not painted so no protection was there
She is very knowledgeable teacher and one of the best on YouTube but then it took so much time for her to start applying her knowledge in daily life after the incident of cooler took place
Because of low application based knowledge.</t>
  </si>
  <si>
    <t>Every student in his or her life has faced this at least once a time so everyone is the ‘user’</t>
  </si>
  <si>
    <t>Because no one can be known as a genius without his or her applicable capacity</t>
  </si>
  <si>
    <t>At first we need to motivate the students to think logically and by promotion practical knowledge. In rural areas at least if we can't reach to them  they don't have any proper internet connection and household so we can help them by creating something which will improve their condition for eg : we can create a stage of anything having a white background on which the video can be played for them to study by our using our phone convex lense and other set up to improve their condition since something is always better then nothing</t>
  </si>
  <si>
    <t>In urban areas school can provide children with practical knowledge but in rural areas the school with the help of government or any association they can help to create the set up for the students to understand the importance of practical knowledge.</t>
  </si>
  <si>
    <t>Not best but something which can help them to grow to build up faster in a better way since as I said something is always better then nothing.</t>
  </si>
  <si>
    <t>December 31, 2020, 9:03 PM</t>
  </si>
  <si>
    <t xml:space="preserve">The idea is Similar to projector </t>
  </si>
  <si>
    <t>IFT578</t>
  </si>
  <si>
    <t>rashis4848@vissanjiacademy.com</t>
  </si>
  <si>
    <t xml:space="preserve">ICSE </t>
  </si>
  <si>
    <t>Students studying in ICSE board have to choose their subjects in standard 9 and students studying in CBSE and SSC board have to choose their subjects in standard 11.This makes it complicated for the students to learn their following subjects in a short span of time that is 2 years.
~Students often complain about shoulder pain because they have to carry various books to school.
The strain on their back increases pressure on them.
Also it often happens that children loose notes and books.
~There’s often a problem of changing books every year and change in authors of book in
every school</t>
  </si>
  <si>
    <t>~This makes it complicated for the students to learn their following subjects in a short span of time that is 2 years. Such things make it difficult for the students to choose their career.
~The strain on their back increases pressure on them.
Also it often happens that children loose notes and books.
~This makes it difficult for children to study as the courses change and a drastic change in pattern of books.</t>
  </si>
  <si>
    <t>The 'user' here are the students whose problem we've attempted to solve. We have tried our best to get a perfect solution to the problems. According to us the problems that we attempted to solve will be of great help to the students.</t>
  </si>
  <si>
    <t>This problem is critical and needs an urgent solution as children are the future of this country and these were the major problems that a student suffers through and required a solution.</t>
  </si>
  <si>
    <t>~Pursuing career at a early age.
~E-Books
~Universal set of books for each board
We have given a detailed information in our ppt.
(~)This sign indicated different points</t>
  </si>
  <si>
    <t>I think I am best equipped to offer this solution as it is a problem that I suffered through and am still suffering. So I suppose myself to be most appropriate to give a problem to this solution being a student myself. The solution is more than a revolution for me.</t>
  </si>
  <si>
    <t>https://enpower-school.com/wp-content/uploads/elementor/forms/5ff73d2b65aed.pptx</t>
  </si>
  <si>
    <t>January 7, 2021, 10:26 PM</t>
  </si>
  <si>
    <t>IFT510</t>
  </si>
  <si>
    <t>ranjnachawla@gmail.com</t>
  </si>
  <si>
    <t>We are living amidst the greatest threats in our lifetime to global education. The covid 19 pandemic is causing more than 1.6 billion children out of the school in 161 countries.</t>
  </si>
  <si>
    <t>This is close to 80% of world’s enrolled students. The World Bank’s “learning poverty” indicator – the % of children who cannot read and understand at age 10 – stood at 53% of children in low- and middle-income countries – before the outbreak started. This pandemic has the potential to worsen these outcomes even more if we do not act fast.This is a real cause of concern and need some out of box thinking to find a solution to existing defy and safeguard our self from any similar situation in Future.</t>
  </si>
  <si>
    <t>The negative impacts will be felt more by the poor and unprivileged children. When it rains, it pours for them. Many children do not have a desk, books, internet connectivity, a laptop at home or supportive parents.</t>
  </si>
  <si>
    <t>The problem in fact will adversely impact entire society as future of children - the architects of future growth is at stake. It also effects the economic status of the country and this is the time when we take action or else this leads to a great problem . we have to ensure that the pandemic does not affect the learning of children.</t>
  </si>
  <si>
    <t>*Today we have advantage of social networks, whats app or SMS, ministry of education can communicate with parents and teachers and provide guidelines to the learning process. Remote learning is not only about online learning but about mixed media learning, with the objective of reaching as many students as possible today.  
*Teachers can record offline sessions and the children can listen to those sessions on their radios. *We can use our traditional communication channels like Radio, Television to reach masses for 
 Knowledge sharing and quality education.
* Building simplified Learning Platforms to educate unprivileged children with minimal requirement of resources. We can create QR codes and print them in the textbooks so that scanning those QR codes will lead the children to the videos of that particular concept.
*   Each one teach one approach to continue the learning process.
*   People can donate their old devices to the underprivileged children.</t>
  </si>
  <si>
    <t>* Continuous Learning: Children will be able to learn continuously during pandemic.
*Global Exposure: Children will get global exposure while learning online.
* Minimal usage of expensive infrastructure: Using the traditional modes of communication like radio and television are less expensive as compare to laptop, smart phone and internet connection.
*Better Utilization of time: Learning by new ways will make learning interesting and hence children will have better utilization of their time.</t>
  </si>
  <si>
    <t>I think I am the best equipped to offer this solution because I have found the solution so that the quality education is available to maximum number of students. The richer countries are well equipped to move to online platforms but there are many countries those don't have enough of infrastructure so i have got the idea that is less expensive and the quality education can be provided to masses.</t>
  </si>
  <si>
    <t>https://enpower-school.com/wp-content/uploads/elementor/forms/5ff5928f74476.pptx</t>
  </si>
  <si>
    <t>January 6, 2021, 4:06 PM</t>
  </si>
  <si>
    <t>Repeated, same as IFT 238</t>
  </si>
  <si>
    <t>IFT584</t>
  </si>
  <si>
    <t>ranjankumar2006@gmail.com</t>
  </si>
  <si>
    <t>there are many families out there who cannot afford quality online education for their children due to financial reasons. technological devices like laptops and computers cost too much for them to buy due to the unaffordable price resulting in a lack of education.</t>
  </si>
  <si>
    <t>money has always played a big role of the game-changer in everyone's life. in this pandemic situation families who are financially deprived are finding it really hard to fully educate their young ones because the school fees, internet fees, and household expenses are too much for them to handle. buying expensive devices like laptops and computers are again another source of high expense.</t>
  </si>
  <si>
    <t>A family with 4 siblings with only the eldest one as financial support. their parents passed away when they are in their teenage years. 2 of them are at their graduating stage which is considered one of the most crucial stages of education. only one person is earning and does not have any big amount of salary.</t>
  </si>
  <si>
    <t>There is a correlation between income and illiteracy, as can be seen in the following per capita income related to literacy: In countries with a literacy rate less than 55 percent, the income average is $600. In countries with a literacy rate between 55 and 84 percent, the income average is $2 400. as the example shows, there is a huge effect on the economic rate of a country due to the literacy rate. that's why we should encourage more and more children to get educated.</t>
  </si>
  <si>
    <t>we cannot completely solve this problem but we can help it by creating an app that rents devices like phones and laptops and even computers! this app is supposed to have clients that are ready to rent their devices when they don't need them and they can even sell them!</t>
  </si>
  <si>
    <t>the concept of renting is used in our daily lives a lot. let's take an example, many of us rent costumes for performances, and renting them is always way cheaper than buying them. just like that, the owner can set a time span which he/ she is comfortable to sell the device for and add a price according to their wish. this way both the former and latter are in a benefit buy earning and saving money.</t>
  </si>
  <si>
    <t>that's because we already have some clients in our touch who might actually take an initiative to be the first ones to rent the devices on our app.</t>
  </si>
  <si>
    <t>January 7, 2021, 11:18 PM</t>
  </si>
  <si>
    <t>simple idea but can be considered</t>
  </si>
  <si>
    <t>IFT557</t>
  </si>
  <si>
    <t>ramcho121@gmail.com</t>
  </si>
  <si>
    <t>Mental health is a serious issue .Me and my team member Parth have come up with this idea and elaborated this topic briefly.</t>
  </si>
  <si>
    <t>Mental health shouldnt be considered as an excuse. Students have to go through this stage at a point of time .</t>
  </si>
  <si>
    <t>WE the students are entitled to be free from unnecessary academic burden.</t>
  </si>
  <si>
    <t>Yes, because it teaches a student to overcome many obstacles in life, and makes him/her more confident on solving these problems</t>
  </si>
  <si>
    <t>pl refer the file below.</t>
  </si>
  <si>
    <t>They would at least get an assurity that someone is there with me to help me out.</t>
  </si>
  <si>
    <t>Its after all us the students who know about this better.</t>
  </si>
  <si>
    <t>https://enpower-school.com/wp-content/uploads/elementor/forms/5ff708ba9c22e.docx</t>
  </si>
  <si>
    <t>January 7, 2021, 6:42 PM</t>
  </si>
  <si>
    <t>IFT296</t>
  </si>
  <si>
    <t>ramalingam07403@gmail.com</t>
  </si>
  <si>
    <t>Dharsini</t>
  </si>
  <si>
    <t>Ramalingam</t>
  </si>
  <si>
    <t xml:space="preserve">P.M.G. Matric. Higher. sec. School
</t>
  </si>
  <si>
    <t>SSC</t>
  </si>
  <si>
    <t>We would like to solve Major problem in this pandemic situation- social distancing with our idea</t>
  </si>
  <si>
    <t>We all know that it is a critical situation where social distancing is the main thing to practice. It is not being following by the people in grocery shop,while paying fees in school,pharmacies,etc.due to this covid19 might spread.</t>
  </si>
  <si>
    <t>All people in this pandemic situation will be helped with this</t>
  </si>
  <si>
    <t>This is the situation where disease (covid19) spread easily,when social distancing is not followed properly. People will get affected fastly</t>
  </si>
  <si>
    <t>Our idea is to make everybody follow social distancing while waiting in a line. We have planned to make a partition with social distance in  line. Every partition is placed along ultrasonic sensors which makes the block open when it doesn't sense. If a person enters the block is closed with the help of motar and it makes people to follow social distancing</t>
  </si>
  <si>
    <t>It remains people to keep up social distancing even if they forget to follow. Following social distancing, reduces the massive spread of covid19</t>
  </si>
  <si>
    <t>We think it is one of the best idea to practice practice social distancing in many areas we visit regularly</t>
  </si>
  <si>
    <t>December 30, 2020, 10:48 PM</t>
  </si>
  <si>
    <t>IFT406</t>
  </si>
  <si>
    <t>rahul.grover0109@gmail.com</t>
  </si>
  <si>
    <t>The voice assistance should be there for the application so that the using application while be faster .In online classes thier is less communication between the teacher and the student ,so while the class there should be personally doubt solving session .while having the group call the student would be able to talk to teacher personally .</t>
  </si>
  <si>
    <t>The personal communication with the teachers . How to use application in more quicker way.</t>
  </si>
  <si>
    <t>Those students who are regual user of the application which they use as virtual classroom</t>
  </si>
  <si>
    <t>This problem is critical because online classes is not taking very carefully.we need a urgent solution</t>
  </si>
  <si>
    <t>The application must be voice
 assistance and during the meeting there should be personal communication with teacher during the group call</t>
  </si>
  <si>
    <t>They will now easily use their application ,Through the voice assistance.every student can have a personal communication with the teacher</t>
  </si>
  <si>
    <t>I have seen this problem and it need a urgent solution</t>
  </si>
  <si>
    <t>December 31, 2020, 11:11 PM</t>
  </si>
  <si>
    <t>not expained idea clearly</t>
  </si>
  <si>
    <t>IFT539</t>
  </si>
  <si>
    <t>raginiyadav5314@gmail.com</t>
  </si>
  <si>
    <t>1th grade</t>
  </si>
  <si>
    <t>In this situation of covid-19 every child is studying on online classes. The dramatic shift from physical world to virtual had posed some problems as no one was prepared for this. 
1.  The truth is, for many students, online learning is only a formality and not a real substitute for regular teaching. Some teachers only share material to students without teaching it. Online testing is some time based on the principal of "work it out yourself". 
2. Students are not acquiring real, long lasting knowledge. And some students don't have the opportunity to leave their home during the two hours allowed during the curfew because they have to sit in online classes. 
3. Some students don't even have proper equipment to attend online classes. They don't have electronic devices. The no. Of devices in households is often limited which can be very inconvenient for online appointments, classes and meetings that take place simultaneously.
4. Also some teachers don't consider the fact that during online testing, the student may lose the internet connection. Unfortunately, if this happens the students gets graded on the no. Of questions answered and recorded in the system before the connection was lost.
5. Students also face problems managing their own time as a result of online teaching.</t>
  </si>
  <si>
    <t>Primary- in online classes they are not able to  to understand concept. Some of them finds difficult to handle devices.they could not learn the social behavior and interaction with friends.
Elementary- the growth and learning had stopped. They couldn't manage with poor Network connection which sometime happens. Usually they are playing games on phone and not attending the seriousness of education.
Secondary-they could not clear the concepts. A lot of distraction they encounter while working on phone. Laziness had concur them.
Senior- creativity has lost in them. It lead to rote memorization habits. Learning by experience has suffered losses. 
Problem in ruler areas- In India, we do not have such good facilities of digital learning(electricity and internet connection) is not too good, where not only children but some teachers do not know how to get their heads round this technology.</t>
  </si>
  <si>
    <t>The students are one whose problem here I am attending. 
Students and children are expected to make great achievement not only in academic but also artistic however in India it is always expected to be a good academic performer. Today it is becoming difficult for them to achieve the goals they had set earlier. 
Students of every age finding great problems whereas those in rural areas are more prone to this as they are not having online classes as well.</t>
  </si>
  <si>
    <t>This problem is very critical as the wealth of nation is not so much in its of economical and natural resources but it lies more decidedly in the kind and quality of the wealth of it's children and youth. It's they who will be creators and shapers of a nation's tomorrow.
The children of today will be adults of tomorrow. Today's reader will be tomorrows leader. Their quality and personality will determine the kind of destiny that beckons the nation.
It, therefore, became mandatory for every  nation and every society to nurture a strong, healthy and intellectual youth. 
They could not get quality education in online classes.</t>
  </si>
  <si>
    <t>1. Conducting online co-curriculor activities and making them part of report card will make more attentive.
2. Online performance or they could be encouraged to make videos of different performance in which they are good and talented.
3. Providing personalised courses to identify their weakness and strength for better learning outcome.
4. Vulnerable families should be supported so that they have the means to aquire equipment and skills to be able to support their children learn online.
5. Students and young people should be consulted. Future decision should also take into consideration how students feel, their views, their condition and needs. Students should have access to material without discriminated against, left to feel helpless when they have questions, or unheard when they have an opinion and request.
6. Students should not be assessed with numerical grades rather discriptively. As the situation revolves a more purpose full approach is definitely required by including representative from multiple areas in evaluating and sharing their experience about what worked well and what didn't. It should consider the problem and solution faced by students, parents and teachers. 
7. Achieve compromise, because only together and with joint forces we can get the best result out of this whole situation.
8.  Job opportunity should be provided for post graduate by modifying system.
As a studies shows that if education system itself is modified than at minimum 1 lakh jobs could be created.</t>
  </si>
  <si>
    <t>These solutions however could not bring the joy that was felt and experienced in physical world but surely will increase the efficiency of students who felt lack of enthusiasm and creativity through all these months.
Creating a platform will make the more comfortable and progressive. 
 The tension of their future and the goals they had set will become less. And they will feel normal not more but quite less.
Positivity is the most strongest weapon in this situation where hopelessness had dawned on them. 
These methods will make them feel that the nation still is with them.</t>
  </si>
  <si>
    <t>I think so because I am myself a student and a youth of this nation. And I am experiencing such problems my self. 
I am also well versed with the problems of rural area because many relatives of mine study in rural areas, before pendamic they were not getting good education because of ignorance of teachers and government. In today's pendamic they are not going to school and neither have facilities of online classes. I myself have visited to many government schools when on holidays just to experience the situation and it is still bad.</t>
  </si>
  <si>
    <t>https://enpower-school.com/wp-content/uploads/elementor/forms/5ff6a63627ec8.pptx</t>
  </si>
  <si>
    <t>January 7, 2021, 11:42 AM</t>
  </si>
  <si>
    <t>IFT589</t>
  </si>
  <si>
    <t>raghulakshai@gmail.com</t>
  </si>
  <si>
    <t>Online distractions, home works are not submitted in a proper way, not able to manage slow learners to get good marks.</t>
  </si>
  <si>
    <t>The main problem faced by students while attending online class is distractions.  The major problems faced by the teachers by the students in online class are assigned home works  are not submitted by the students in a proper way,  the teachers  are not able to manage slow learners.</t>
  </si>
  <si>
    <t>I'm going to create an application which can solve online distractions and copied submission of the home assignments by the students .It would help teachers to handle slow learners in an effective way.</t>
  </si>
  <si>
    <t>Yes. It is critical. The reason behind this is , that they might be distracted and they would not gain enough knowledge in the subject. Since this new generation students are the backbone of future India. Another major problem is that of coping the home assignments from the books or from their peer groups. This problem also leads to a great pathetic situation for the future generation.</t>
  </si>
  <si>
    <t>The solution for coping home assignment from book and from another submitted assignment : The home assignment is read by the AI. It recognizes that it is copied from book, since each and every line is same as that of book and if It recognizes that two or more assignments are same. Immediately the home work is rejected by the AI.  
The solution for following the slow learners : Once the students get into the meeting through  the app, it segregates the students according to the total marks got by the students. Once that slow learner is identified he gets another link where he can solve his doubts and get cleared in his weaker area and he gets training in that particular area and faces many unit tests and those marks are submitted to the concern teachers.
The student is locked inside the class once he joined the meeting
The slow learners need to write a unit test after 5th, 6th, 8th pre recorded video.</t>
  </si>
  <si>
    <t>Benefits :
1. The burden of correction of copied assignments is reduced for the teachers.
2. The identification of slow learners and their progress is evaluated  by student himself.
3. Since he is locked inside the meeting, he could not open another page or game from the meeting.
4. In depth and fun learning is automatically provoked.</t>
  </si>
  <si>
    <t>This application is totally helpful for students, teachers and above all it draws a path way for the development of Future India, since new generation students are backbone of a developing India.</t>
  </si>
  <si>
    <t>https://enpower-school.com/wp-content/uploads/elementor/forms/5ff7509e83087.pptx</t>
  </si>
  <si>
    <t>January 7, 2021, 11:49 PM</t>
  </si>
  <si>
    <t>IFT423</t>
  </si>
  <si>
    <t>rabiswas245090@gmail.com</t>
  </si>
  <si>
    <t>The problem is that there are many such students who attend live classes despite having financial problems and live classes consume a lot of data which may make it difficult for those students to afford the necessary amount of internet.</t>
  </si>
  <si>
    <t>There are many such students in our country who are attending Live Classes despite having financial problems. Their parents are tensed because the cost needed for the necessary internet isn't within their budget. We need to help such students by designing an app which is budget friendly.</t>
  </si>
  <si>
    <t>The users whose problems I'm attempting to solve are the students who are attending Live Classes despite having financial crisis. These kind of students are very determined to learn and get education but their financial problems become a barrier between them and their dreams. Due to financial problems, these students can't afford necessary amount of internet.</t>
  </si>
  <si>
    <t>This problem is really critical and needs an urgent solution because if this problem continues, students who are facing financial crisis but determined to learn won't get education. As we all know a country's future depends on its youth hence, we should have a deep look into this problem and try to solve it as soon as possible.</t>
  </si>
  <si>
    <t>I think if we are able to design an application which consumes an affordable amount of internet/data or which is budget friendly, then this problem can be solved.</t>
  </si>
  <si>
    <t>My solution gives a distinct benefit to the users as it reduces the cost of internet needed to attend the Live Classes and more and more students can attend Live Classes and get education which will eventually make our country's future bright.</t>
  </si>
  <si>
    <t>I think that I'm the best equipped to offer this solution because my solution not only reduces the tension and stress of the users regarding the finances but also saves the country's future till some extent by providing education to the young minds.</t>
  </si>
  <si>
    <t>https://enpower-school.com/wp-content/uploads/elementor/forms/5fee73ce1e5f7.jpg</t>
  </si>
  <si>
    <t>January 1, 2021, 6:28 AM</t>
  </si>
  <si>
    <t>IFT403</t>
  </si>
  <si>
    <t>ra.aditya2006@gmail.com</t>
  </si>
  <si>
    <t>The problem I have chosen is about the lack of rocket science knowledge and aviation (Aerodynamics)  knowledge is is common in India because people don't take it seriously because they think its not important. And when they go to chose their profession in Aviation or Rocket science they face difficulty because the basic concept is not clear.</t>
  </si>
  <si>
    <t>The problem is about the lack of resources in India for hobby like rc planes and hobby rockets. this is the big reason of India to be a little behind compared to other countries like US , Canada and etc. in Aviation and space science.</t>
  </si>
  <si>
    <t>The group I found suffering is me and my friends only. We find it very hard to convince our parents to buy the stuff which is very obvious cause it costs way more than US compared to India.</t>
  </si>
  <si>
    <t>I believe that this problem is critical because  it will slowly kill the scope of Aviation science of India and of other fields. If we will not stop this India will become very outdated.</t>
  </si>
  <si>
    <t>The solution is to make it an curriculum or start an campaign or a community of rocket science and Aviation to start peoples interest in it in order to not just learn science but to learn it practically also. So me and my friends will first start making rockets and planes an show case them publicly which will make them think that how things work.</t>
  </si>
  <si>
    <t>It just light up the interest in people's mind which will make people join our group and motivate others too to join our group</t>
  </si>
  <si>
    <t>I think I am the best equipped to offer this solution because i am myself suffering from it so I know  how it feels to have knowledge but no resources to implement it.</t>
  </si>
  <si>
    <t>December 31, 2020, 10:55 PM</t>
  </si>
  <si>
    <t>They want to spread awareness about rocket science knowledge and aviation (Aerodynamics)  knowledge. How the problem will be solved not mentioned clearly</t>
  </si>
  <si>
    <t>IFT387</t>
  </si>
  <si>
    <t>pujahembram111@gmail.com</t>
  </si>
  <si>
    <t>Education now a day has become a piece of knowledge about history, mathematics, science. We lack a moral quality within ourselves. There should be moral value development sessions in our schools.</t>
  </si>
  <si>
    <t>Seeing around the world we see a lot of ruthlessness, rudeness, hatred, even exclusion of certain individuals or groups of people because of their sexual orientation or exclusion because of being transgender, unexeptence of different born people or people having some kind of rare disease.</t>
  </si>
  <si>
    <t>Awareness about the equal rights and dignity of Transgenders and homosexual people. These are the people who get the least support from society however the government has begun taking steps that favor them but the extent is still very less.</t>
  </si>
  <si>
    <t>Transgenders face discrimination at education as well as at the earning level. They don't get admissions at school situated in rural and interior parts of the country. Transgenders and Homosexual people are not appreciated or given the respect which is the basic right of every individual.</t>
  </si>
  <si>
    <t>Campaigns or awareness programs should be conducted not only in educational institutions but also in other public gatherings. Students should be made to interact with such people to remove the social barrier which hinders their perspective and negative approach towards these people. Students should be taught to respect them and stop treating them differently.</t>
  </si>
  <si>
    <t>Every individual has a right to be respected and accepted. Their acceptance in society will help to eradicate gender discrimination from society.</t>
  </si>
  <si>
    <t>As a citizen, I have seen these people struggling to earn their living because no other alternative is available to them. So, I myself want to spread awareness about them in society.</t>
  </si>
  <si>
    <t>https://enpower-school.com/wp-content/uploads/elementor/forms/5fedf4a45cd8b.jpg</t>
  </si>
  <si>
    <t>December 31, 2020, 9:26 PM</t>
  </si>
  <si>
    <t>The want more awareness and equal rights for transgenders in education system. Not explained how will they do it. But i feel many transgenders are becoming doctors and engineers now a days</t>
  </si>
  <si>
    <t>IFT285</t>
  </si>
  <si>
    <t>psuraj1947@gmail.com</t>
  </si>
  <si>
    <t>The increased use of pen and paper over the last 5 decades. Students find it difficult to buy lots of different pens and papers for just a year.</t>
  </si>
  <si>
    <t>Students face different problem in taking the notes. To make the notes beautiful they need to buy lots of stationary stuff, and many students use every quality papers which are made from cutting down lots of trees which increase deforestation. According to a study each student uses 124 ball pens every year. If we multiply it with the student's population in India which is 3.4million* 124= 421,600,000 plastic pens are used every year in India, which are also not disposed properly and may lead to soil &amp; water pollution.</t>
  </si>
  <si>
    <t>Students are the user group of the problem. As a student, I face these problems every year. To make good, understandable and beautiful notes, a student needs different types of pens and need paper to write on. Buying the correct pen is difficult for us. We face difficulty in maintaining the notes with us and sometimes lose some important notes. Even for a small stationery item, we have to convince our parent to go to the stationery shop for it and sometimes we compromise for that item.</t>
  </si>
  <si>
    <t>To reduce deforestation and soil and water pollution and also help students in managing their notes. Not only students but everyone who face problem in managing their notes and important information get cured with my idea. Many stationary products like pencil, paper, gum, eraser etc. come from trees which lead to cutting down of more trees. And also they face problem in their house with space occupied with their notebooks and due to the parent's force, they sell or burn their important notebooks. Technology can solve it and benefits us for both environmentally and ourselves.</t>
  </si>
  <si>
    <t>The solution is by developing a tablet which runs a separate software system which is designed only for that tablet. The stakeholders get provided by a tablet and a pen for notetaking. It would be designed in such a way that it would consist only the note-taking app a wifi module to transfer the data to the data servers, a battery, storage, the touch screen, USB port (for pen-drives)and a charging port. It comes with a pencil which doesn't require any electric support or Bluetooth. It would help the users to write with any colour he wants and can highlight his notes etc. The user is also provided with a Pendrive which can be used to transfer the data from it to the tab or from tab to it. And with the help of the application for the mobile phones, we can share some images to the tab.</t>
  </si>
  <si>
    <t>The users get benefited in every field of note-taking. By using the tab they don't need to buy papers or other stationery items. They can store their notes in the storage provided in the tab or even can transfer their data to the data servers with the help of wifi connectivity which reduces the problem of buying books. You can write on the tab with your hand or can use the specially designed pen which acts as a finger and can make notes. As it as lesser components compared to the other tablets. Hence, it is pocket friendly for the students and can afford it. The tablet supports a wide range of colours and line widths. It is also a lightweight device. This tablet can increase the productivity of the users and also save our environment.</t>
  </si>
  <si>
    <t>As I am a student. I and my friends face this problem every year. So, I know the problem better. And I am also having a solution for it. Right now in my mind, I have a clear design and functions of the tab which would be implemented by it for the users. And I also have an interest in computer science and IoT. I think I am the person how can implement my idea and help my users. As I have lots of interest in my idea that I can give my 100% on it. As I am in 9th class. I am not having any special gadgets to build it on my own. I would require some expertise team to build it. Thank you</t>
  </si>
  <si>
    <t>https://enpower-school.com/wp-content/uploads/elementor/forms/5feca1cdd239a.pdf</t>
  </si>
  <si>
    <t>December 30, 2020, 9:20 PM</t>
  </si>
  <si>
    <t>idea is about stylus type pencil and tablet to write notes in digital form. couldnt find anthing original or worth pursuing</t>
  </si>
  <si>
    <t>IFT023</t>
  </si>
  <si>
    <t>priyanshkabra18@gmail.com</t>
  </si>
  <si>
    <t>In India there are very less job opportunities for specially abled people and teenagers which gives rise to the problem of unemployment among these specific groups.</t>
  </si>
  <si>
    <t>Following the age long culture of the Traditional Indian Society the children in India have been and are being brought up in such a way that leads to a lot of problems in their teens and adulthood. Their upbringing makes their brain so sensitive that they are neither not able to adapt to the real world quickly when they grow up nor able to adjust themselves easily to perform what the job requires of them. 
In India teenagers have almost to no jobs available easily to them and even if they are able to find some they are mostly not helpful in improving their skills to prepare them for their ambitions.
More than 26 million people i.e 2.21% of the entire Indian Population come under the specially abled category.
2.41 % of the male and 2.01% of the female population in India is specially abled. Out of the 26.8 million people under the specially abled category a little less than 10 million people are only employed which is only 37.3% of the entire specially abled population. This figure is really very disturbing and a major cause of concern for us which is what we as founders of this company are trying to resolve.</t>
  </si>
  <si>
    <t>More than 26 million people i.e. 2.21% of the entire Indian Population come under the specially abled category.
2.41 % of the male and 2.01% of the female population in India is specially abled. Out of the 26.8 million people under the specially abled category a little less than 10 million people are only employed which is only 37.3% of the entire specially abled population. This figure is really very disturbing and a major cause of concern for us which is what we as founders of this company are trying to resolve.
Following the age long culture of the Traditional Indian Society the children in India have been and are being brought up in such a way that leads to a lot of problems in their teens and adulthood. Their upbringing makes their brain so sensitive that they are neither not able to adapt to the real world quickly when they grow up nor able to adjust themselves easily to perform what the job requires of them.</t>
  </si>
  <si>
    <t>In India teenagers have almost to no jobs available easily to them and even if they are able to find some they are mostly not helpful in improving their skills to prepare them for their ambitions. Their upbringing makes their brain so sensitive that they are neither not able to adapt to the real world quickly when they grow up nor able to adjust themselves easily to perform what the job requires of them. 
 Out of the 26.8 million people under the specially abled category a little less than 10 million people are only employed which is only 37.3% of the entire specially abled population. This figure is really very disturbing and a major cause of concern for us which is what we as founders of this company are trying to resolve.</t>
  </si>
  <si>
    <t>◆Obtain valuable work experiences, which are excellent for a resume.
◆Learn how to effectively manage finances. Even if the teenager is simply using their
earnings to pay for their own expenses, they will learn to budget between
clothes, movies.
◆Provide constructive use of free time. Employment gives teens less time to engage in risky behaviors.
◆Learn time management skills.
◆Form good work habits.
◆Instill new confidence, sense of responsibility and independence.
•	Workers with disabilities will increase diversity in the workplace.
•	 Businesses that hire people with disabilities may receive tax credits or other incentives.
•	 Employment provides not only income but also opportunities for social participation. This is especially important for persons with disabilities.
•	 Spending on systems and facilities for persons with disabilities is not for the privilege of a small minority, but an investment for everyone.
•	 Diverse work groups develop better solutions to business challenges.
•	 Many companies have found that by employing persons with disabilities they have been better able to understand and serve their customers with disabilities. 
•	Adapting services to meet the diverse needs of persons with disabilities allows business to develop greater flexibility, builds reputation and reaches out to a sizeable market.</t>
  </si>
  <si>
    <t>Provide constructive use of free time. Employment gives teens less time to engage in risky behaviors. Learn time management skills. Form good work habits. Instill new confidence, sense of responsibility and independence. Obtain valuable work experiences, which are excellent for a resume. Learn how to effectively manage finances. Even if the teenager is simply using their earnings to pay for their own expenses, they will learn to budget between
clothes, movies.•	Workers with disabilities will increase diversity in the workplace. Businesses that hire people with disabilities may receive tax credits or other incentives.
Employment provides not only income but also opportunities for social participation. This is especially important for persons with disabilities. Spending on systems and facilities for persons with disabilities is not for the privilege of a small minority, but an investment for everyone. Diverse work groups develop better solutions to business challenges. Many companies have found that by employing persons with disabilities they have been better able to understand and serve their customers with disabilities. Adapting services to meet the diverse needs of persons with disabilities allows business to develop greater flexibility, builds reputation and reaches out to a sizeable market.</t>
  </si>
  <si>
    <t>◆Learn how to effectively manage finances. Even if the teenager is simply using their
earnings to pay for their own expenses, they will learn to budget between
clothes, movies.
◆Provide constructive use of free time. Employment gives teens less time to engage in risky behaviors.
◆Learn time management skills.
◆Form good work habits.
◆Instill new confidence, sense of responsibility and independence.
◆Obtain valuable work experiences, which are excellent for a resume.
•	Workers with disabilities will increase diversity in the workplace.
•	 Businesses that hire people with disabilities may receive tax credits or other incentives.
•	 Employment provides not only income but also opportunities for social participation. This is especially important for persons with disabilities.
•	 Spending on systems and facilities for persons with disabilities is not for the privilege of a small minority, but an investment for everyone.
•	 Diverse work groups develop better solutions to business challenges.
•	 Many companies have found that by employing persons with disabilities they have been better able to understand and serve their customers with disabilities. 
•	Adapting services to meet the diverse needs of persons with disabilities allows business to develop greater flexibility, builds reputation and reaches out to a sizeable market.</t>
  </si>
  <si>
    <t>https://enpower-school.com/wp-content/uploads/elementor/forms/5fda36c519747.pptx</t>
  </si>
  <si>
    <t>December 16, 2020, 10:03 PM</t>
  </si>
  <si>
    <t>IFT082</t>
  </si>
  <si>
    <t>priyankavalmiki2005@gmail.com</t>
  </si>
  <si>
    <t>IBDP and CBSE</t>
  </si>
  <si>
    <t>The problem is the wrong beliefs and education system that we have !</t>
  </si>
  <si>
    <t>The problem is that in today's world with rising population of GENZ we are not being taught what is actually important, but instead learning something that we might not even use in the vastly competitive world.</t>
  </si>
  <si>
    <t>The user group whose problem I am attempting to solve is the students waging from kindergarten to masters.</t>
  </si>
  <si>
    <t>This is problem is so critical and needs urgent attention as, if we teach students unnecessary subjects that they will not need to survive in this world then they will remain mediocre the rest of their life and not be able to manage life in a proper way.</t>
  </si>
  <si>
    <t>My solution is to change the education system around and teach students exactly what they want to learn and also what they need to learn to survive this rat race of a world. They will need to study important and gradually increasing subjects like finance, management ,life skills, social development, helping nature, mind improvement etc.</t>
  </si>
  <si>
    <t>My solution is going to reduce the burden on the students all around the world. If governments agree then the change is going to be even more rapidly spreading. The pressure we are putting on students to study stuff is going to reduce, they will live more happily and peacefully, they won't be in a rat race to win and will learn to survive with others and not against others. Being the millennials we are supposed to be the next generation of this world so if we learn things we need and change the traditional education system then it is going to be the most happiest things happening to every student on this Earth especially me !</t>
  </si>
  <si>
    <t>I think that I am the best equipped to offer the solution as I have been thinking about this from 6th grade and now I am in 10th grade. 5 years of wholesome thinking about why I am learning unnecessary stuff has shook me to research on how to change this traditionally education system. Till today to be honest I don't know why I am learning physics, biology, chemistry, math, geography, history and so much more that IB board has put on me !</t>
  </si>
  <si>
    <t>https://enpower-school.com/wp-content/uploads/elementor/forms/5fe5964a31d71.pptx</t>
  </si>
  <si>
    <t>December 25, 2020, 1:05 PM</t>
  </si>
  <si>
    <t>IFT428</t>
  </si>
  <si>
    <t>priyamvadapakhi@gmail.com</t>
  </si>
  <si>
    <t>Cheating during exams</t>
  </si>
  <si>
    <t>It feels so happy when your child ranks 1st in his/her class. But the parents would feel more proud if their child wouldn't have cheated. Yes. This is the situation in most homes. During this pandemic, conducting exams is getting too much difficult. Some cheat from their textbooks, some search on their browsers; even their parents encourage them to do so. Well, this cheating won't go for long. When they will really have to write in their exams, the child's mind is BLANK. We should really see to this problem as our nation is really seeing forward to the future generation's ideas.</t>
  </si>
  <si>
    <t>Students.</t>
  </si>
  <si>
    <t>If cheating is practiced, it won't benifit the child as he/she would not be putting his/her own efforts. They won't gain any knowledge by cheating.</t>
  </si>
  <si>
    <t>To conduct exams just like in school, the schools should be encouraged to collaborate with Mettl. More information can be understood in the Pdf attached. In my Pdf, I've shown a mock test conducted by SOF. It's an Olympiad foundation and seeing my Pdf, you'll be familiarised with what I'm talking about.</t>
  </si>
  <si>
    <t>This method of conducting exams will reduce cheating and will be mostly based on Multiple Choice Questions. The site won't work without microphone or camera access and if the camera is covered, it would give an error. It will also start screen recording and will ensure that no cheating is conducted.</t>
  </si>
  <si>
    <t>I love to study and knowledge should be remembered by heart. I think my idea would really help this nation to grow even in this pandemic.</t>
  </si>
  <si>
    <t>https://enpower-school.com/wp-content/uploads/elementor/forms/5fef0dc2b4add.pdf</t>
  </si>
  <si>
    <t>January 1, 2021, 5:25 PM</t>
  </si>
  <si>
    <t>IFT131</t>
  </si>
  <si>
    <t>premshandilyak14@gmail.com</t>
  </si>
  <si>
    <t>To sanitize the whole room/hall and many indoor places , Ensure best sanitization on electronic devices without damaging and reduce the cost of sanitation</t>
  </si>
  <si>
    <t>The problem is sanitizing without the help of liquid sanitization,and also does not dirty our cloths and many useful things ,that were damaged  by using liquid disinfectant,and also uses do with it smartly.</t>
  </si>
  <si>
    <t>I can say we can use it anywhere anyplace that we want sanitize ( indoor). Mainly these robot belongs to madical,household,offices,school</t>
  </si>
  <si>
    <t>This problem is about covid -19 tra smission ,the biggest problem for the whole world right now. It can insure  that there would be no chance of transmission by the things,objects etc by using AUV-C SR.</t>
  </si>
  <si>
    <t>My solution is make a such a robot that offers you UV-C  SANITIZING  with proper safety measure and in a cheap price , and also it offers you manual as well as automatic and that's why i make AUV-C SR that ensure human safety from UV-C  and also you proper controlling methods</t>
  </si>
  <si>
    <t>I can say ,by using AUV-C SR
i can insure not the trasmission of virus and bacteria from any things ( non -living ) that were kept room/office/classroom etc...</t>
  </si>
  <si>
    <t>Because it is the only project in the world that offers such features with very very cheap price , and ensure safty from transmission from covid -19</t>
  </si>
  <si>
    <t>https://enpower-school.com/wp-content/uploads/elementor/forms/5fe8b91bc2146.jpg</t>
  </si>
  <si>
    <t>December 27, 2020, 10:11 PM</t>
  </si>
  <si>
    <t>Allign it school systems</t>
  </si>
  <si>
    <t>IFT376</t>
  </si>
  <si>
    <t>premjit.hathi1001@gmail.com</t>
  </si>
  <si>
    <t>This problem is not very critical. But, we know the struggle of not being able to clear doubts or have access to information and knowledge when needed. So, although this problem might not be the most critical, it is definitely one that needs to be solved. We like to think Micro as well as Macro. One small, maybe insignificant, issue may not be critical, but if all these small issues compile, they make a very big issue and that is VERY critical.</t>
  </si>
  <si>
    <t>https://enpower-school.com/wp-content/uploads/elementor/forms/5fede52fa7a2b.mp4</t>
  </si>
  <si>
    <t>December 31, 2020, 8:20 PM</t>
  </si>
  <si>
    <t>IFT405</t>
  </si>
  <si>
    <t>prathamkaura936@gmail.com</t>
  </si>
  <si>
    <t>Kaura</t>
  </si>
  <si>
    <t>We want to focus on practical studies so students learn better</t>
  </si>
  <si>
    <t>In science students always complain about no understanding in social studies a large content to learn which make child interest low which cause decline in studies.</t>
  </si>
  <si>
    <t>Its usually problem of majority of students in class that's why they can't score 90/100.</t>
  </si>
  <si>
    <t>This problem is critical as due to no interest in studies make students get away from education that cause there future, life and in future they would be liability on country's economy.</t>
  </si>
  <si>
    <t>Our solution is to create interest students in studies by providing practical kits for science and quiz games for social science</t>
  </si>
  <si>
    <t>These kits and quiz make interest of students in studies. This way there result will also improve.</t>
  </si>
  <si>
    <t>We are best equipped as we can make kits and quiz by our own by buying important materail and place together to create kits and quizzes.</t>
  </si>
  <si>
    <t>https://enpower-school.com/wp-content/uploads/elementor/forms/5fee0d1a4ab29.docx</t>
  </si>
  <si>
    <t>December 31, 2020, 11:10 PM</t>
  </si>
  <si>
    <t xml:space="preserve">Quiz cards for science and social studies. </t>
  </si>
  <si>
    <t>IFT065</t>
  </si>
  <si>
    <t>pkachusarhqfi90@gmail.com</t>
  </si>
  <si>
    <t>2020, bought a rise and success to COVID-19 but it resulted in very sad and bad outcomes. One of those was shutting of the schools not only in India but worldwide, but our innovative teachers and education ministry came up with ideas of online study. We saw this as opportunity and started learning through virtual meeting, we read and studied many a times from PDFs, soon we were giving our tests and exams too on digital applications and websites, it was an interactive and joyful experience. After the pandemic arrived, education was fully functional online but for that a necessary thing was required, which was “Internet”. Despite the technology has succeeded much with the internet speed and quality, it was not available to many students in India. Now who were those students and why they didn’t had internet to use, these were the students of rural areas or those whose parents was poor.</t>
  </si>
  <si>
    <t>Starting from the very first its “Affordability”, maybe a person can use high speed internet every month/day but there are people who can’t even afford it, in a country where a Rupee 1000 per month earner is above the poverty line there, there are many who are very poor and can’t give off their earnings to the service providers. Second reason is “Illiteracy”, there are many who are not educated or can’t read or write and even don’t know about internet, so how will they arrange internet for their kids to study. Some basic knowledge is required about the internet and technologies and the service providers, if they don’t have that then this can be a major issue too.</t>
  </si>
  <si>
    <t>We have a poor fibre optic broadband for internet, which can be improved, also the prices are very high. Fibre wires need to be focused on as they are useful for broadband which gives a good quality speed. We can setup cyber cafes at local or rural locations, so that any student can use the devices or internet required from there. The school faculty can also tie up with the ISPs and provide the internet packs to the students who are poor, those students can pay up the charge later on. The ISPs can also make some broadband packs specially for students who are poor, they should keep those pack prices a little low. Many “yojna” can be also released for it. But its not that, that no work has been done on it, by the latest news government are making Common Service Centre (CSC) over 2.5Lacs Gram Panchayat.</t>
  </si>
  <si>
    <t>https://enpower-school.com/wp-content/uploads/elementor/forms/5fe42ab074c9f.pdf</t>
  </si>
  <si>
    <t>December 24, 2020, 11:14 AM</t>
  </si>
  <si>
    <t>IFT441</t>
  </si>
  <si>
    <t>piyushkapoor@dldavppcbsei.com</t>
  </si>
  <si>
    <t>The complication is that, as per the online education, students now have got liberty to do whatever they want to do. Many of them are now not focused or self-reliant. There are many distractions that make the students inattentive to what they listen. Then after all this, Why cant we develop a single app, which consist of all the other student applications!</t>
  </si>
  <si>
    <t>In lieu of paying attention to the teacher or any other instructor they get involved in various other activities, games or simply go internet surfing with which they have their own loss and later they will regret for the same. So to avoid all this problem and to improve the student future, we can take a single step to develop and improve the condition As the child should understand their own responsibilities.</t>
  </si>
  <si>
    <t>There is not a specific group, whose problem we are trying to solve but according to me now it is national problem which will later result in the weak reporting of child. So basically we can say that the issue can be related with School Students and teacher</t>
  </si>
  <si>
    <t>Because this problem is for limited time, as it is not necessary or even not possible to continue the same for longer period of time just because of this problem. If we wont briskly find a solution to it then it will be high time for us to understand the same. This will probably and surely effect the future of the child and competition of streams instead of being complicated it will become more easy.</t>
  </si>
  <si>
    <t>We can actually develop an app in which almost all the student apps are involved or merged Like: We can merge Google Meet, Classroom, Jamboard, PowerPoint and some editing apps as well like Kinemaster and vita etc. so that there is no need for the child to just simply search on the phone</t>
  </si>
  <si>
    <t>It is simple, because it will surely consume less time, will be rapid and facile for the users, which is the demand of the current modern generation. It will satisfy the basic need/requirements of the student. It will be easier to equip and concentrate. It will build the student to be self dependent, reliant and will improve their self discipline. The main part is it will also result in less consumption of paper</t>
  </si>
  <si>
    <t>May be our solution is different from others. Actually we can say that ours is the best because many are there who can or would have performed much better than us but YES the reason can be that we are working for the benefit of students to enlighten their future and make them successful in being what they want.</t>
  </si>
  <si>
    <t>https://enpower-school.com/wp-content/uploads/elementor/forms/5ff16751693b0.pdf , https://enpower-school.com/wp-content/uploads/elementor/forms/5ff167516a24b.mp4</t>
  </si>
  <si>
    <t>January 3, 2021, 12:12 PM</t>
  </si>
  <si>
    <t>disqualified-no idea here</t>
  </si>
  <si>
    <t>IFT054</t>
  </si>
  <si>
    <t>pgupta1126@gmail.com</t>
  </si>
  <si>
    <t>Many students in India and world wide face many problems in education especially when it comes to disability</t>
  </si>
  <si>
    <t>In India, mostly 30% of population is disabled. The disabled people face many issues especially when it comes to education. While they are already facing many problems some laws do protect the students. Whereas, some dont in india</t>
  </si>
  <si>
    <t>We are attempting to solve the problems which are faced by disabled people especially when they are already facing issues.</t>
  </si>
  <si>
    <t>This problem is critical and needs an urgent solution because according to the constitution of india every citizen is considerd equal. Whereas, this is not seen in current situations</t>
  </si>
  <si>
    <t>For  the people who are blind, we should create or implement braille system in electronics making sure that they are at a resonable price also. Many more, ideas are listed in the powerpoint presentation.</t>
  </si>
  <si>
    <t>The solutions gives benefit through many ways: It makes them feel equal, They can continue there education without worrying about the environment and last but not the least, People who have potential can work in any company which they like.</t>
  </si>
  <si>
    <t>We think that we are the best equipped to offer this solution because during the lockdown we saw that many cases where there. And the education of the students were held online, The people with disabilites were not able to attend the classes because the electronics were not avavilable at a resonable price.</t>
  </si>
  <si>
    <t>https://enpower-school.com/wp-content/uploads/elementor/forms/5fe30993dd84c.pptx</t>
  </si>
  <si>
    <t>December 23, 2020, 2:40 PM</t>
  </si>
  <si>
    <t>IFT409</t>
  </si>
  <si>
    <t>pearldua17@gmail.com</t>
  </si>
  <si>
    <t>The problem is in education nowadays are interactions . Students are not able to interact with teachers like they use to by asking extra doubts ,other than what they use to teach , about what to do or what not .</t>
  </si>
  <si>
    <t>The main problem is interaction between students and teachers. By shifting education medium on online mode has made difficult for students to interact with teachers in person. They can not ask extra doubts ,how they use to ask . Sometimes a students performs not well during exams ,they used to be motivated by teachers ,teachers use to sit timetables for them . Students are not able to interact that way .they cannot ask teachers to explain a topic more than one time as others get disturb .</t>
  </si>
  <si>
    <t>We are trying to solve problems faced by students.</t>
  </si>
  <si>
    <t>This problem is critical and urgently required to be solved as  in this pandemic situation everyday work,studies are shifted on online platforms which can make students a little distracted and make it difficult for teacher and students to interact in person.</t>
  </si>
  <si>
    <t>Our solution is by creating a app known as yearbook. It will make online platform more interactive and make students and teachers punctual and serious about one's education.  
The app has 5 categories which can help students to interact with teachers and share their memories and have discussions.</t>
  </si>
  <si>
    <t>Our app is all about making it easier for teachers and students to interact. Few students feel shy to discuss their problems and few show no interest, it will both types of students and others as well.</t>
  </si>
  <si>
    <t>I think I am best equipped as being a student I know what are problems faced by me and my fellow mates. We also see teachers talking about interacting issues in classes itself.  I think yearbook can make it easier fir both teachers and students to interact with each other .</t>
  </si>
  <si>
    <t>https://enpower-school.com/wp-content/uploads/elementor/forms/5fee0fbb33bf3.pdf</t>
  </si>
  <si>
    <t>December 31, 2020, 11:21 PM</t>
  </si>
  <si>
    <t>An app which will help students to interact with teachers, it has counselling section known and unknown its choice of student to reveal their name or not, voting section for best teacher and monitor for class. The featues looks good need to know more on the costing and building the app details</t>
  </si>
  <si>
    <t>IFT567</t>
  </si>
  <si>
    <t>parshvajain95@gmail.com</t>
  </si>
  <si>
    <t>One of the major limitations of the Indian education system comprising of boards such as CBSE, ICSE, state boards, etc., is the lack of emphasis on extracurricular activities of students, specially in the online class format. Academically, students have the knowledge and skills required but they are not provided the guidance that they require by the education system at an early age to identify their interests and implement those skills in activities that they are passionate about. Extracurricular activities have a major role in university application abroad as well as in one’s personal growth, but the prevalent education system in India lacks the ability to provide guidance required by the students to identify their passion by first exploring their interests in middle and high school. This acts as a major hurdle for student as when they grow up, they lack important skills like leadership qualities, management skills and also humanitarian beliefs that are important in their corporate life and can only develop through extracurricular activities.</t>
  </si>
  <si>
    <t>The problem lies in the schooling system of this nation comprising of Indian boards that shed complete emphasis on academics and do not even consider extracurriculars as an integral part of their education. This results in teachers as well as parents to promote children to focus only on academics and not on exploring their passion. This leads to students having no guidance or influence to identify their passion and develop important skills required in this era. This particular issue gets amplified in the current pandemic and lockdown situation where Indian students now have even less choices and influence, due to lack of interaction and pandemic restrictions, to take on extracurriculars of their interests, thus leaving students no option but to waste their time in the assumption of having no activities to perform.</t>
  </si>
  <si>
    <t>The ‘user’ group that is most affected by this problem are the students themselves as their personal growth is being stalled due to lack of emphasis on extracurricular activities in their life. So, I am attempting to solve the problem of students, specifically the ones belonging to the age group of 11-17 yrs as this period in one’s life is of utmost importance as our activities in this period define our personality and our qualities that is going to benefit them in the rest of their life.</t>
  </si>
  <si>
    <t>This current era consists of immense competition from the western society in the corporate world and with changing times and changing practices of delivering education, it has become important than ever before to promote students to pursue their passion and be more active so that they have the ability and the required skills to effectively deal with such competition in the future.  Thus, this problem needs to be dealt with instantly and more rigorously in such crucial times so that student’s quality of life in the future is not compromised due to this pandemic.</t>
  </si>
  <si>
    <t>An app that will at first register the details of the student as in the standard, school or college board, age, etc., then the app will evaluate the user’s interest based on a series of MCQs, the options would be based on topics such as literature, humanitarian beliefs, sports, culinary arts, social media, etc. based on the answers chosen by the user, the algorithm will shortlist the top 5 area of interest of the user and based on that it will suggest activities that the user can do in those fields with certain resources attached that will guide the user on how/where to perform those respective tasks. For instance, it will suggest the user a list of NGOs if one of its top area of interest is humanitarian beliefs. The app would also consider the current pandemic situation and provide activities that the user can do while staying at home based on the user’s interests with resources that would guide the user on how to do it.</t>
  </si>
  <si>
    <t>The Indian education system fails to effectively guide students to explore their interests and passion, thus it is critically important for a third-party solution that will fill this gap and provide the resources required by the students and help them identify their interest and start developing it at an early age. It is rightly said, “Lack of direction, not lack of time, is the problem. We all have twenty-four-hour days.” With the help of my idea, students would have the direction that they require to build on their interests, and thus this app would significantly benefit the users as it will promote them to develop skills that will definitely help them to be better entrepreneurs, employees, etc., in the future. Further, this idea will also benefit students in this pandemic situation as it will help them to use their free time effectively in activities that they can pursue safely, and overall, this idea will eliminate confusion and stress by providing direction and guidance.</t>
  </si>
  <si>
    <t>Being a student myself, I have experienced the Indian education system, to be specific- CBSE, in my middle school from 7th grade to 10th grade (before 7th I was in IGCSE). And now studying in the IB diploma program (11th grade), I can easily identify the difference between Indian and international curriculums as IB considers extracurriculars an important part of its education system and thus promotes and guides its students to explore their interests, unlike Indian boards. And I have lived this difference as now I can see the impact extracurriculars can have on one’s personality, plus in the beginning I was confused a lot about what activities to do mainly because of the lockdown situation which limited interaction, this led to a phase of confusion for me and my peers as the choices of extracurricular activities were limited. By directly experiencing these problems and understanding its magnitude I decided to propose this idea to help other students with similar problems.</t>
  </si>
  <si>
    <t>January 7, 2021, 8:47 PM</t>
  </si>
  <si>
    <t>IFT367</t>
  </si>
  <si>
    <t>pandeysamriddhi01@gmail.com</t>
  </si>
  <si>
    <t>Samriddhi</t>
  </si>
  <si>
    <t>In this current situation, where the only possible way of education without physical contact or the risk of covid-19, is online learning or E-Learning. But due to this online mode of education many poor children have to face several problems. One of the main problem which they face is to afford the expensive smartphones and laptops. The children who belong to very poor families can't even afford the second-hand ones. Another problem is the technical issues. It happens many times in the online learning that children face poor video and sound quality and keep getting disconnected regularly. Also, many children interrupt their classes and help in household works like to go far away to fetch clean water which is unavailable in their dirty areas. The poor children are facing a lot of problem especially in education field and we must find a solution of this problem as it's a very critical problem and needs a solution.</t>
  </si>
  <si>
    <t>As we all know how important education is, and because of this pandemic many poor children are unable to concentrate on their studies. As I already mentioned, it is very difficult for the economically backwards families to afford the expensive smartphones and laptops to attend the online classes. Even if the children afford the required materials like smartphones or laptops, they often face several technical issues like regularly getting disconnected, poor audio and video quality as they live in a low network area. One more problem faced by them is that children who really want and are interested in studies, get distracted and disturbed due to regular disconnecting. As we know it's a very critical problem, it definitely needs a solution.</t>
  </si>
  <si>
    <t>Here in this case, we are trying to solve the problems of poor children which they are facing in this hard pandemic time. Education is important for all and during such hard time, especially underprivileged children are facing a lot of problem. There are many unprivileged children who want to study but can’t due to financial crunches and other family issues. Every child has the right to education even the poor ones, just like the RTE act launched by government in 2009 mentioned. It describes that the children between the age of 6-14 in India, irrespective of their economic or caste background.</t>
  </si>
  <si>
    <t>As we explained now that education is very important for everyone and all of us equally deserve to get education. Education is not meant for the rich students, it is important for all. Through education only we can get nice jobs and can earn money and education is considered a really important field. Because it’s so important and it is the one who affects our future, we should try to resolve the problem faced by the poor families in their education field the best we can. This problem faced by the poor students is really critical and needs a proper solution.</t>
  </si>
  <si>
    <t>We can divide ourselves in small groups and choose one area. In the area we chose, we can teach the children, following all the safety norms of covid-19. We can even request our teachers to support us and teach the students free of cost. We can make a social helping group in which we will try to donate some money to these children for their education. We can try to encourage people to donate some money, their old tabs or their some of the stationaries if they can. If government and others will support we can definitely help hundreds of such unprivileged children. We students along with our teacher’s support can teach them and donate them stationaries like notebooks, pencils, etc. It will not only help them in this period, but if people keep supporting we can even help them after this pandemic. This donation and education will even help them after the pandemic. If we get some support from government or even from other people, this will definitely help a lot of students and will reduce their struggle and pain.</t>
  </si>
  <si>
    <t>These measures will create a process in which those unprivileged children would be helped and with our support along with the government, they will provide the country with a good future. Also illiteracy is one of the dimensions of the poverty and with this solution there would be reduction in the poverty ratio in our country. There are many students who want to study but can’t due to poverty but with these measures they can get all their essentials and can lead a successful future. The products provided will be sanitized and tested for Covid-19, so there is no chance or risk of Covid-19. With this solution the poor students can get all their study materials free of cost and can study. This will not only help them during corona virus but if there is still support, this money can still be used by them to buys stationary for regular classes, books and etc.</t>
  </si>
  <si>
    <t>We, as students, can certainly request our school authority to help us in this humanitarian act. In social media sites, watching these things other people may also start these measures in their cities and towns. Gradually the number of people will increase who will carry on this work and as much as they can and will help the poor to be literate. We as students can understand their feelings and how it feels to be illiterate. So we will try our best to help them in this hard time by teaching them along with teacher’s and other’s support.  If the necessary support by all of us is provided, it will definitely help those unprivileged children a lot.  It will reduce the struggle and pain amongst the poor students and can change many lives. It will improve their future and will help them a lot. So as we got a chance to present our views and the solution provided has many advantages without covid-19 risk, we think we are the best equipped to offer this solution.</t>
  </si>
  <si>
    <t>December 31, 2020, 7:07 PM</t>
  </si>
  <si>
    <t>Their idea is very noble to help underprivledge students by providing them with education, old tabs and mobiles. There are many NGO's which are doing this, if they have better plan can be discussed.</t>
  </si>
  <si>
    <t>IFT163</t>
  </si>
  <si>
    <t>palash.3017@gmail.com</t>
  </si>
  <si>
    <t>Population is increasing at an alarming rate due to which it has become very difficult to satisfy all people needs and now it is high time for initiating some strict policies against it . population is  an asset for the country but overpopulation is a problem for the country .</t>
  </si>
  <si>
    <t>Because of such a large population many people can't earn their basic needs . Due to this disguise unemployment has become very common in India . Even the natural resources are even getting polluted and even diminishing at a very fast  rate . Many people who can be an asset to the country are becoming liability .due to this there is a cut throat competition between the coming generations which is leading to many mental and physical problem . another main thing is the educated unemployment which can be seen usually.</t>
  </si>
  <si>
    <t>Uneducated people who do not know about family planning ,people who think that the children would be a helping hand in  their work and more children means more helping hands for them  .  it is difficult to sustain a huge family as compared with a small family . In unorganised or rural sector it has become a very big problem .</t>
  </si>
  <si>
    <t>This is a critical problem as it is easy to satisfy less people with their needs as it is important that we should maintain quality population not quantity population.</t>
  </si>
  <si>
    <t>Educate everyone about the family planning methods especially who are living in rural area and students in rural areas could not keep pace with their studies as they have to help their parents in doing work so many times they could not complete their full education and because of this they do not know about these methods so we should provide this education at elementary level of schooling .</t>
  </si>
  <si>
    <t>1.It may result in the reduction in poverty .
2.Betterment in the living standards of people
3.It may also result in the  reduction of crime rate 
4.Betterment of hospitals and schools.
5.population would be an asset instead of being a liability</t>
  </si>
  <si>
    <t>Many people are facing problems related to this everyday  and because of this many people may have written about this problem but every person content would be unique.</t>
  </si>
  <si>
    <t>December 29, 2020, 1:05 PM</t>
  </si>
  <si>
    <t>IFT138</t>
  </si>
  <si>
    <t>palakrai16133@cambridgefoundationschool.com</t>
  </si>
  <si>
    <t>9th</t>
  </si>
  <si>
    <t>The problem is that many people around the world are poor.</t>
  </si>
  <si>
    <t>The problem is that many people around the world are poor and uneducated and due to this they cannot send their children to school and afford books. Instead they consider them as their helping hands and also discriminate among boys and girls.</t>
  </si>
  <si>
    <t>The 'user' group whose problem I'm attempting to solve is poor children who are willing to study but cannot buy books are left uneducated.</t>
  </si>
  <si>
    <t>This problem is critical because many children do not get their right that is right to education. Those who want to study also but  lack behind in terms of education. If many people in a country are left uneducated and  poor then the country will also never become a developed country.</t>
  </si>
  <si>
    <t>The solution is that students should donate their old books and notebooks. People should be educated that both boys and girls are equal and both of them should get same opportunities and facilities.</t>
  </si>
  <si>
    <t>The solution will help them and they can get books and notebooks free of cost or at cheap rate and the students who will donate will feel good and instead of throwing their books they can use it by giving them to others. Being educated, people will understand and eliminate discrimination and bring about unity</t>
  </si>
  <si>
    <t>I think that I'm the best equipped to offer this solution because this is not costing us anything and this will also benefit other people and we will also become happy seeing them.</t>
  </si>
  <si>
    <t>December 28, 2020, 3:29 PM</t>
  </si>
  <si>
    <t>IFT410</t>
  </si>
  <si>
    <t>palakpalak655@gmail.com</t>
  </si>
  <si>
    <t>Teaching becomes a profession which requires huge sacrifices, when it comes to a teacher's health. In this era, with an increase in the level of air pollution, it becomes difficult for teachers to cope up with chalk dust produced while writing on boards and teaching students. Also, some senior teachers are a prey of respiratory diseases and to top it all it deteroirates the decent look of teachers, when the chalk powder falls on teachers blazers and sarees. Henceforth it was many issues</t>
  </si>
  <si>
    <t>While teaching students in classrooms, it becomes quite problematic for teachers when they write on Green boards and chalk particles fall on their clothes. Also, it deteroirates the health of teachers who are preys of respiratory problems. Henceforth the profession of teaching puts them into difficult situations.</t>
  </si>
  <si>
    <t>The 'user' group will be basically Teachers and foremost students for an interactive session in classroom.</t>
  </si>
  <si>
    <t>The problem is critical and needs an urgent solution as 'Health is Wealth'. Already the pandemic period has hampered our lifestyle to an extreme extent and the immunity level of people has lowered. Henceforth we have to be a part of the solution for a safer tomorrow. As influenza, breathing issues, coughing and sneezing are already alarming symptoms. Henceforth, being a student it is my duty, to take care of my mentors.</t>
  </si>
  <si>
    <t>The solution probably can be the construction of a "Two in One Duster". It will comprise of a wider body, adhering to the size limit so that the chalk powder collected by the cloth of the duster is stored inside it's machinery wherein it will be processed and furthermore it will be  converted into new chalks . It will comprise of different sections for collection storage, and production.</t>
  </si>
  <si>
    <t>The reduces pain in the following ways :-
1. It will help teachers suffering from respiratory diseases in coping up with the help of "Two in One Duster". As the chalk dust will be directly stored in the storage tank and henceforth processed for it's conversion into brand new chalks. 
2. The appreance won't be affected. At times, teachers have to clean the sleeves of their blazers with handkerchiefs before meetings, as chalk dust makes their clothes dirty and adds disgrace to their personality
3. It will help teachers and students by giving them a new experience.</t>
  </si>
  <si>
    <t>It's my pleasure and duty indeed! I have to look forward and take care of my teachers as they are my well-wishers. Also, I can't let their efforts go into vain as they are the ones who prepare us for our future. We have to understand their problem as it becomes a great issue in terms of healthcare too, and helping them in fighting with this issue will surely make them proud and enhance our learning too!</t>
  </si>
  <si>
    <t>December 31, 2020, 11:36 PM</t>
  </si>
  <si>
    <t>The idea is to make duster by with the particles collected can be reused to make chalks and the duster will be specially designed that teachers wont fall prey of chalk dust. but how will they implement not explained</t>
  </si>
  <si>
    <t>IFT091</t>
  </si>
  <si>
    <t>pakhidps1202@gmail.com</t>
  </si>
  <si>
    <t>Life skills is considered to be just a subject but in reality it is a skill that helps us to face problems in daily life. The children take it too leniently.</t>
  </si>
  <si>
    <t>We all as human beings know how important Moral Values and Life Skills are, but these topics don’t get the attention and importance they need. If learners will not be aware of expected behavior like self-discipline and decision making, they will never be accepted anywhere and maybe they won’t trust themselves either. Maturity is required in every sphere of life and this too comes under Life Skills. It plays an influential role in the behavior of an individual. Thus, this is our main concern, the way of teaching this subject to the current and future generations.</t>
  </si>
  <si>
    <t>We are trying to solve the issues faced by the current and the future age groups because the future generation is going to walk in the footsteps of the current generation and make the world proud. In today’s growing world, everyone needs to know the importance of Life skills and its usage in day-to-day life. Moral Values help us to differentiate between what is right and what is wrong. It helps us to move on the path of success and prosperity. The usage of these values helps us to be creative, open-minded, a good communicator and a skilled problem solver.</t>
  </si>
  <si>
    <t>This situation is critical and needs to be solved immediately as Life skills is the key to living happily and peacefully. It teaches us to treat everyone equally and respectfully. In earlier days, different countries used to quarrel and this used to end up in humungous wars and destruction. By promoting unity and diversity (which also comes under Life Skills), we can prevent huge wars and save hundreds of innocent lives and maintain World Peace. Therefore, we should promote Life skills as a big part of education and spread awareness about the importance of Moral Values in our life.</t>
  </si>
  <si>
    <t>These days, people do not believe in humanity, welfare and goodwill as they think this would only leave them betrayed and fooled by others. Books that contain real-life experiences of famous personalities can inspire learners and therefore, they would want to follow them. Animated short films based on values should also be filmed as it would fascinate and encourage children to perform better in life and make amends. This will not only help them to learn and know about the moral values but also help them explore the world from a different perspective. Life skills will also help young minds to indulge in teamwork and lend a helping hand to people who need it.</t>
  </si>
  <si>
    <t>Life skills are life lessons that help us to go with the flow of life. Due to the less knowledge of Moral Values, fights are getting really common these days. People strike a fight on simple matters which leads to bigger destruction in relationships like domestic violence. Our solution This is extremely detestable for the development of the country. So, Moral Values will educate the citizens to think rationally and maturely and make the world a better place to live. 
These days, people do not believe in humanity, welfare and goodwill as they think this would only leave them betrayed and fooled by others. Books that contain real-life experiences of famous personalities can inspire learners and therefore, they would want to follow them. Animated short films based on values should also be filmed as it would fascinate and encourage children to perform better in life and make amends. This will not only help them to learn and know about the moral values but also help them explore the world from a different perspective. Life skills will also help young minds to indulge in teamwork and lend a helping hand to people who need it.</t>
  </si>
  <si>
    <t>Our solution will provide the users with distinct benefit and reduce their pain as Life skills teaches us to solve any problem that comes in our way. As depression and stress are the main complications of today, we need to find a way to stop it. We can do so by educating more and more people about happiness in little things.  According to WHO, 56 million Indians suffer from depression and another 38 million Indians suffer from anxiety disorders. By introducing classes for depressed people, we can help them out of depression and offer them a new life to live.</t>
  </si>
  <si>
    <t>https://enpower-school.com/wp-content/uploads/elementor/forms/5fe5f821337d0.pptx</t>
  </si>
  <si>
    <t>December 25, 2020, 8:03 PM</t>
  </si>
  <si>
    <t>IFT554</t>
  </si>
  <si>
    <t>offerzone12315@gmail.com</t>
  </si>
  <si>
    <t>Key problems faced by students and Teachers
Students use other apps in the background
; Lack of concentration in online classes
; Lab practicals cannot be shown to students
; Students enter with fake names to disturb classes
; Need to search a lot to get access to the previous year question papers
; Teachers cannot get to know if the students have understood what was taught</t>
  </si>
  <si>
    <t>Due to corona pandemic education has shifted to online mode but it is not very effective because some students do not join classes, some join class but they run other app in background, some sleep and also teachers are not able to know the attentiveness and effectiveness of what they are teaching. Also students have to sit for hours in front of screen for classes writing practicals leading to eye strain and headache.and students cannot see practicals which they are suppose to see</t>
  </si>
  <si>
    <t>All the teachers, Educational institutions and colleges. It also benefits students.</t>
  </si>
  <si>
    <t>This problem is critical  because if good quality education is not provided it can harm the future of our country.</t>
  </si>
  <si>
    <t>We desire to build an app that will have a unique function i.e. Teachers teaching can post Mcq question of the topic that is being taught in the class. A leaderboard will be created based on the number of correct answers which will be displayed to the teacher and all the students attending the class, and some basic features like a digital whiteboard, participant list, video, the audio will be included, The app will also include previous year question paper and chapter wise questions for different classes. The app will also include recorded lab practical experiments in different classes. Revenue model, The functions like previous year paper and recorded lab practicals would be free for everyone and will earn revenue through ads, this will attract educational and different companies to advertise through our platform as we will have data regarding a students class, name, age, etc and will help reach their target audience. Teaching through our platform will be a paid service, and there will be a monthly charge to teach through our platform like for eg - RS 99 or RS 149 can be charged. After you sign up using mobile no. A 1-day free trial will be given so that the user can try our service.</t>
  </si>
  <si>
    <t>It will help teachers to know if the child was attentive in the class, it will help the teacher know if the children understood all the concepts taught, it will create a healthy competition among students, help the student to know if he understood the concepts, help them to practice through free question paper and chapter wise questions, help both teacher and student to understand concepts through practical experiments.</t>
  </si>
  <si>
    <t>I believe that I have the ability to drive the project to great heights. As I have seen business since my childhood and have the required skills. I believe this can be the next big thing</t>
  </si>
  <si>
    <t>January 7, 2021, 5:10 PM</t>
  </si>
  <si>
    <t>IFT512</t>
  </si>
  <si>
    <t>nknauman007@gmail.com</t>
  </si>
  <si>
    <t>CMR National PU College</t>
  </si>
  <si>
    <t>11th</t>
  </si>
  <si>
    <t>Disadvantages of Online Classes:
 Reputation
Many firms and institutions are quick to dismiss an online education. If two candidates are interviewed who are exactly in the same in every respect, except one studied at a conventional university and the other studied online, in many cases the student who studied online will miss out.
 Lack of Social Interaction
One of the biggest disadvantages in studying online is the lack of social interaction. This is especially relevant for young undergraduates who should be making friends and having a great time. University is important for your career, but don’t forget that you will meet friends at schools and colleges that will last you a lifetime.</t>
  </si>
  <si>
    <t>Current situation of education system in India is completely online based due to the pandemic of covid-19.
Schools, colleges have been closed since March 2019 as a guideline and instruction given by the Govt. of INDIA to prevent the spread of covid-19 and as a precaution.
Schools and colleges have started online classes for the students as per the instruction given by the Government and its running smoothly with the reduction of annually portions of all the respected subjects.</t>
  </si>
  <si>
    <t>STUDENTS aged between 8-19years.</t>
  </si>
  <si>
    <t>Lack of Resources:
Students in the rural areas are affected the most because lack of resources, no proper network, cannot afford to purchase gadgets, smartphones etc….</t>
  </si>
  <si>
    <t>SOLLUTION FOR EDUCATION SYSTEM FOR UPCOMING YOUTHS AND STUDENTS:
As a responsible citizen of India we need to take some measures to improve and uplift the education system in rural and as well as urban areas. We need to raise funds from the government and the investors to boost our service in the rural and urban areas and as well as maximize profits to our business enterprise. We must provide a unique service and education that schools and colleges are not providing. It must be affordable to all the students and parents and satisfy them with our service and educating the student. Those who cannot afford, we need to solve this problem together with the central government and provide free education to them with all necessary gadgets to boost education with passion in the entire country and also maximize profits to our enterprise and team.</t>
  </si>
  <si>
    <t>As a student and citizen of India I and all the passionate entrepreneurs, business administrators, government employees, investors etc can join together and solve this problem with effective methods and measures and also maximize profits to our enterprise.</t>
  </si>
  <si>
    <t>https://enpower-school.com/wp-content/uploads/elementor/forms/5ff5a1a81aa81.pdf</t>
  </si>
  <si>
    <t>January 6, 2021, 5:10 PM</t>
  </si>
  <si>
    <t>IFT037</t>
  </si>
  <si>
    <t>nivithpmurali.8d@gmail.com</t>
  </si>
  <si>
    <t>THE PROBLEM IS AS BRAIN IS CONSIDERED AS THE MOST IMPORTANT PART OF HUMAN BODY IT SHOULD ALWAYS BE KEPT HEALTHY ALSO SO BY BUILDING SUCH A DEVICE IT WOULD BE REALLY USEFUL FOR PARENTS .</t>
  </si>
  <si>
    <t>AS WE KNOW BRAIN IS THE MOST IMPORTANT PART OF A HUMAN BODAY AS WITHOUT IT WE ARE JUST BUNCH OF MEAT AND ORGANS SO ITS IMPORTANT TOO KEEP IT HEALTHY AND FINE AND NWB TRACKER IS USED TO CHECK ITS HEALTH AND CONDITIONS</t>
  </si>
  <si>
    <t>STUDENTS AGE ANY</t>
  </si>
  <si>
    <t>I THINK LIKE THAT THE NEXT GENERATION IS TO BE LEAD BY THEM SO THERE MENTAL HEALTH SHOULD BE GOOD SO THAT THEY CAN GIVE THERE FULLEST</t>
  </si>
  <si>
    <t>NWB TRACKER IS A SPECIAL DEVICE WHICH CAN BE USED TO TRACK THE ACTIVITY OF BRAIN IN STUDENTS</t>
  </si>
  <si>
    <t>NWB TRACKER WILL BE A  BAND WHICH CAN BE WORE IN THE HEAD JUST LIKE A WORKOUT BAND THERE WILL BE SENSORS WHICH ARE CAPABLE OF READING THE BRAIN WAVES AND DECODING IT SO IT WOULD BE COMFY</t>
  </si>
  <si>
    <t>I THINK BECAUSE SUCH IDEA HAS NEVER BEEN DONE BECAUSE CURRENTLY ITS REALLY COSTLY BUT THIS WONT BE AS WE ARE ONLY FOCUSING IN THE MAIN POINTS</t>
  </si>
  <si>
    <t>https://enpower-school.com/wp-content/uploads/elementor/forms/5fe00fa665a46.pptx</t>
  </si>
  <si>
    <t>December 21, 2020, 8:29 AM</t>
  </si>
  <si>
    <r>
      <rPr>
        <rFont val="Calibri"/>
        <color rgb="FF1155CC"/>
        <sz val="11.0"/>
        <u/>
      </rPr>
      <t xml:space="preserve">https://www.diygenius.com/hacking-your-brain-waves/
</t>
    </r>
    <r>
      <rPr>
        <rFont val="Calibri"/>
        <color rgb="FF000000"/>
        <sz val="11.0"/>
        <u/>
      </rPr>
      <t>This tracking system is already available in $199 in amazon which tracks the waves of the brains. The idea is good if the pricing is less and this will help parents to track the mental health of students.</t>
    </r>
  </si>
  <si>
    <t>IFT003</t>
  </si>
  <si>
    <t>nihalnihz95@gmail.com</t>
  </si>
  <si>
    <t>From the beginning of the education system there were always people who always beleived that practical and applied studies have better effect than theoretical studies. During this time of pandemic studying at schools is not possible also its very hard to study because online classes are considered to be lonely which makes some people to lose interest in the class. Also during this time lab activities and many more practical exercises which are supposed to be done is not possible.</t>
  </si>
  <si>
    <t>Online class is very lonely and also makes us lose interest in class. Also people seem to enjoy their class when it is more entertaining. If we are able to teach students the laws of physics by demonstrating them the whole process is imprinted in their brains.</t>
  </si>
  <si>
    <t>The user group can't be classified to a particular group because it can applied to all groups but if we have to I would say that I am trying to solve the problem the visual and practical learners are facing during this time. I am a practical and visual learner myself so i am facing the same problems so I can understand their situation during the time of COVID-19.</t>
  </si>
  <si>
    <t>I beleive that this is a critical problem and need urgent solution for the visual and practical learners because I am also a practical and visual learner and I am always having trouble finding my classes entertaining during this time also this makes it very hard to concentrate. So from experience i beleive that this problem needs an urgent solution.</t>
  </si>
  <si>
    <t>My solution is to have pre-recorded virtual reality classes. Virtual Reality is the best way to solve this problem and also the VR gears can be made from home so there is no cost problems for poor people also. The advantages of pre-recorded classes are that it can be animated for entertainment, it reduces the workload of teachers and also students dont have to bother losing attendance or missing the topic taught because of internnet problems because it can be downloaded.</t>
  </si>
  <si>
    <t>It makes learning entertainig for the students. Pre-recorded classes can be made more inetersting thorough animation and also students can download and learn missed topics anywhere and anytime. It can be downloaded as offline classes as well.</t>
  </si>
  <si>
    <t xml:space="preserve">I am sure that I am the best equipped onee to offer this solution because I am a High School student studying in 10th and I am also best at visual and practical learning so I have already experienced these above mentioned problems by-myself firsthand.
</t>
  </si>
  <si>
    <t>https://enpower-school.com/wp-content/uploads/elementor/forms/5fca58f83dea7.png</t>
  </si>
  <si>
    <t>IFT523</t>
  </si>
  <si>
    <t>neemasingh972@gmail.com</t>
  </si>
  <si>
    <t>Neema</t>
  </si>
  <si>
    <t xml:space="preserve">Army public school, Barrackpore
</t>
  </si>
  <si>
    <t>Problem faced by the students during covid -19 situation</t>
  </si>
  <si>
    <t>Because of the outbreak of covid -19 the scenario had been changed completely and people are finding it difficult to adopt itself as per changes it has never happened in world history that a pandemic has caused so many problems and this is effecting students mentally .</t>
  </si>
  <si>
    <t>Yes , I am trying to solve the problems of students because students are facing anxiety ,worry ,fear etc and they are finding it difficult to adopt themselves as per the changes .</t>
  </si>
  <si>
    <t>I think the problem is critical because students are going from mental stress especially who are in rural areas who do not have access to technology and online learning .Nowadays students are neither able to attend the school nor they are able to meet up with their friends and go outside to refresh their mind and reports are also showing that due to this situation many students have attempted suicide , depression and many atrocious situation which is a critical issue and should be looked upon.</t>
  </si>
  <si>
    <t>In my opinion,I think Students should try to be motivated during this situation and should try to cope up with this situation bravely ,when missing friends they can talk to them via video call or chats to keep themselves engaged they should try to follow their hobbies and should be thankful as they got ample of time to spend time  with their families and got the opportunity to study online which every students in their life have dreamt of  and should try to 
 be positive on the same note I am requesting teachers and mostly parents to take care of students as most of the time students are sitting at home and attending classes so parents should try to examine their situation and should try to help out in their issues .</t>
  </si>
  <si>
    <t>I think my solution will help students to realise and examine their situation and will help them to remain positive which is very essential in this situation</t>
  </si>
  <si>
    <t>I think I am best equiped to give solutions because I am also a student and I have also faced the same issue and gone through same problems and I know this situation very precisely that's why I think I am best equiped to give my opinion because it may benefit the students who are facing the same problem.</t>
  </si>
  <si>
    <t>January 6, 2021, 9:11 PM</t>
  </si>
  <si>
    <t>IFT398</t>
  </si>
  <si>
    <t>neeljoshi18@gmail.com</t>
  </si>
  <si>
    <t>This lockdown has pushed all of us to our farthest corners, not only socially, but mentally and physically also. Don’t get me wrong, but you might find me snacking a packet of lays behind the bars of my laptop screen. Trust me, you don’t know what 6 hours of school, that too online makes of you. We are not trying to criticize what we have in hand, not to mention the fabulous job done by the education department in handling the whole situation so practically without making us compromise on our studies in these struggling times. We are not saying what they have done is bad, we are saying that it can be done better, redefined, reconsidered, reanalyzed, reexamined and reevaluated  - and that’s what we are going to do.</t>
  </si>
  <si>
    <t>We have traditionally been taught with chalk and boards and so learning with powerpoint presentations is difficult to understand. Because of the minimal movement done by our bodies in a period of 6 hours, our legs aren’t able to hold us anymore, our eyes strain out. Breaks are also not appropriately given. The internet straggle and croaky voice of teachers leads to missing out on principle points. Online classes become an unideal place to study and the background noise of household chores leads to blurred images of learning.</t>
  </si>
  <si>
    <t>The schools are our target audience. Education is not only education; it is a business. Our audience are all the educators, not only schools but also private tutors and organisations which are looking for a way to make their classes more interactive and efficient. We are the ultimate solution for them, better than any other virtual meeting platform. Apart from being offered a seamless experience you will also be offered complete assurance of your students not being distracted by some other websites and also to remind you, our background noise reduction feature.</t>
  </si>
  <si>
    <t>Education is one of those things that you cannot get a break in. In our lives there have been many changes, schools and universities have been closed down which has affected the students’ education. However, learning should never stop and hence with the use of technology and online learning platforms things have become easier. Thus after spending hours and hours of hard work, we came to a conclusion to create an app that would strike out all these problems and bring the student life in motion. Students should not have to compromise on their studies for a pandemic that is going on.</t>
  </si>
  <si>
    <t>To deal with the powerpoint presentation problem, schools can make use of our app, which will use AR technology to render the best learning experience possible, in real time by offering a virtual whiteboard. Taking into consideration the jam of our hands and legs and the lack of physical activity, we would like to introduce another feature of our app, the move ring and the virtual trainer which will set AI generated, personalised milestones for you which you will have to complete by the end of the day. Pertaining to the lag issues and the constant fluctuations in the wifi,our app has the flexibility to go offline. Next, we would like to present our succeeding feature, background noise reduction. So this will take input, and allow our AI technology to alter the voice such that there will be no background noise, almost like hearing a person in real life.</t>
  </si>
  <si>
    <t>Our app is not like others you would see, it will assure the child’s parents that your child is well within the boundaries of the app and won’t be wandering in this whole realm called the internet. In case you don’t want your child to be online in the first place, we are happy to let users use our app offline. Students are tired and their legs are jammed sitting at the home for 6 hours of school, thus the virtual trainer will train your students in a way of face-to-face learning. You must be wondering about how good it would be to not only hear a streamlined voice, but also deliver that kind of voice, therefore, the background noise cancellation. The features we offer are nowhere to be seen in other platforms. We already have what they offer, plus more. Also all the tasks and marks are stored in ONE portfolio of yours.</t>
  </si>
  <si>
    <t>Education² is an app cum website based off all the problems faced in real life during online classes. Education² uses Artificial Intelligence and Augmented reality. It builds a simple interface where the teacher and the student get the essence of the face-to-face learning. From background noise reduction to offline availability, virtual trainer and whiteboard to move ring, everything gives the user an imperfectly perfect experience. We have a feature where you can submit your assignments online which will be assessed by your teacher. The children's distractions will all disappear when you meet our ONLINE HANDSHAKE feature. In this the students and the teachers can interact and send messages to each other, ask doubts, or share notes but this will be restricted to useful talks only. You can toggle between various classes to hear what’s going on in there. Hereby, we urge all the schools to pursue our app and enhance the impactfulness of online classes.</t>
  </si>
  <si>
    <t>https://enpower-school.com/wp-content/uploads/elementor/forms/5fee035434d00.pdf</t>
  </si>
  <si>
    <t>December 31, 2020, 10:29 PM</t>
  </si>
  <si>
    <t>Its a nice idea of an app Which will use AR and AI technologies. They are trying to solve the teachers as well as students problem. The features explained are worthy and they have tried making  prototype rough app.</t>
  </si>
  <si>
    <t>IFT158</t>
  </si>
  <si>
    <t>nayanikabarua9@gmail.com</t>
  </si>
  <si>
    <t>Increased role of teachers in the teaching-learning process because of which sometimes students feel the present system of education boring and take it for granted.</t>
  </si>
  <si>
    <t>In the present education system, the increased role of teachers in every sphere of teaching has made it difficult for many students to express their ideas and views. As the teachers are senior to most of them, the children feel hesitant to share their thoughts. Therefore many of their doubts remained unsolved</t>
  </si>
  <si>
    <t>The user group includes students and teachers, mainly the students who play the major role in building and transmitting ideas to their fellow mates. Teachers will also be sort of relieved from the huge pressure of work they have if there are at least two classes per week dedicated where the students will their classmates. In this way, it will be immensely beneficial for both the user groups.</t>
  </si>
  <si>
    <t>In school some students are introvert and mostly find it difficult to come up with their ideas or thoughts in the fear of getting scolded by the teachers or humiliated in front of their class mates. Thus these ideas remain suppressed and the doubts remain unsolved and therefore their education from school is half done. Thus, this problem is critical and needs an urgent solution.</t>
  </si>
  <si>
    <t>An education system where teachers will play the minimal role and the students themselves after going through a topic shall teach the children each alternative day will make them more interested and more involved in the teaching-learning process. The student himself/herself who is teaching will become much more assured and knowledgeable of the topic he/she is teaching and shall lead to the overall benefit of the students and the children.</t>
  </si>
  <si>
    <t>The education system where students will be made to teach other children atleast once in a week also shall prove to be of immense help. It will boost the children's self confidence and shall improve their communication skills. Morever the children who are the listeners shall become more comfortable with the teaching and learning process. They can easily solve their doubts from their classmates and will become less petrified with the whole system. Of course at the end this system of education can be a success.</t>
  </si>
  <si>
    <t>The problem of students can be best understood by the students themselves. It is perhaps not only my partner and me but anyone among the childeren who can come with the ideas contributing to the benefit of the entire education system. The students have the best experience of the present system of education and can tell the pros and cons of our present day method of teaching. Therefore I think we as  a group are best equipped to offer the solution of the problem.</t>
  </si>
  <si>
    <t>https://enpower-school.com/wp-content/uploads/elementor/forms/5feabc8398e15.pdf</t>
  </si>
  <si>
    <t>December 29, 2020, 10:50 AM</t>
  </si>
  <si>
    <t>IFT432</t>
  </si>
  <si>
    <t>navtejparmar2008@gmail.com</t>
  </si>
  <si>
    <t>Problem of drug abuse by youth in India.</t>
  </si>
  <si>
    <t>The problem of drug abuse by youth in States like Punjab and Haryana has reached an alarming level. The youth of these border states who were earlier known for being great sportspersons and soldiers are now getting the dubious distinction of being drug addicts. This a very dangerous trend which tends to spoil the health of a whole new generation.</t>
  </si>
  <si>
    <t>The user group who are affected by drug abuse are mostly teenagers and youth in their early 20s which is infact the most impressionable age.</t>
  </si>
  <si>
    <t>I believe that this is a very critical problem because it is like a ticking time bomb which can explode any time. The drug addicts at such a young age are very dangerous for the society as they can be exploited by anti-social elements to indulge inany destructive activity.</t>
  </si>
  <si>
    <t>The solution I propose for solving the social evil of drug abuse is that our international borders should be sealed to ensure that there is no trade in harmful drugs from across the international border. The laws should be changed to provide for death penalty for any person who is found supplying drugs to the youth. Punishment should be even more severe if any police man or government officer is found involved in drug trade.</t>
  </si>
  <si>
    <t>My solution spares the youth and teenagers from being persecuted by law enforcement agencies but provides for severe punishment for the people who try to get rich quickly by supplying drugs to our youth.</t>
  </si>
  <si>
    <t>I feel that I am the best equipped to offer this solution because I belong to the border state of Punjab. I have with my own eyes the sad fate of many teenagers who fall prey to drug dealers</t>
  </si>
  <si>
    <t>January 1, 2021, 7:24 PM</t>
  </si>
  <si>
    <t>disqualified- not education related</t>
  </si>
  <si>
    <t>IFT371</t>
  </si>
  <si>
    <t>navi09064@gmail.com</t>
  </si>
  <si>
    <t>Our idea can apply to any age group who aspires for online education, such as school going children, university students, teachers and any person who wishes to become a part of online education medium, but it applies especially to the age group of school going children, i.e, 3-18 years old and their teachers.</t>
  </si>
  <si>
    <t>https://enpower-school.com/wp-content/uploads/elementor/forms/5fede046379fd.mp4</t>
  </si>
  <si>
    <t>December 31, 2020, 7:59 PM</t>
  </si>
  <si>
    <t>IFT130</t>
  </si>
  <si>
    <t>navedhyam001@gmail.com</t>
  </si>
  <si>
    <t>online class makes student's lazy , not has attentive has in normal class and some student who have low internet cannot attend class properly and sometimes they open other tab and watch video on youtube or play games, and clearing doubt is difficult in online classes because of the high internet usage if they use microphone that makes screen blur and high internet usage can sometimes make your internet over and you can't attend other classes and the screen makes your eye weak because of screen's high light and if the child has any problem and he cannot attend the class they should have download the class option, opening and reading every kids chat it will make teacher delaying class these are some problem's in online class and in our school website we don't have to switch on camera which makes the student rome here and there in his house</t>
  </si>
  <si>
    <t>the biggest problem which everyone have is the high internet usage and outside disturbance like youtube and muting school tab and playing games. our school uses a website called 'entrar' which makes us use other tab or play game is easy because when we have classes we can use the google feature to mute tab and we can play games because teacher doesn't get notified if the student is using the other tab. Watching online classes made my friends eye sight weak because of high brightness of the screen . sometimes when my internet gets over i can't watch the other classes .switching on the camera is not compulsory in our school which makes benefit for the child.</t>
  </si>
  <si>
    <t>I am trying to solve my school app or website 'entrar' and my cousin's 'topper of ryan school'  the problem they or this app is high usage of internet and the teacher doesn't get notified if they are using other tab . These website does use lots of internet and the download option is not there for any class which makes the student miss a class in his or her urgency . in 'entrar' the teacher can download the class or class is saved in the entrar backend but student can't and student should ask the supervisior or class teacher and the video will take 1 week to come to student . The kid can use the other option listen only mode instead of using microphone mode which makes the kid not un-muting himself if the teacher ask him question.</t>
  </si>
  <si>
    <t>then problem of can't interact with the teacher properly make kid have more confusion and high internet usage make the child not attend the class properly or can't attend the other class then the teacher not getting notified and not switching on the camera or using only listen only mode makes the child in very good benefit.</t>
  </si>
  <si>
    <t>my solution is to re-design my school website and keeping only one mode which is microphone and cancel out the listen only mode and when class start's the screen will be on full and if the child exit full screen the teacher will be notified and when we send a private chat the teacher gets it on the bubble notification and switching on camera would be compulsary or other people can't watch you only teacher can see you. Internet usage will be less because of video quality and there would be a download class option and brightness of screen will be low or in night vision makes child eye proper and internet usage will be really low because of video quality children not using the other tab and the color would be white which will take less internet usage.</t>
  </si>
  <si>
    <t>my solution would help teacher to get attentive class and children can not escape from the class and watch youtube or play games. the internet will be used really less having night vision on screen which will not effect the child eyes and teacher can ask student doubt.</t>
  </si>
  <si>
    <t>because of checking out all problems it makes me the best equipped and  my solution has all advantage to teacher and student's future and  i am sure that student can study properly nor can feel that they are in real class though i did not mention about homework because i don't feel any thing wrong or having problem in that.</t>
  </si>
  <si>
    <t>December 27, 2020, 9:32 PM</t>
  </si>
  <si>
    <t>IFT616</t>
  </si>
  <si>
    <t>namankaushik9876@gmail.com</t>
  </si>
  <si>
    <t>When we locked our car and someone inside the car feeling suffocated. When children or pets inside the locked car they are dead due to suffocation.</t>
  </si>
  <si>
    <t>We see that many children and pets are dead due to suffocation in a car. When the car completely closes or locked the proper amount of oxygen did not come and carbon dioxide did not go outside properly then due to suffocation they become dead.</t>
  </si>
  <si>
    <t>This problem was taken from common people. Our solution will help both common people and car companies. Our solution help in enhancing the technology of the car.</t>
  </si>
  <si>
    <t>There are lots of death due to suffocation in the car. Many children and pets are dead because of not proper ventilation of carbon dioxide in the car. That why this problem needs an urgent solution.</t>
  </si>
  <si>
    <t>When the carbon dioxide level increases inside the car oxygen/carbon dioxide level detector device would get activated and first, it detects the infrared ray release from the human body and animal body. If anyone present in the car it automatically opens the tiny pore present that presents in the car.</t>
  </si>
  <si>
    <t>When proper ventilation of air in the car, we feel less suffocation when we sat in the car. When anyone seats in the locked car that one does not feel suffocation. After that, no more death takes place in a locked car.</t>
  </si>
  <si>
    <t>Because we make it at a cheap price. This solution is best for all types of vehicles. We are the first who think of that solution.</t>
  </si>
  <si>
    <t>https://enpower-school.com/wp-content/uploads/elementor/forms/5ffaa66cc7a57.mp4</t>
  </si>
  <si>
    <t>January 10, 2021, 12:32 PM</t>
  </si>
  <si>
    <t>IFT524</t>
  </si>
  <si>
    <t>nabeeluddin1217@gmail.com</t>
  </si>
  <si>
    <t>As a student it is very difficult to understand the topic that has been taught by the tutor or teacher.</t>
  </si>
  <si>
    <t>Earlier days it was very easy to understand the topic that has been explained by the teacher as we had one to one interaction. We even use to have group studies among friends so that we can clear our doubts.</t>
  </si>
  <si>
    <t>Iam trying to solve the problems faced by the students in. their studies that has been affected by the pandemic.</t>
  </si>
  <si>
    <t>I beleive it is critical as we may pass our exams by the mode provided by we lack our enthusiasm and willingness to move to another class by own satisfied  way of learning.</t>
  </si>
  <si>
    <t>l think we can create an app that can be used by both teacher and a student for learning and they can even have a chat option so that they can interact and communicate among themselves.</t>
  </si>
  <si>
    <t>It will have the notes stored which now a days is a big issue as we misplace it if change our mobiles etc.</t>
  </si>
  <si>
    <t>I think my idea  will work very well as i considered the problems faced by people i. e  my friends and families.</t>
  </si>
  <si>
    <t>https://enpower-school.com/wp-content/uploads/elementor/forms/5ff5e2b0563e3.pptx</t>
  </si>
  <si>
    <t>January 6, 2021, 9:48 PM</t>
  </si>
  <si>
    <t>IFT045</t>
  </si>
  <si>
    <t>mukherjeearijit0619@gmail.com</t>
  </si>
  <si>
    <t>A small footstep to solve the high price of stylus pen through a self designed sustainable stylus pen.</t>
  </si>
  <si>
    <t>In this present crisis, everything is digitalised starting from a signature to painting a drawing. In this futuristic navigation, the most frustrating thing happens when our professional signature comes out as nothing more than an indecipherable scribble or a hand drawn arrow looks like a splotch, etc. Tapping with your fingertips is convenient, but it's not always the most sensible option for your hands.</t>
  </si>
  <si>
    <t>We are mainly focusing on Students, teachers, bank employees, people working in IT SECTOR, different teacher teaching in YouTube.etc</t>
  </si>
  <si>
    <t>i) Students need to write fast while taking notes in this crisis and paper due to friction sometimes people stuck while writing so they might miss important notes.
ii) During this pandemic most of the bank works have been digitalised so for a person to do a signature in a mobile is a troublesome work because it never matches with the original signature so this problem is critical .
We have made the stylus pen which would solve each of the mentioned problems in a better way.</t>
  </si>
  <si>
    <t>We have designed a stylus pen which is made up of the following—
I.	A completely used pen  is reused.
II.	One cotton bud which is used to avoid scratches and smooth functioning of the stylus pen on the screen of the device.
III.	Aluminium foil which is used for conduction of static electrical charge from our hands to the copper wire.
IV.	Thin copper wire which is easily available at home and is used for conduction of static electrical charge from the aluminium foil to the tip of the pen.
V.	Few drops of water are added cotton for proper conduction.
VI.	Cello tape.</t>
  </si>
  <si>
    <t>Following are it's salient features:
Our stylus pen is cost effective than ordinary stylus pen.
2. Stylus pen increases the efficiency and accuracy on the screen.
3. We are following the principle of “Reuse”.
4. Easy to use since it is made up of materials available at home. 
5. Economically weaker people can buy this pen which costs approximately 6 rupees lesser than ordinary stylus pen.
6. If this pen produced in huge number, the cost of this pen will be much less and easily accessible to common folk.
7. This would be a small step towards ‘ATMANIRBHAR BHARAT’ programme Launched by Narendra modi.
8. This would attract foreign investment and foreign trade.
9. No battery charging is needed.
10. They are more sanitary than ordinary fingers.
11. It can be used on every devices.</t>
  </si>
  <si>
    <t>This is because we believe that "Necessity is the mother of invention", so as a youth who are facing the mentioned problems, it is our responsibility to make new thing that is available for all and moreover our product's benefits are easily accessible, affordable and a small footstep towards sustainable development Which would surely mitigate the gap between those who had stylus pen  as a mark of  richness and those who dream to have it.</t>
  </si>
  <si>
    <t>https://enpower-school.com/wp-content/uploads/elementor/forms/5fe0c10d8ac48.pptx</t>
  </si>
  <si>
    <t>December 21, 2020, 9:06 PM</t>
  </si>
  <si>
    <t>The idea is about invention of the stylus pens which is cost effective. DIY idea stylus pen made of cotton bud found in google and they have mentioned the same idea so its not unique. Also, in education redefine how it is going to help not clearly mentioned</t>
  </si>
  <si>
    <t>IFT006</t>
  </si>
  <si>
    <t>mukesh.bansal17@gmail.com</t>
  </si>
  <si>
    <t>Bullying is a major problem that students face in school. It has a huge impact on a child's mental health which is a very horrible experience due to this many times some children commit suicide.</t>
  </si>
  <si>
    <t>Usually, bad students are usually jealous of good students because teacher always praise good students due to this many a times they start taking revenge in form of bullying them this led to a huge impact on child's mental health even many a times the child doesn't tell about this to anyone due to fear of his embarrassment and he/she keep on developing bad thoughts in his/her mind this led to many mental disorders like depression, Phobias, anxiety and many more</t>
  </si>
  <si>
    <t>I am trying to solve the problem of all the hardworking and sincere students in society who face bullying every day, have faced once in their life or will face in future. I want to protect the youth(the future of the world)from bullying and if bullying will be finished then the mental problems which are today's youth is facing will also be reduced to a great extend.</t>
  </si>
  <si>
    <t>This problem is really critical and needs and urgent solution because this is the worst problem in school even when you google it which is the most major problem in school the google says its nonother than bullying which makes it even more important so this really needs an urgent solution. If we would not solve this problem in as soon as possible than one this will definitely affect the life of the major community of students which face bullying and doesn't complain it to anyone just because of fear of embarrassment.</t>
  </si>
  <si>
    <t>Mine Idea is basically about an AI-based smart automated system which will automatically detect the bullying this idea will use camera and computer vision(a term of AI which deals with face recognition) to detect physical bullying in school and it will also use microphone to detect verbal and mental bullying and after detecting this it will automatically send a report to concerned authority about the child who is bullying this device will be installed in students's Id card which will connected to a main system or master computer every time more information is in the video submitted below</t>
  </si>
  <si>
    <t>My solution will definitely give the user a distinct benefit as my users will be mainly schools and educational institutes so mine idea definitely help to reduce bullying as children will be aware that if they will bully someone then they would definitely be caught by this technology and good students has now no fear of bullying and they can easily concentrate on their studies and shape their future my idea will use advanced Artificial Intelligence and computer vision to detect bullying I also have prototype blueprint in the below submitted video</t>
  </si>
  <si>
    <t>I am the best equipped because I have a deep knowledge of Artificial Intelligence and I can easily create a program that can easily solve the problem of bullying and I have also done a lot of research on hardware and software which I have already mentioned in the below video so I have knowledge and research which I think is more than enough to give a solution now the only need is of investment which I will get if I will be selected</t>
  </si>
  <si>
    <t>https://enpower-school.com/wp-content/uploads/elementor/forms/5fce79e244298.mp4</t>
  </si>
  <si>
    <t>IFT175</t>
  </si>
  <si>
    <t>mtpstv@gmail.com</t>
  </si>
  <si>
    <t>Teachers and school management are finding difficult to ensure the safety of students individually. Parents are also worried about the condition and safety of their children at school. Nationally, there is rising trend of child abductions in India.</t>
  </si>
  <si>
    <t>Safety of students is a headache of teachers and school management while they are at school. Students can be abducted at any circumstances. Though the school provides maximum security for the children, there are always bad news of child abduct from the school or outside.</t>
  </si>
  <si>
    <t>Teachers, parents, students and school management are benefitted with our solution. Teachers are unable to have the attention on students while they are on playground. During the interval and other times teachers and school management is not available to ensure the security of students.</t>
  </si>
  <si>
    <t>Child abduction rate is increasing. Increasing rate of child abduction is a threat to the society. Thus, it is an urgent need to solve and ensure the lives of children.</t>
  </si>
  <si>
    <t>SAFECHAMP is a device that tracks the presence of a child at school within the defined range and it keeps sending the live updates of the student to the teacher in charge and parents. If the child crosses the defined range during the school time, it sends notifications and emergency alert to teacher-in-charge and parents or the person assigned. SAFECHAMP is a gps activated device which tracks the location of student 24x7. 
The tracking and notifications/alerts are done through interfacing the device with an android app.</t>
  </si>
  <si>
    <t>Parents, teachers and school management can ensure the security of each and every student though the notifications and status of child while they are outside home. If the student is in danger, then it will be easy for the parents and police to locate the child.</t>
  </si>
  <si>
    <t>We are equipped to offer this solution with our skills. We can provide the best solution to ensure the safety of students.</t>
  </si>
  <si>
    <t>https://enpower-school.com/wp-content/uploads/elementor/forms/5feb2abdb5d0e.pdf</t>
  </si>
  <si>
    <t>December 29, 2020, 6:40 PM</t>
  </si>
  <si>
    <t>IFT402</t>
  </si>
  <si>
    <t>mrgoel2975@gmail.com</t>
  </si>
  <si>
    <t>this pandemic has totally shaken the entire world from top to bottom. so we have to rethink and learn from this experience to get ready for the future. one of its largest impact was on education system so we have to redefine it to get everything on track.</t>
  </si>
  <si>
    <t>this pandemic taught us some very important lessons. during this pandemic the education has been heavily compromised and as we know education is very important so we not just have to get everything back on track but strengthen it to face such situations in the future, as there is no saying that no such situation would occur in the near future. and we can also implement it in place of our current education system as it is a very good competitor keeping  in mind how rapidly the sector of online education is increasing</t>
  </si>
  <si>
    <t>this would effect all the teachers and students, in fact almost most of the people included in the education system</t>
  </si>
  <si>
    <t>yes, because due to this pandemic the education has been pretty badly compromised and there is no saying when this pandemic would come to an end or no such situation would occur in the future. moreover, with the boom in online education system this has a huge potential</t>
  </si>
  <si>
    <t>my idea is to make a platform which totally gamify the whole education system by creating a game like environment in which we would have our customizable character (both students and the teacher) in which we would have an environment totally resembling our school where we could navigate take classes interact with friends and so on. with this i have also tried to address the various problems we now a days face in the online education system</t>
  </si>
  <si>
    <t>as we know in the online education there are various problems which teachers and students face and there are very many software which solves one or some of these, but there is none in which solves all the problems and tis does. and being a student myself i thing the main thing which i think is missing in the online education is the environment and the vibes that our school provides us and by gamification we can solve it</t>
  </si>
  <si>
    <t>According to me I am best equipped for it because being a student myself i can pretty well understand where the education system is lacking and what are the problems the end user is facing with it</t>
  </si>
  <si>
    <t>https://enpower-school.com/wp-content/uploads/elementor/forms/5fee0765a8e97.mp4</t>
  </si>
  <si>
    <t>December 31, 2020, 10:46 PM</t>
  </si>
  <si>
    <t>App where the students will sit in virtual classroom, study in gamefied way, choose career options, its helpful for teachers as well</t>
  </si>
  <si>
    <t>IFT041</t>
  </si>
  <si>
    <t>moly007.sinha@gmail.com</t>
  </si>
  <si>
    <t>Difficulties during online classes(meetings)</t>
  </si>
  <si>
    <t>In the unspecified current scenario the only path open for learning is online education. But for availing 
that internet connection is needed which is not affordable by all during this Covid period. Along with 
that many of the youngsters have grown the practice of surfing internet and playing games while 
attending online classes. A recent record tells that almost 55% to 60% of the students the students are 
lagging in their studies due to the lockdown.</t>
  </si>
  <si>
    <t>We are mainly working for the students but our software will also benefit the teachers, IT professionals 
and employees from other sectors.</t>
  </si>
  <si>
    <t>As many are not able to afford internet they thus cannot join online classes and are lagging in their 
studies. Also in many Institutions online classes have not started till now for those students our app will 
be the best solution. As mentioned earlier many students are not attending online classes attentively, 
and browsing and surfing other apps, for invigilating those students our software might work.</t>
  </si>
  <si>
    <t>1. Green dot feature which will let the host know whether the other fellows are in app or 
elsewhere. 
2. Video will be on even if a student is on another app.
3. Feature of sharing whiteboard, screen, etc. 
4. Uploading of pdf/jpg files during meeting. 
5. Group and personal chat during meeting. 
6. Other Co-Curricular Courses will be provided by us.
7. Offline app. 
8. Free offline library.</t>
  </si>
  <si>
    <t>1. Offline app which can be used by all. 
2. Courses such as computer, art, music, dance etc. Which will increase co-curricular skills.
3. Proper Invigilation. 
4. Chat option which will prevent chaos. 
5. Smooth teaching. 
6. Can be used on all devices.
7. Parents can keep a check on their wards by going to  the 'history' option.</t>
  </si>
  <si>
    <t>Our objective is mainly to help the juvenile of the country to maintain their discipline and to prevent 
them from being addictive to mobile. It will also help them to progress in studies and the app will be
easily accessible by all.</t>
  </si>
  <si>
    <t>https://enpower-school.com/wp-content/uploads/elementor/forms/5fe06b22d9b17.pptx</t>
  </si>
  <si>
    <t>December 21, 2020, 3:00 PM</t>
  </si>
  <si>
    <t>This idea is about developing an offline app, the idea is good but what will an app excatly look like and how will it work offline isn't explained clearly. Also mentioned as working prototype they have attched PPT of what they have mentioned here.</t>
  </si>
  <si>
    <t>IFT561</t>
  </si>
  <si>
    <t>mohit20199@outlook.com</t>
  </si>
  <si>
    <t>Education, a term sometimes linked with schooling, although there is much more to it. School is just a medium of education, but education is to learn to live the real life. How you learn depends mainly on three factors; reach, reliability, and impact.
Reach is simply the scope of education, on a physical scale of people. 
Reliability is based on the source of your education, something which is nearly out of a single individual’s hand.
Impact is the mental version of reach, of how deep education penetrates in your mind, and is completely dependent on you</t>
  </si>
  <si>
    <t>Students are always worried about which university they go to or which school. The question we adresses is if the private schools have quality- yes, reach-no, impact- yes and no.  The answers were these because quality is obviously great, the reach is less because of the price, impact yes because of the quality no because of the infinite luxury that drives the mind away from studies. Government schools quality-no, reach- fine, impact no. The answer is simple because the teachers do not teach nicely and schools are away from school so reach is reduced and impact is less because of the quality.</t>
  </si>
  <si>
    <t>The 'user' is students which do not need a long explanation. They are the consumer of education who are fooled easily. They have to be given proper facilities.</t>
  </si>
  <si>
    <t>Problems - Reach
Children in rural areas usually do not attend school because of housework. There are not many schools in these areas and students there have to walk for miles to go to school.
Children in urban slums cannot go to school because of their low income and are put to work at a young age many talents are broken because of this. The students in urban areas also have to go to schools with huge fees 
Problems - Reliability
It depends on the management of the school, the involvement of the government, the laws and regulations which must be ensured to be followed.
When there is high reliability, then you have a true school, which we will refer to as “edu-center”. While if it is low, then you have a school, which does not give education, just makes it a study place 
Problems - Impact
Probably the most important aspect from a student’s study perspective.
However, reliability is also effective to improve the impact, and so is the way of teaching by the teacher.
The way of study should be engaging and immersive, not boring chapter reading.
Nonetheless, student’s work is the fish of the curry.</t>
  </si>
  <si>
    <t>The literacy rate is measured very cheaply. If you can write your name, you are literate. If we see those who have passed grade 5, that will be nearly 50% of the population.
The way of education heavily impacts all the three of the previously discussed topic. Increasing reliability, making the school famous and increasing reach, and obviously impact.
The major problem is fees. Online classes and exams have been blocked, This is simply a method of blackmailing parents and kids.</t>
  </si>
  <si>
    <t>We have finally come down to the most important points in a line:
Engaging ways of education
Making literacy rate measurement a little more practical
Adding the fees problem in the NEP
Certifying schools by stars, according to kids anonymous ratings
Spreading awareness</t>
  </si>
  <si>
    <t>We are also students who can give insights. The reformers have always wanted to do something on education in India because we have seen those problems.</t>
  </si>
  <si>
    <t>January 7, 2021, 7:30 PM</t>
  </si>
  <si>
    <t>IFT527</t>
  </si>
  <si>
    <t>mohit.10a@golayaschool.org</t>
  </si>
  <si>
    <t>In our daily lives , nowadays the risk of insecurity has arisen and with this it is important to have at least a well equipped security management system at home , be it a watchman or a face recognition system and the latter will be the most suitable one for this purpose .</t>
  </si>
  <si>
    <t>The user group is basically our own respected parents who do a lot for us .</t>
  </si>
  <si>
    <t>This problem is critical as today the risk of insecurity has increased to its largest extent . So in order to avoid all this a face recognition door lock and unlock system is needed .</t>
  </si>
  <si>
    <t>In the door unlock and lock system that would run on the blueprint of the face recognition .
By Someone ' s the built in computer can recognise the person .</t>
  </si>
  <si>
    <t>It also prevents frustration among women and the family members who wait for their dear ones late at the night .</t>
  </si>
  <si>
    <t>By doing this somehow we would be able to help our parents as they are the cradle of our life .</t>
  </si>
  <si>
    <t>https://enpower-school.com/wp-content/uploads/elementor/forms/5ff5ebfc3e8b9.jpeg</t>
  </si>
  <si>
    <t>January 6, 2021, 10:27 PM</t>
  </si>
  <si>
    <t xml:space="preserve">Door handle vidoe could be converted to school security </t>
  </si>
  <si>
    <t>IFT574</t>
  </si>
  <si>
    <t>mohammed.abdul7864@gmail.com</t>
  </si>
  <si>
    <t>Rayyan</t>
  </si>
  <si>
    <t>Abdul Gafoor</t>
  </si>
  <si>
    <t>Those were wise words, but from what I have observed, most organizations don’t heed them when tackling innovation projects. Indeed, when developing new products, processes, or even businesses, most companies aren’t sufficiently rigorous in defining the problems they’re attempting to solve and articulating why those issues are important.</t>
  </si>
  <si>
    <t>solving problems is a common activity in every business. In some areas, such as Quality, it receives special treatment with root cause identification methods and corrective actions. However, we often do not give due attention to an important step in the problem solving process: the formulation of an adequate description.</t>
  </si>
  <si>
    <t>Problem solving and decision making belong together. You cannot solve a problem without making a decision. There are two main types of decision makers. Some people use a systematic, rational approach. Others are more intuitive. They go with their emotions or a gut feeling about the right approach. They may have highly creative ways to address the problem, but cannot explain why they have chosen this approach.</t>
  </si>
  <si>
    <t>Every Problem can be solved, you just have to learn how to solve it. There is a Process to Problem Solving, but you also need skills, knowledge and information in order to be a good problem solver. Problem Solving Skills are the most important skills to have.</t>
  </si>
  <si>
    <t>my solution is that the people should tell the problems.</t>
  </si>
  <si>
    <t>Personal values are desirable to an individual and represent what is important to someone. The same value in different people can elicit different behaviours, eg if someone values success one person may work very hard to gain success in their career whereas someone else may take advantage of others to climb the career ladder.</t>
  </si>
  <si>
    <t>because i participate in this competition.</t>
  </si>
  <si>
    <t>https://enpower-school.com/wp-content/uploads/elementor/forms/5ff739f0aea60.pptx</t>
  </si>
  <si>
    <t>January 7, 2021, 10:12 PM</t>
  </si>
  <si>
    <t>IFT107</t>
  </si>
  <si>
    <t>mnus656@gmail.com</t>
  </si>
  <si>
    <t>the problem is about the students facing the problem during the online classes because of their parents who cannot afford the money for their kids education and for the requirements of the virtual classes.</t>
  </si>
  <si>
    <t>Many students living in towns and villages do not have the way to connect through internet connection and even many students living in towns or villages do not have any digital sources like laptop, smart phone, tablet or etc for their online studies. Even their parents do not have this much money to afford it for themselves only so how will they afford the money for the digital sources for online classes or for the internet connection? And the main thing which i told that that many people had lost their jobs during this covid-19 pandemic situation in which they do not have money to eat a proper meal so how will their kids study because their parents can not afford that much of money in their kids education? Kids are the future for the next generation if they will not study than imagine how will be the next generation? So now we should get the solution for all these problems facing by the students in education</t>
  </si>
  <si>
    <t>we are trying to solve the problem of the students group.</t>
  </si>
  <si>
    <t>i think this problem is critical and needs and urgent solution because its about the kids education means kids future so we cannot delay a moment with kids future.</t>
  </si>
  <si>
    <t>From my side all of the people i know i can tell them if they have 3-4 digital device and if they only require1 device they can donate to the kids who do not have it and also i can do the same if i have any of the old device which can work i can donate it to the kids and for the internet connection if i know 50 people and if i tell them to recharge 2  students mobile network in a month and if those 50 people do the same and even me than in a month we can provide 100 people the internet connection and for the decrease of the school fees we all can request the school to decrease the school fees for all those students whose parents can not afford the money for the school fees. So in these ways if every person in the world just do these things for the poor people than  our world will be not left with any illiterate kid and those students facing problem their problem will be easily solve.</t>
  </si>
  <si>
    <t>Our solution given a distinct benefit by reducing the pain of the parents who lost their jobs due to covid-19 and cannot afford the money for their kids education and for the requirements of the virtual classes like the digital device and for the internet connection and if we help them then they do not have to worry about their kids education.</t>
  </si>
  <si>
    <t xml:space="preserve">Teaching students the purpose of education like, Our education system is still having the the features what colonial educators in built. Educations not always is about becoming a big rich person. It should be about humanism. Students must also be taught in not only in online classes but also in the offline classes too about the depth of the morals of life and inculcated with humanistic values. They should be taught that life is about is much beyond money  and success is not measured in money. If the Indian education system starts taking these points into serious  consideration we can gain the level of the best education system in the world. It is high that we as a country start taking education above the mediocre level that we have been engrained with and perceive education from indistic approach.
</t>
  </si>
  <si>
    <t>https://enpower-school.com/wp-content/uploads/elementor/forms/5fe71a4e736c3.pptx</t>
  </si>
  <si>
    <t>December 26, 2020, 4:41 PM</t>
  </si>
  <si>
    <t>IFT053</t>
  </si>
  <si>
    <t>mittalpurnima1301@gmail.com</t>
  </si>
  <si>
    <t>In India, mostly 30% of population is disabled. The disabled people face many issues especially when it comes to education. While they are already facing many problems some laws do protect the students. Whereas, some don't in India</t>
  </si>
  <si>
    <t>This problem is critical and needs an urgent solution because according to the Constitution of India every citizen is considered equal. Whereas this is not seen in current situations.</t>
  </si>
  <si>
    <t>For the people who are blind we should create or implement braille system in electronics making sure that they are at a reasonable price also. Many more ideas are listed in the Power point presentation(PPT)</t>
  </si>
  <si>
    <t>The solution gives benefit through many ways:
1. It makes them feel equal.
2. They can continue their education without worrying about the environment.
3. Last but not the least, People who have potential can work in any company which they like.</t>
  </si>
  <si>
    <t>We think that we are the best equipped to offer this solution because during the lockdown we saw that many cases were there. And the education of the students were held online , the people with disabilities were not able to attend the classes because the electronics were available at a reasonable price.</t>
  </si>
  <si>
    <t>https://enpower-school.com/wp-content/uploads/elementor/forms/5fe309920d880.pptx</t>
  </si>
  <si>
    <t>IFT556</t>
  </si>
  <si>
    <t>mitprojectsbyvishal@gmail.com</t>
  </si>
  <si>
    <t>Yalavarthi</t>
  </si>
  <si>
    <t xml:space="preserve">Delhi Public School, Gautam Buddh Nagar
</t>
  </si>
  <si>
    <t>Using AI to enhance teaching and learning</t>
  </si>
  <si>
    <t>In India, we often find that teachers use the rote learning method to "insert" information into their brains. The students follow a monotonous pattern and the lessons do not interact with real-life. As an AI learns when its user inputs some data which is relevant, the student also need to take the data and put it in real-life.</t>
  </si>
  <si>
    <t>The 'user' group for this problem are the students and the teachers.</t>
  </si>
  <si>
    <t>This problem is critical as during online classes, teachers have no other option but to rote learn the students due to the distances between them. This problem also arises in offline classes too, as students are unable to grasp the lessons because they cannot see the use of the lesson.</t>
  </si>
  <si>
    <t>My solution is to use an AI-operated learning platform to help students visualize concepts and apply in real-life. The teachers can use the documents given by AI to enhance the concept learning in the students. The students can post their doubts to the AI and the AI will solve the doubt within seconds.</t>
  </si>
  <si>
    <t>To the students, this solution helps them to grasp the topics efficiently and helps solve their doubts without waiting in the queue for the teacher. To the teacher, this helps them to simplify the learning of the student.</t>
  </si>
  <si>
    <t>I think I am the best equipped to offer this solution as I know the softwares which can be used. Also, my idea is more diversified than other idas in the market.</t>
  </si>
  <si>
    <t>January 7, 2021, 6:41 PM</t>
  </si>
  <si>
    <t>IFT156</t>
  </si>
  <si>
    <t>mithungowda1303@gmail.com</t>
  </si>
  <si>
    <t>No importance is been giving to mental health for youths.</t>
  </si>
  <si>
    <t>the problem here is our education system is not mainly focusing on mental health of students.</t>
  </si>
  <si>
    <t>Age group of 16-24.
Nameingly for youths.</t>
  </si>
  <si>
    <t>If we empower our youths, they can achive upto their fully potential. For that both physical n mental fitness is esential.</t>
  </si>
  <si>
    <t>We shall build a platform where courses/couching on meditation,and somemore  courses is provided for the collage students.</t>
  </si>
  <si>
    <t>By practicing guided meditation helps people to be mentally fit.</t>
  </si>
  <si>
    <t>Becauses we do directly approches collages and introduce our platform with an transparent, highly visioned missions</t>
  </si>
  <si>
    <t>December 29, 2020, 10:13 AM</t>
  </si>
  <si>
    <t>IFT619</t>
  </si>
  <si>
    <t>mithilk230@gmail.com</t>
  </si>
  <si>
    <t xml:space="preserve">Rustomjee Cambridge International School </t>
  </si>
  <si>
    <t>When online class started it was something new for students but now it is boring for them. Parents don't get updated daily on their child's work and they think their child is learning properly</t>
  </si>
  <si>
    <t>Students are now bored from online class and they need some new method of learning and because of this, they don't pay attention in class. Their parents feel that their kids are studying properly. They don't get updated daily on their child's progress. It also happens when school is offline</t>
  </si>
  <si>
    <t>I am trying to solve the problem of students and parents. In this way, students will stay attracted towards studies as they just have listened they textbook-like songs and parents will get updated daily upon their child progress</t>
  </si>
  <si>
    <t>Once the attraction of studies is over from all the students, it will be very difficult to bring it back. The parents don't know anything about their child studies from which their bond can decrease</t>
  </si>
  <si>
    <t>I will create an app in which teachers, students, and parents all will be there. Every day after teaching a certain topic the teacher will update parents that this topic is done and send the progress report of their child and also upload the audio and examples of that specific part and students who didn't understand or were absent can listen to it and understand it with example videos. Even with maths whatever sums were done in class, their complete explanation and solving can also be uploaded. Teachers can track every student who is listening to what and how many times.</t>
  </si>
  <si>
    <t>Students who don't understand quickly or were absent can hear it and understand it with detailed explanations and example videos. Parents will also get updated automatically and they don't need to ask their child every day that what was done in school today or call in school and talk to the teacher to get updated</t>
  </si>
  <si>
    <t>I think I am the best to offer this solution because a student feeling can be understood by a student only and I feel this new method will attract us towards studies and not make us run far away from studies</t>
  </si>
  <si>
    <t>https://enpower-school.com/wp-content/uploads/elementor/forms/5ffaf1f57e4fd.pptx</t>
  </si>
  <si>
    <t>January 10, 2021, 5:54 PM</t>
  </si>
  <si>
    <t>IFT133</t>
  </si>
  <si>
    <t>mitalikataria90@gmail.com</t>
  </si>
  <si>
    <t>The problem that most of the students face while studying is the lack of concentration and attention which results in  difficulty to cover up the syllabus and revising for exams. The problem is not new but due to COVID-19 pandemic situation this problem has increased. Parents, Teachers, school authorities and the government is very concerned about the studies of the children and they don't want any obstacle in the way to the quality education of the children. Children are trying to focus on their studies but the distraction in their environment can not make them connect with the learning they required for long period of time. Students can't get that much time and attention from their respective teachers which should be there so that they can get knowledge more efficiently.</t>
  </si>
  <si>
    <t>The problem is the lack of attention to the students and they type of quality education which should be there is missing. There are good quality study material and best educational courses for nearly every class and the students are taking benefits but they are unable to distribute time to each topic, chapter and subject. They are giving there best but due to lack of attention they got distracted from their studies and loose marks in their exams.</t>
  </si>
  <si>
    <t>The 'user' group consists of students, who are adversely affected from this problem and the people who are benefitted from this solution is not only students, but also teachers whose efforts are not so much getting in use, parents will be the most happiest one if such solutions will be introduced to the students, the work of school authority and government for the quality education of the children will get upgraded and advanced.</t>
  </si>
  <si>
    <t>This is problem is critical and needs to solve because it is directly related with the education and this problem needs an urgent solution because the quality education in the student's life id directly proportional to the development of the country. Students nowadays, cram the concepts which is a temporary knowledge and of no use so to introduce such fun learning concepts will build their interest for studies.</t>
  </si>
  <si>
    <t>My solution is an app which will be known as "Study Janitor". This app will take care of the studies of the child. This app will help students to make them understand the concepts according to their speed of learning with the help of artificial intelligence. This app will make the scheduled time table according to the need of students. This app will also be benefitted for completed the syllabus they missed due to lack of attention and can prepare for any test. Artificial Intelligence will help students the best way possible for their better understanding.</t>
  </si>
  <si>
    <t>My solution gives benefit to users by providing them quality education with well-planned manner. The pain of less marks in the test and poor quality of education will be reduced. This app also takes tests regularly to assure the clearance of topic and also tests regularly for the revision to get great marks. This app will not be for a single subject, it will cover all the subjects of all the boards . A single app will take full responsibility for students studies.</t>
  </si>
  <si>
    <t>This is the best way to solve the problem is because parents can never give their full attention to their child so they need a helper who can help them to look after the kid's education. In that case nothing is best than Artificial Intelligence. While accessing app this will help kid to explore more about technology prevailing in this world. Moreover, this app will also help students like an assistant which will take care of the kid in everything and the app will focus on every activity that a child do every day and manages time according. This will increase the discipline in the students</t>
  </si>
  <si>
    <t>https://enpower-school.com/wp-content/uploads/elementor/forms/5fe93b91c2e94.pdf</t>
  </si>
  <si>
    <t>December 28, 2020, 7:27 AM</t>
  </si>
  <si>
    <t>IFT502</t>
  </si>
  <si>
    <t>mehulj.2747@gmail.com</t>
  </si>
  <si>
    <t>Online classes are not so impactful for students as learning in school, it does not offer that level of understanding and communication to the students.</t>
  </si>
  <si>
    <t>The time of the pandemic goes on and students have to follow new normal- Online classes. This new normal is not so effective for the students. They have to face lots of problems like, not being able to fully grasp the concepts either due to network issues on his/her or the mentor's side or without. These online classes do not give the feeling of ‘learning in school.’</t>
  </si>
  <si>
    <t>Education is an important part of life, if students do not embrace it properly it will increase their difficulties in future. Online classes do not offer that level of understanding and interaction. So OPBMS Technos have tried to develop a better medium between the students and the teacher</t>
  </si>
  <si>
    <t>A middle ground has to be created between ‘school learning’ and ‘online classes’, which offers the best of both worlds. It offers the time savings   of ‘online classes’ and the collaborative nature of ‘school learning’, students need to be provided with the essence of the classroom within the comforts of their homes and Mixed Reality makes this possible</t>
  </si>
  <si>
    <t>1. Low network requirements with comparison of other virtual reality classrooms
2. People living in low-range areas can use the product efficiently.
3. OS independent
4. No need of high-speed processors or costly VR headsets
5. It is more immersive then regular online classes due to use of Virtual Reality</t>
  </si>
  <si>
    <t>Because we are students, and we have hands-on experience with the online classes, so we know where the improvement are needed.</t>
  </si>
  <si>
    <t>https://enpower-school.com/wp-content/uploads/elementor/forms/5ff539c49ed23.doc</t>
  </si>
  <si>
    <t>January 6, 2021, 9:47 AM</t>
  </si>
  <si>
    <t>IFT505</t>
  </si>
  <si>
    <t>meenugarg81@yahoo.com</t>
  </si>
  <si>
    <t>Students have to undergo lots of problems like, not being able to fully grasp the concepts and ace their studies due to network issues either on teacher’s side or student’s side .</t>
  </si>
  <si>
    <t>As COVID-19 goes on and students have to follow a new routine of online classes as their necessity. These online sessions, they are not so effectual for the students. They have to undergo lots of problems like, not being able to fully grasp the concepts and ace their studies due to network issues either on teacher’s side or student’s side The online classes are indigent in communicating with the students they do not get the feel that they are in a classroom and end up not paying attention to their studies due to it.</t>
  </si>
  <si>
    <t>STUDENTS</t>
  </si>
  <si>
    <t xml:space="preserve"> </t>
  </si>
  <si>
    <t>Education is a very  important part of life and if students do not utilize it properly it will increase their difficulties in future. Online classes do not offer that level of understanding and interaction. So OPBMS PRODIGIES have tried to develop a better medium between the students and the teacher</t>
  </si>
  <si>
    <t>So for this something has to be created which offers the co-operative nature of ‘school learning’, as students need to be provided with the essence of the classroom within the comforts of their own and Virtual Reality makes it possible.</t>
  </si>
  <si>
    <t>1. Low network requirements in comparison  with the  other virtual reality classrooms
2. People living in low-range areas can use the product efficiently.
3. OS independent
4. No need of high-speed processors or costly VR headsets
5. It is more immersive then regular online classes due to use of Virtual Reality</t>
  </si>
  <si>
    <t>As students  and we have hands-on experience with the online classes, so we know where the improvement are needed.</t>
  </si>
  <si>
    <t>https://enpower-school.com/wp-content/uploads/elementor/forms/5ff5670a8f7c3.pdf</t>
  </si>
  <si>
    <t>January 6, 2021, 1:00 PM</t>
  </si>
  <si>
    <t>IFT422</t>
  </si>
  <si>
    <t>mastuelmotcha@gmail.com</t>
  </si>
  <si>
    <t>A lot of student has difficulty in school studies and when they need help they can’t allowed because the price for tutro is to high</t>
  </si>
  <si>
    <t>Be student in school is hard it’s hard to understand the Studies and be concentrated in class and the worse is that not everybody can afford themselves to get help</t>
  </si>
  <si>
    <t>I think that the group is a student in every school</t>
  </si>
  <si>
    <t>I believe that this problem is critical and need an urgent solution Because school is so important and its affect on your future and it’s not fair that just because people don’t have money they can’t learn and get good education that they need</t>
  </si>
  <si>
    <t>My solution to this problem is create an app that students can learn with Online tutors ‏ The app will be free or With a Low price that everybody can afford them self and some of the student that has difficulty to pay for that get scholarship ‏ And students can rate their teachers and help others find a good teacher because of the Ratings of other students</t>
  </si>
  <si>
    <t>Students can learn 
When they have time and gat private classes with a private teachers that’s going to help them with they Difficulty and they can allowed that and the best is that they can find the best teacher</t>
  </si>
  <si>
    <t>As a student that has the same problem I can be the best for that problem because I know how to make it work and I know a lot of student that has the same problem I am very serious about it and it’s actually my dream to create this app I learn how to create apps before and I learn Electronics and software writing and that why I think I am the best</t>
  </si>
  <si>
    <t>January 1, 2021, 3:26 AM</t>
  </si>
  <si>
    <t>IFT076</t>
  </si>
  <si>
    <t>manya.dps2005@gmail.com</t>
  </si>
  <si>
    <t>problem is that people aren't encouraging their children to get education in rural areas.  
children are unable to study without content.
the government hasn't taken any step to help them in the pandemic.</t>
  </si>
  <si>
    <t>the problem is that in this pandemic the student who once went to school to study are now at home without any source to study.
the rural area people do not have enough facility to make their children attain education.</t>
  </si>
  <si>
    <t>the 'user' group i am attempting to solve the problem of are mainly 'farmers' and other rural area people who have low financial condition. the people who are unable to pay for their Childs education.</t>
  </si>
  <si>
    <t>the problem is critical because the more time wasted the more the students will it be hard for them to cope up with the studies. An urgent solution is a must because the students will lose their life-time opportunity to study.</t>
  </si>
  <si>
    <t>the people who have unused devices at their home can donate them to our campaign and we will first make sure the device has no defect if it has then it will be given to reuse. If not, then the device will be reset and the content will be updated in the device. the notes and assignments along with videos.</t>
  </si>
  <si>
    <t>this solution will help people who have low financial condition and those who are not able to send their children to school. and where there are network issues.</t>
  </si>
  <si>
    <t>this is the best equipped to offer this solution because with low financial condition and network less area. 
the people will be benefitted with this solution in the following ways-
1) Free of cost.
2) Free of internet as the course will be already in the device and requires no internet.
3) best for low financial people
4) easy to equip. 
5) just need verification and you're done.
6) mentors will be there to help the children.
7) there will be a demo trial before handing the device.</t>
  </si>
  <si>
    <t>https://enpower-school.com/wp-content/uploads/elementor/forms/5fe4a6ae79358.pptx</t>
  </si>
  <si>
    <t>December 24, 2020, 8:03 PM</t>
  </si>
  <si>
    <t>IFT185</t>
  </si>
  <si>
    <t>mannya.singhal@gmail.com</t>
  </si>
  <si>
    <t>Problems faced by teachers in online schooling - 
Class bunking
Lack of student engagement 
Violation of rules during exams
Lack of interaction and support amongst students</t>
  </si>
  <si>
    <t>Clarity of terminologies - 
Class Bunking - Class Bunking is tricking the teacher into believing the presence of a student whilst the student himself / herself is absent. Class bunking in online schooling is a key problem which has become quite common.
Lack of student engagement - Despite the fact that many students pay attention, the lack of interaction makes it difficult for the teacher to get assured that the concepts are reaching the students properly.
Violation of rules during exams - Students are not relying on their conceptual knowledge rather they are using online means for passing their exams.
Lack of interaction and support amongst students - Student interaction amongst each other is vital in a class however, is not being achieved in online schooling.</t>
  </si>
  <si>
    <t>We are trying to solve the difficulties faced by teachers in educating the students which also affects the students</t>
  </si>
  <si>
    <t>We feel that these problems are critical and need an urgent solution because they are slowing down the pace of education.</t>
  </si>
  <si>
    <t>The solution to above listed problems are explained thoroughly in the attached document.</t>
  </si>
  <si>
    <t>Despite the fact that, teachers are putting a lot of efforts in is this crisis still there are some barriers which are causing a lot of trouble in the smooth flow of education. In regard to it, our solution will make the educators free from the listed problems and would improve the present state of education.</t>
  </si>
  <si>
    <t>We feel so because our solutions are not far fetched and hence can be implied quite easily.</t>
  </si>
  <si>
    <t>December 29, 2020, 8:14 PM</t>
  </si>
  <si>
    <t>IFT162</t>
  </si>
  <si>
    <t>manasi.mopatra@gmail.com</t>
  </si>
  <si>
    <t>the problem we have raised is that how thw rural community will study because most of them does not have money to buy their  kids a laptop ,computer or smartphone even the teacher in same community dont have these supplies to teach students and education has to reach to every citizen.</t>
  </si>
  <si>
    <t>Education is important as It helps people  to become better citizens, get a better-paid job, shows the difference between good and bad. Education shows us the importance of hard work and, at the same time, helps us grow and develop. Thus, we are able to shape a better society to live in by knowing and respecting rights, laws, and regulations.SO,every citizen has right to get proper education but in this Covid 19 situation the education has become online, there is no problem with  this type of education system  with urban community but  what about rural community most of them don’t have enough money to buy  their children a laptops ,smart phone or desktop.so,they are not getting proper education at the same time teacher in rural setting don’t have laptops or smartphones,desktops to teach students.</t>
  </si>
  <si>
    <t>we are trying to help students and teachers of rural community</t>
  </si>
  <si>
    <t>we believe that education is the most important tool you can receive, that can bring you most success in society today. Education lessens the challenges you will face in life. The more knowledge you gain the more opportunities will open up to allow individuals to achieve better possibilities in career and personal growth.  No human being is able to survive without education. Education tells people how to think, how to work properly, and how to make decisions. The better your education, the more choices and opportunities you are going to have in life.so ,education should reach to every  single citizen even in this covid  pandemic.</t>
  </si>
  <si>
    <t>we GOAL DIGGERS want to improve this situation  so ,we have decided  to collect some smartphones, laptops and some money  from different people whosoever wants to help the poor community.From this idea we can give education to the poor community and make our country better and successful.</t>
  </si>
  <si>
    <t>this solution can reduce their pain because the students in rural setting can also study and teacher can be given some salary and teach their student</t>
  </si>
  <si>
    <t>i think because as an student i can feel this pain and life without education is  nothing</t>
  </si>
  <si>
    <t>https://enpower-school.com/wp-content/uploads/elementor/forms/5feadb7d6c752.pptx</t>
  </si>
  <si>
    <t>December 29, 2020, 1:02 PM</t>
  </si>
  <si>
    <t>IFT108</t>
  </si>
  <si>
    <t>manasi.mohapatra@gmail.com</t>
  </si>
  <si>
    <t>THE problem we have raised is that how the rural community students will study because most of them does not have money to buy their children a laptop or computer or an smartphone even the teacher in same community does not have smartphones n all and education has to reach to every citizen.</t>
  </si>
  <si>
    <t>Education is important as It helps people  to become better citizens, get a better-paid job, shows the difference between good and bad. Education shows us the importance of hard work and, at the same time, helps us grow and develop. Thus, we are able to shape a better society to live in by knowing and respecting rights, laws, and regulations.SO,every citizen has right to get proper education but in this Covid 19 situation the education has become online, there is no problem with  this type of education system  with urban community but  what about rural community most of them don’t have enough money to buy  their children a laptops ,smart phone or desktop.so,they are not getting proper education at the same time teacher in rural setting don’t have laptops or smartphones,desktops to teach students</t>
  </si>
  <si>
    <t>we are trying to solve teachers and students problem in the rural area .</t>
  </si>
  <si>
    <t>we believe that education is the most important tool you can receive, that can bring you most success in society today. Education lessens the challenges you will face in life. The more knowledge you gain the more opportunities will open up to allow individuals to achieve better possibilities in career and personal growth.  No human being is able to survive without education. Education tells people how to think, how to work properly, and how to make decisions. The better your education, the more choices and opportunities you are going to have in life.so ,education should reach to every  single citizen even in this covid  pandemic</t>
  </si>
  <si>
    <t>this can reduce pain because they can also study in this hard time and teachers from this also can be given some salary and teach students</t>
  </si>
  <si>
    <t>https://enpower-school.com/wp-content/uploads/elementor/forms/5fe721bf94212.pptx</t>
  </si>
  <si>
    <t>December 26, 2020, 5:12 PM</t>
  </si>
  <si>
    <t>IFT010</t>
  </si>
  <si>
    <t>malikyogesh3737@gmail.com</t>
  </si>
  <si>
    <t>Vanshaj</t>
  </si>
  <si>
    <t>Exploring new learning techniques.
And Making online education more impactful for children.</t>
  </si>
  <si>
    <t>In today’s time especially during the pandemic when all over the world a system of online education is taking place, somewhere or the other students face problems while understanding the academic concepts. As the children have online system of education, not all are also able to attend the virtual classes because of insufficient or inappropriate means of attending them.
Students whose concepts were also not clear during offline education feels it very difficult during online. Such a problem needs a solution so that those children can also improve and prove themselves and their capabilities.</t>
  </si>
  <si>
    <t>The user group whose problems are being solved fall under the age group 12-16 years as this is the age where children find academic concepts difficult and different from their previous classes, which offered easy concepts. Hence, maximum of them are not able to easily adapt themselves with these sudden changes and hence many fail in the higher classes or pass out with unclear concepts.</t>
  </si>
  <si>
    <t>According to me there are many students maybe many of them whom we know personally or with whom we interact in day to day lives that are not able to understand what is being taught in their classes or they cannot easily comprehend it as each and every one has their own pace of understanding and learning something. These children generally hesitate to ask the teachers to repeat the concept again or it is very difficult for the teachers too to give personal attention to those children out of a class of 40 or 50 students. Hence this problem needs to be solved as soon as possible so that education can be more efficient and these students could also be benefited.</t>
  </si>
  <si>
    <t>Development of a unique App for students. The App is made in such a way that it connects academic concepts with kind of co-curricular activities or we can say activities which children usually like to do and the best example we can take is playing or indulging in sports.
This App connects these types of activities with Academic Concepts hence making it easier for the children in learning them instead of mugging them.
For ex: A child likes playing a game suppose 'Basketball'. Now what the app does is that it connects the academic concepts related to ‘Basketball’ and then displays it on to the screen.
As we know that while playing the game of basketball one needs to make a certain range of angles while shooting the ball and accordingly has to give some particular speed in order to make the ball reach the net.
The app uses this ideology and connects it with the concepts of trigonometry.</t>
  </si>
  <si>
    <t>Like in the above example the child who is good at playing basketball was able to understand one of the toughest concepts of trigonometry with ease. This app hence helps the user in two ways. One is that it enables the user understand these concepts with ease and second that it also helps the user to excel in his/her interested activity like sports by making use of the concept understood. 
The App also provides a platform for children to learn at their own pace in a way that they like.
The 'FunLearn' App can be really useful for many as children can be taught such difficult concepts like trigonometry in this case with much ease and in a way liked by them and they have an interest in.
The App also provides the suitable image while linking the activities with academics to make the concepts more clear.</t>
  </si>
  <si>
    <t>I believe this because the same problem is faced by my friends and I am well known to their problem. As I am also in the same age group, I can also better understand them and the kind of help they need.</t>
  </si>
  <si>
    <t>December 12, 2020, 7:33 PM</t>
  </si>
  <si>
    <t>IFT473</t>
  </si>
  <si>
    <t>maharshipaul661@gmail.com</t>
  </si>
  <si>
    <t xml:space="preserve">DAV Model School, IIT Kharagpur
</t>
  </si>
  <si>
    <t>In this harass time of this pandemic, people are very scared of this new virus. They are always active on social media and news channels for latest news regarding it. But, As we know social media is a huge platform where mis-information &amp; myths spreads very easily, which make the citizens feel stressful and hypertense!!!</t>
  </si>
  <si>
    <t>COVID-19 (Coronavirus) has affected day to day life and is slow-ing down the global economy. This pandemic has affected thou-sands of peoples, who are either sick or are being killed due to the spread of this disease. The most common symptoms of this viral infection are fever, cold, cough, bone pain and breathing problems, and ultimately leading to pneumonia. This, being a new viral dis-ease affecting humans for the ﬁrst time, vaccines are not yet avail-able. So, we can provide them real news regarding COVID 19 from trusted websites.</t>
  </si>
  <si>
    <t>We are trying to help the citizens of the country as well the government from this myths. We spread all the true factors provided from WHO through our app which can be used by people to double check any info regarding COVID 19.</t>
  </si>
  <si>
    <t>People are facing many types of health problems and people are suffering from depression , anxiety, stress and as a result people are suffering from headache and various others problems.</t>
  </si>
  <si>
    <t>We can create an Application which will help the people, who don't know to use the social media properly and get easily disturbed by fake news.  This app will help every person to double check any latest news!!! Government will also feel less pressure as the citizens will be more knowledgeable and they will avoid fake news!</t>
  </si>
  <si>
    <t>We can reduce their pain by make making some innovating apps in which the user can do any thing like the people can chat with anyone, upload his/her health status in this pandemic situation in private mode, the users will be protected from myths so the people will not face any problems like depression in the COVID situation. The app will also be provided with motivational videos.</t>
  </si>
  <si>
    <t>We can easily work on our idea as we have planned it very well. As well as we have some experience on this topic as we have tried to make  some apps like this for different competitions.</t>
  </si>
  <si>
    <t>https://enpower-school.com/wp-content/uploads/elementor/forms/5ff419adab192.pptx</t>
  </si>
  <si>
    <t>January 5, 2021, 1:18 PM</t>
  </si>
  <si>
    <t>IFT601</t>
  </si>
  <si>
    <t>mah.ansh564@gmail.com</t>
  </si>
  <si>
    <t>Young Students need a new method of learning because they have a lack of motivation and are unable to understand concepts.</t>
  </si>
  <si>
    <t>This pandemic has brought a new age of digital learning. Students were suddenly transitioned to a virtual setup and are often not motivated enough to study. Moreover, the virtual environment is often to distracting for students, eventually leading inhibiting the understanding of concepts.</t>
  </si>
  <si>
    <t>The optimal user group would be high school students who are old enough to operate technology, preferably older than 10 years.</t>
  </si>
  <si>
    <t>The major issue is that the inability to understand concepts will have drastic effects in the long term for these children especially when they give competitive exams or crucial exams. They won't be able to memorise content for exams if they lack classroom knowledge.</t>
  </si>
  <si>
    <t>My solution is a peer driven learning platform where students upload concept videos for their friends, reiterating the content themselves and delving deeper into the concepts. The teachers can moderate the content. Additionally, a gamification feature will be added to captivate children maintaining a leaderboard. Learning from friends is often more effective to due the strong bonding and the informal nature of learning.</t>
  </si>
  <si>
    <t>The platform gives a direct solution for a child's pain. The solution will become near and dear to the child because his/her friends are involved making the whole process fun.</t>
  </si>
  <si>
    <t>I have 6+ years of Web development and graphic designing. Additionally, I am well versed with the concepts of entrepreneurship enabling me to make this project a success</t>
  </si>
  <si>
    <t>January 8, 2021, 11:23 PM</t>
  </si>
  <si>
    <t>IFT508</t>
  </si>
  <si>
    <t>madhunath474@gmail.com</t>
  </si>
  <si>
    <t>As the pandemic has shown, teachers make a crucial contribution to ensuring continuity of learning and supporting the mental health and wellbeing of their students. Because of COVID-19, nearly 1.6 billion learners more than 90% of the world’s total enrolled student population have been affected by school closures. The COVID-19 crisis has also affected over 63 million teachers, highlighted persistent weaknesses in many education systems.</t>
  </si>
  <si>
    <t>In this crisis, teachers have shown, as they have done so often, great leadership and innovation in ensuring that LearningNeverStops, that no learner is left behind. Around the world, they have worked individually and collectively to find solutions and create new learning environments for their students to allow education to continue. Their role advising on school reopening plans and supporting students with the return to school is just as important.</t>
  </si>
  <si>
    <t>To build a more resilient teacher workforce in times of crisis, all teachers should be equipped with digital and pedagogical skills to teach remotely, online, and through blend learning, whether in high-, low- or no-tech environments. Governments should ensure the availability of digital infrastructure and connectivity everywhere, including in rural and remote areas.</t>
  </si>
  <si>
    <t>Due to COVID-19, governments, social partners and other key actors have an even greater responsibility regarding teachers. We should call on governments to protect teachers’ safety, health, and wellbeing, as well as their employment, to continue improving teachers’ working conditions, and to involve teachers and their representative organizations in the COVID-19 educational response and recovery.</t>
  </si>
  <si>
    <t>Create a more e-learning and e- creativity for students as well teachers.</t>
  </si>
  <si>
    <t>Digital transformation will reduce a workforce of teachers as well students and also creates a better way to involvement of teachers and students. Students shows more interest in extra curricular activities and express their hidden talent.</t>
  </si>
  <si>
    <t>The role of teachers in helps to ensure a generation of students can reach their full potential, and the importance of education for short-term stimulus, economic growth and social cohesion, during and after COVID-19.</t>
  </si>
  <si>
    <t>January 6, 2021, 3:56 PM</t>
  </si>
  <si>
    <t>IFT057</t>
  </si>
  <si>
    <t>maavelcoimbatore@gmail.com</t>
  </si>
  <si>
    <t>K.Oviya</t>
  </si>
  <si>
    <t xml:space="preserve">P.M.G matriculation higher secondary school
</t>
  </si>
  <si>
    <t>Smart e-bus system.It is very useful in this pandemic situation.</t>
  </si>
  <si>
    <t>It provides more facilities for the passengers such as seat detection and drowsiness detection for the driver.This project has been proposed for the safest journey for passengers.seat detection of the person is detects manually in the existing system.this project checks without any manual interaction.this mechanism is developed through LDR to presents of person.Eyeblink sensor is placed in front of the driver.while druving if the eyeblink is abnormal it gives a indication buzzer to alert him.this devise will also detects sleepiness of individual and wake ups them</t>
  </si>
  <si>
    <t>The peoples.Nowadays there are many accidents that is happening and we are losing lots of people.Through this simple but effective ideas we can save more members and also it is very essential</t>
  </si>
  <si>
    <t>Because We are seeing in many news that many members are travelling in bus and getting accidents .so it is really essential</t>
  </si>
  <si>
    <t>Through this mechanism we can get rid of it.</t>
  </si>
  <si>
    <t>It alerts everyone and gives safest journey to everyone</t>
  </si>
  <si>
    <t>It is simple idea</t>
  </si>
  <si>
    <t>December 23, 2020, 6:48 PM</t>
  </si>
  <si>
    <t>IFT145</t>
  </si>
  <si>
    <t>linoyyakov25@gmail.com</t>
  </si>
  <si>
    <t>The problem is the efficiency of learning from home through a zoom platform or any other platform due to an external stimulus and no learning environment at home. In addition, there are many people who find it significantly difficult to get by through the platforms that exist today because it is difficult for them without seeing their friends as in reality and also difficult for them with transferring material that is not the same as in the physical environment.</t>
  </si>
  <si>
    <t>The problem lies in the fact that we are humans! It is unnatural for us using learning platforms like Zoom, we need to be there! This is why so many students around the world are failing in studding from home and must be present in the classroom in order to learn. It also effects other areas today like work meetings, training meeting and more.</t>
  </si>
  <si>
    <t>The "user" groups whose problem the VRM is trying to solve is mostly students at all ages and any other users that needs/forced to do zoom meetings in those days and fined it unsuccessful due to lack of physical interaction.</t>
  </si>
  <si>
    <t>I believe that this problem is critical and needs an urgent solution because we are in a period that does not allow us to meet face to face, study normally and force us to leam through the virtual world that many do not get along with but still need to use. Also, it can be a breakthrough for an efficient platform that can be used even after the corona period.</t>
  </si>
  <si>
    <t>Create a VRM environment that simulates the physical environment of the situation (classroom, conference room, and so on), in which participants are seen in three dimensions. Students will connect to the environment with VR glasses and will feel like they are physically in class with all their peers (without other stimuli around them) and will be able to communicate with them. The teacher will control the session and will be able to show them the study material and write on the "board" everything needed. All materials will be saved and sent to the student at the end of each lesson.</t>
  </si>
  <si>
    <t>VRM is a virtual environment product that integrates software and hardware. When you connect you can see the virtual classroom friends, teacher and create an interaction with them. In addition, you can save all the material learned in the lesson. 
VRM will enable the avoidance of environmental stimuli in the physcal area.</t>
  </si>
  <si>
    <t>The VRM is smart technology that neutralizes environmental stimuli and protes good learning and meeting in a creative and fun way!</t>
  </si>
  <si>
    <t>https://enpower-school.com/wp-content/uploads/elementor/forms/5fe9da977f39d.pdf</t>
  </si>
  <si>
    <t>December 28, 2020, 6:46 PM</t>
  </si>
  <si>
    <t>IFT486</t>
  </si>
  <si>
    <t>likhithakandikatla2006@gmail.com</t>
  </si>
  <si>
    <t>This problem is critical because as our Prime - minister is going forward for Atm -Nirbhar Bharat, He is also making sure our relationship with the world is better. Now as Youths are duty is to take a step in our own way for the same cause.
This problem is critical because as our Prime - minister is going forward for Atm -Nirbhar Bharat, He is also making sure our relationship with the world is better. Now as Youths are duty is to take a step in our own way for the same cause.</t>
  </si>
  <si>
    <t>https://enpower-school.com/wp-content/uploads/elementor/forms/5fe43f322d719.pptx</t>
  </si>
  <si>
    <t>December 24, 2020, 12:41 PM</t>
  </si>
  <si>
    <t>IFT464</t>
  </si>
  <si>
    <t>light.ahead@gmail.com</t>
  </si>
  <si>
    <t>The problem is that schools had to adapt to e-learning due to Covid-19 but the repercussion is that learning has become monotonous and boring leaving us less convinced overall.</t>
  </si>
  <si>
    <t>Boring and monotonous studies have led to problems like kids getting attracted towards gaming and leading to lesser concentration. They play warfare games which is fine but sometimes on losing or winning it is taken personally. Often, they start speaking abusive language which may lead them into speaking it at the wrong places. Also, in-game rewards are counted as success in life but they are completely useless. This is reflected in their studies as their learning graph takes a nosedive.</t>
  </si>
  <si>
    <t>I am attempting to solve the problems of students who love playing games but also want to excel in studies at the same time. Yes, games are enjoyed by everybody, be it of any genre but no one enjoys sitting with your head in school books for hours and just studying.  Children love interactive studies and also, they love graphically cool looking games like Grand theft auto. There isn’t anything that combines both of these.</t>
  </si>
  <si>
    <t>Yes, it is critical as I have seen some of my classmates get into games like PUBG, Call of Duty, etc and their study graph taking a beating. If there isn’t a solution other than time management that nobody does, this is a really bad situation. Yes, it kind-of needs an urgent solution as the pandemic has wrecked the studies and reducing time of it. The remaining time is utilised either by playing video games or watching a web series as playing outdoors is risky. So, if a game having elements of GTA and is based on studies is introduced it will resolve both the problems.</t>
  </si>
  <si>
    <t>My solution is to have an open-world sandbox game like Cyberpunk 2077 which will have all the students play in it competing against each other. The competition will have debates, extempore, fast maths, coding competitions, etc. This will also have short breaks and reminders to drink water regularly or eat food. The winners will score points and the one with the highest pints will win a special gift. This will be in addition to interactive school sessions, thus making studies enjoyable for students.</t>
  </si>
  <si>
    <t>Being a student myself, I completely feel the problems faced by my fellow mates. Being a game-lover, I personally feel that gamification of online studies will not only improve the quality of learning as well as bring students’ interests back into studies, thus improving their overall academical performance.</t>
  </si>
  <si>
    <t>January 4, 2021, 3:11 PM</t>
  </si>
  <si>
    <t>disqualified-no idea, just a suggestion to gamefy education</t>
  </si>
  <si>
    <t>IFT124</t>
  </si>
  <si>
    <t>laasyataware@gmail.com</t>
  </si>
  <si>
    <t>The problems identified by me:
The Core Problem is School Premise / Building itself 
Method of Teaching 
Lack of importance to the wellbeing of a child</t>
  </si>
  <si>
    <t>The main problem identified by me is the structure of the building of the school premises So too many students in a Boxed classroom, it is near impossible for a teacher to give an attention to each and every student. A very few students be able to get the attention, more so even students feel cramped and inattentive but they can’t express their discomfort ! By the square shaped classroom there will be no skill learning by the child. Old and boxed school buildings: 
	Lack of natural light
	Lack of space (Due to over crowd)
	Affects the mental and physical growth of the child</t>
  </si>
  <si>
    <t>•	Foundational – Age 3-6 Pre-school and Class 1 &amp; II Age 6-8 
•	Preparatory – Age 8-11 Class 3 to 5</t>
  </si>
  <si>
    <t>Indeed it is critical that Children have the most grasping power, energy, and enthusiasm between the age 5 to 10. So in this age if the children are taught with skill developmentsmore so we can mold  them effectively. It will remain in their mind forever.  So children have to be active in overall prospective.</t>
  </si>
  <si>
    <t>Our solution is to look at the schools building in a new dimension and build such schools that brings the changes to the overall growth of the child / student An architecture which is Open, specious, and in natural light environment, coupled with gamified learning methods, students learn the life skills such as Communication, Cooperation, Teamwork, and resilience much faster.</t>
  </si>
  <si>
    <t>Our whole new approach to the school infrastructure will have multifaceted benefits to the growing children by bringing changes to the current state of schools.</t>
  </si>
  <si>
    <t>Me being a student and having gone through all these difficulties, and seeing how many students are still suffering, I have come up with this unique idea with my own experience and discussing with my parents and neighbors</t>
  </si>
  <si>
    <t>https://enpower-school.com/wp-content/uploads/elementor/forms/5fe8848386877.pdf</t>
  </si>
  <si>
    <t>December 27, 2020, 6:26 PM</t>
  </si>
  <si>
    <t>IFT533</t>
  </si>
  <si>
    <t>kushagrover@ymail.com</t>
  </si>
  <si>
    <t>Kusha</t>
  </si>
  <si>
    <t xml:space="preserve">Ahlcon International School
</t>
  </si>
  <si>
    <t>There is a gap between academic knowledge gained in regular school curriculum and its practical application in corporate and vocational arena.</t>
  </si>
  <si>
    <t>The corporate world encompasses themes such as Stock Market, Investments, Insurance, Banking and Income Tax Returns which are significant for everyone, regardless of the subjects they are studying. So are the vocational subjects, for instance, pottery, goldsmith, and electrician. The current problem in India is that the youth is largely of the unskilled type. This magnifies the rate of unemployment prevailing in our country to a large extent. Moreover, it is necessary to develop the students’ interests in these matters. So, the gap between the bookish knowledge and their practical application should be bridged at the earliest.</t>
  </si>
  <si>
    <t>The user group whose problem we are seeking to solve includes the students of classes XI-XII. The students of these classes are at an age when they can understand the real life issues and can be best benefited by learning how to tackle them. Besides, this is the stage of life when they start preparing for their future education and employment. Gaining practical knowledge at this point can prove to be really helpful in this preparation.</t>
  </si>
  <si>
    <t>The problem is critical as it is a widely accepted truth that students understand the knowledge which is relatable with their daily life. Therefore, it is of utmost essence to give students appropriate knowledge about these topics, with a great emphasis on practical usage. This will also enable the students to better equip themselves to be active and employable individuals of the country. This solution also seeks to create the avenue of education more holistic, hence, should be urgently implemented. This is also in keeping with the New Education Policy, NEP 2020, which gives paramount importance to acquiring practical skills.</t>
  </si>
  <si>
    <t>We have come up with a solution to create a business organization for all the aspirants who wish to nourish themselves into a person who can adjust to the real world without compromising can enroll. We will also focus on making all the students keen in learning something extraordinary and out-of-the-box by introducing them to vocational skills, entrepreneurship. This will boost up their confidence so that they are able to stand in the real world without any hesitation. This is not only for the people who are keen in smart learning but also in developing the want and zeal to learn in the students who are apparently not efficient in education system we are following at present.</t>
  </si>
  <si>
    <t>There are great benefits that the users can get through this idea. The knowledge being imparted not for the purpose of giving examinations, but for preparing for life. Firstly, there will be knowledge-based sessions on varied themes ranging from the corporate world to vocational subjects, whichever the students choose. The topics will be taught in simple and understandable language, by giving examples. Next, the idea includes organising activities, which will be interactive, engaging and competitive in nature, while also regularly testing the knowledge grasped so far. In addition, there will be special days on which inspirational stories of real-life success stories of entrepreneurs and skilled craftspeople will be shared in an autobiographical manner, such that the students are able to understand the whole journey, including the challenges and the solutions. There will be certification at the end of the course, which will help students to add value to their resumes.</t>
  </si>
  <si>
    <t>As students, we have faced a similar set of challenges when confronted with critical situations in real life. While schools successfully provide academic knowledge, the way in which it can be used in our lives should be taught as well. Since we understand the problem and actively think about it, we find ourselves suitable for providing an effective solution. This is mainly because we can put ourselves in the place of our fellow students and figure out what will be perfect for us – thus, for the users.</t>
  </si>
  <si>
    <t>https://enpower-school.com/wp-content/uploads/elementor/forms/5ff68b4eb5d22.pdf</t>
  </si>
  <si>
    <t>January 7, 2021, 9:47 AM</t>
  </si>
  <si>
    <t>IFT560</t>
  </si>
  <si>
    <t>kushagra.041206@gmail.com</t>
  </si>
  <si>
    <t>in todays time teachers are a very important part f both the economy ,bot indirectly and directly. right now we can see that the burden over the teachers seem to increase only rather than decreasing. this increasing burden lowers the performance of everyone which seems to directly affect the student , also we know that every student is different and has different needs. and because of the cycle of increased burden and work the growth of the student worsens each day.</t>
  </si>
  <si>
    <t>We have seen that during the covid pandemic there has been an exponential increase in the usage of mobile devices. The teachers now have to use electronic devices a lot, idk also this isn’t a new problem that the workload on teachers has always increased and never decreased, each and every teacher has to teach many different classes this gives birth to not so efficient and not so interactive class sessions this causes a decrease in the grades of certain students its not that I will answer this problem with an increase in the number of teachers rather an artificial intelligence bot.</t>
  </si>
  <si>
    <t>the user sector is the school organizations this product is exclusively made for schools as it is an ai system that can help teach classes and act as a supportive to the teacher ,the future of schooling will definitely be awesome , lets try to understand this with an example, suppose a teacher needs to open up a science video in the smart class system ,this ai bot can help with it it will question to the user which subject they want to open and which specific video the want to see this bot can hep with that and many more, think of it as an ai assistant with a very less maintenance cost and a very high efficiency rate.</t>
  </si>
  <si>
    <t>I believe that this problem is critical as we can not compromise with the grades of any student but the modern schooling system does just that this ai bot is the first step to a highly efficient schooling , think of more interactive classes think of this ai .the fact that this a bot that works at a processing power of a gigahertz and a dat transmission of upto 10 mbps compared to a 250 bit per second of a human this bot can do wonders.</t>
  </si>
  <si>
    <t>My solution is an ai system called "RAMNATH" this bot can chat just like a human , teach just like a human, can also take that boring attendance by facial recognition programs ,this bot as told before can perform a myriad of tasks ,can become a professor of statistics , can perform complex equations as if they are piece of a cake. also the use of natural language processing helps this ai system to understand each and every word a human says and understand them like a human , to teach this ai system you just have to add the text file of the topic in its directory and then it can answer any question it is asked from the topic, there is also a feature of a gui(graphical user interface) that helps the learning more efficient(though this feature is not complete) . [the link for the codes are given in the word file below]</t>
  </si>
  <si>
    <t>this solution gives a distinct benefit to user as it is completely personalized ,for ex. we know that every student is different and have different capabilities , this ai stem unlike any normal teacher uses neural networks to create quizzes and personalize different learning material for each student based on their learning capacity ,but how will it do it, in my bot there will be first a basic quiz that will determine the capacity of a student  this will help generate learning material  for the kid from various web sources and also recommend certain video's to the student, but what will it do? it will help increase the level of a student till the time every student in the class can have a really nice capacity to learn and hence all the tests a normal teacher would give will make sense in improving them rather than decreasing  their moral .</t>
  </si>
  <si>
    <t>i think i am the best equipped to offer this solution as 1- i have seen and used many such apps some give us education some promise to automate the buildings or quarters we want to use them ,but this device is a whole combination of all those features.
2- and the second reason is that there are certain systems that gives facial recognition ,nlp and other systems but there is  no such system has been ever made that provide all these features. this is almost like a primitive not so smart teacher, and can perform lesser tasks but with a lot more efficiency.
3- and the third reason is that i very much trust my skills and can say that the codes i make are really "working" and can give results.</t>
  </si>
  <si>
    <t>https://enpower-school.com/wp-content/uploads/elementor/forms/5ff7115887efc.docx</t>
  </si>
  <si>
    <t>January 7, 2021, 7:19 PM</t>
  </si>
  <si>
    <t>IFT568</t>
  </si>
  <si>
    <t>kunal.baldava@outlook.com</t>
  </si>
  <si>
    <t>Students’ Doubts take too long to be answered or go unanswered directly on doubt solving platforms
Regular search engines have too many distractions for serious study
There is no integrated platform dealing with everything related to education.</t>
  </si>
  <si>
    <t>The first problem has been elaborated upon in the segment below
A lot of students, including myself, are not disciplined enough to keep studying even after seeing a video recommendation we like or getting a notification from a game we want to play.
Students have to go to dozens of places to do different things regarding education from stationary to the uniform vendor.</t>
  </si>
  <si>
    <t>Primarily Students living in tier 2 and tier 3 cities with access to the internet
Age group : 14-17,21-25 (students preparing for exams like JEE,NEET,UPSC,etc.)
Economic status : Middle Class (preparing for these exams without help from coaching centres )</t>
  </si>
  <si>
    <t>A lot of students rely on platforms like doubtnut,  toppr, brainly, etc. for solving their  study related doubts.
This is for various reasons including inability of students’ to understand teachers, lack of teacher’s interest in solving students’ doubts, students being more comfortable asking doubts anonymously etc.
Also students get distracted very easily on the internet and end up wasting their study time.</t>
  </si>
  <si>
    <t>Stugle : A Search Engine for students.
At first will act as an aggregator of doubt solving services.
Students will have an option to post a doubt using stugle and it will be automatically posted on 5-6 platforms to ensure that the students gets the answer as quickly as possible. student will be notified on receiving answer.
Will also automatically send emails to the platforms if doubt goes unanswered.
Later it will be expanded into an integrated platform dealing with everything related to education.
Following the example of google, a browser can be launched following the success of the search engine which will be tailor made for students.
It can have features like blocking access to internet except for study specific websites, warnings if the browser thinks student is wasting time on other applications,etc.</t>
  </si>
  <si>
    <t>It saves their time. 
Gives a higher probability of their doubt being answered</t>
  </si>
  <si>
    <t>I was part of the winning team at of the most reputed young entrepreneurship programs in the world(TiE Young Entrepreneurs Hyderabad). Thus, I have experience in working on and pitching ideas. the venture I worked on earlies was also in the EdTech space. I can work in partnership with a reputed web developer whom I personally know to turn the idea into reality.</t>
  </si>
  <si>
    <t>January 7, 2021, 8:50 PM</t>
  </si>
  <si>
    <t>IFT493</t>
  </si>
  <si>
    <t>kumard2500@gmail.com</t>
  </si>
  <si>
    <t>1. Impact on current education system due to Covid-19 Pandemic.
2. Impact on overall personality developments on the students due to online classes.
3. Inadequate infrastructure in rural areas for online classes.</t>
  </si>
  <si>
    <t>1. Syllabus of higher classes have been curtailed due to pandemic.
2. Due to less physical interaction with teachers and peer group, students' personality development has affected.
3.Rural Schools are not able to afford online teaching and have limited access to desired technical devices.</t>
  </si>
  <si>
    <t>1. Students and teachers both are facing challenges in this testing and trying times.
2. Students of higher classes are mainly affected on studies front and junior students are not getting the personal interaction which is required for their overall development.
3. Other user group which we are targeting are students from rural backgrounds which are having little access to technology and educational infrastructure.</t>
  </si>
  <si>
    <t>1. A major impact on their career because of reduction of syllabus in the wake of the pandemic.
2. It's a critical time for students as it will effect their career and future if required support is not available to them.
3.  Students in rural areas are not able to study and acquire knowledge due to improper access of technology and educational infrastructure.</t>
  </si>
  <si>
    <t>1. Schools may be opened with safety protocol for needy students for one to one interaction for clearing their doubts.
2. Apart from regular study classes some personality development classes should also be started.
3. Provide continuous feedback to students and brush up their weak personality traits. Talking to them in 1-0-1 meeting 
4.  Finding ways to encourage them to have an interest in the books particularly in rural area.           
5. Special funding to provide better infrastructure in rural areas.</t>
  </si>
  <si>
    <t>• Better clarity of concept among students
• Improve personality developments of students
• Effective personal connect between teacher and students
• Better infrastructure and technology use in rural education system.</t>
  </si>
  <si>
    <t>We think that we are the best equipped to offer this solution as we ourselves are facing these challenges in current times. We have identified the problems practically and proposing the solution that we think can resolve the issues currently being faced by all connected people.</t>
  </si>
  <si>
    <t>https://enpower-school.com/wp-content/uploads/elementor/forms/5fe36e23ea5c2.pptx</t>
  </si>
  <si>
    <t>December 23, 2020, 9:49 PM</t>
  </si>
  <si>
    <t>IFT509</t>
  </si>
  <si>
    <t>kritiksharma506@gmail.com</t>
  </si>
  <si>
    <t>Plobrum faced by the child living in a small town area or solace for away from school are not able to get proper education which destroys their future and doesn't allow them to reach their goal in life also their are many people in city who can't afford to go to school because of financial plobrum are not getting education</t>
  </si>
  <si>
    <t>Many child not education because of living far from school or colleges and if living also can't afford books and schooling cost to send their child to school</t>
  </si>
  <si>
    <t>I am try to solve the problem of poor people who want to study but can't study or stay away from school or colleges or can't afford the cost of  giving education to their child</t>
  </si>
  <si>
    <t>This plobrum is critical and needs urgen solution because child are not getting propper education and thus they are not able to reach their goal in life  and thus they stay unemployed and</t>
  </si>
  <si>
    <t>My solution is to  teach child who are not getting proper education we can teach a group of child together and like classes their are some people who can give their child education but can't give a private tutor so we can create a app and can thus teach student online</t>
  </si>
  <si>
    <t>It reduces the pain of child who are not getting education now they will get education and can have a bright future reach their goal and those who can't afford tutor now they will get tutor and can study nicely</t>
  </si>
  <si>
    <t>We just have to create app to teach people in different areas where we can't reach and  a app to reach every one and people who will live classes in it if possible people can give face to face classes to a group of child together if possible and we will  try to give most amount of education</t>
  </si>
  <si>
    <t>January 6, 2021, 4:05 PM</t>
  </si>
  <si>
    <t>IFT492</t>
  </si>
  <si>
    <t>kritikakumari992004rai@gmail.com</t>
  </si>
  <si>
    <t>Problem being faced by students during eLearning.</t>
  </si>
  <si>
    <t>During this corona pandemic schools are continuing their studies through online classes but it is always difficult to get habitual with new way of learning. Also there is lack of interaction between teachers and students during online classes. Most of the times schools are not aware about problems being faced by students during online classes and  learning  experience of students is not good which ultimately is affecting their academic result.</t>
  </si>
  <si>
    <t>The user group are the students attaining online classes . I am trying to help schools to get acquainted with the problems being faced by students during online classes.</t>
  </si>
  <si>
    <t>It is important for school to get acquainted with problems being faced by students during online classes so that they work in right direction to provide better learning experience to students.</t>
  </si>
  <si>
    <t>I have created a  webapp in which students or their parents/guardians can give feedback related to  online classes being conducted by school during this pandemic. This webapp is very easy to use and has just certain buttons which need to be clicked to give feedback , I have also used graph which will enable students or parents to see the feedback result and know how many people have been the part of this feedback and what are the most faced issues. This webapp can be used by schools to know about the learning experience of students during online classes and gain various knowledge such as the subject students find most difficulty studying online or any other issues faced by them. This will help schools to improve their ongoing online classes and hence provide better learning experience for students.</t>
  </si>
  <si>
    <t>This webapp will help schools to get acquainted with the problems being faced by students in eLearning with an ease and thus will help schools to make right reforms or to take  correct measures for helping students.</t>
  </si>
  <si>
    <t>I think I am best equipped to give this solution because I myself is a school student in 10th standard in this present year and thus by my own experience I know the difficulties being faced by students in online classes of schools and how this webapp can really be beneficial.  This is the link of the webapp I created  - “ https://webinar.plezmo.com/FLD5  “ .</t>
  </si>
  <si>
    <t>https://enpower-school.com/wp-content/uploads/elementor/forms/5fe35777ba718.docx</t>
  </si>
  <si>
    <t>December 23, 2020, 8:13 PM</t>
  </si>
  <si>
    <t>IFT529</t>
  </si>
  <si>
    <t>kriti.karmakar04@gmail.com</t>
  </si>
  <si>
    <t xml:space="preserve">Karmakar </t>
  </si>
  <si>
    <t>Alchon International School</t>
  </si>
  <si>
    <t>In the Indian education system the individuality and creativity of students is severely hampered.
Students lack hands on experience working in different fields. Students are not provided
with required career counselling and motivation. Good mentors are hard to get.</t>
  </si>
  <si>
    <t>Indian Education system is one of the most refined in the world but it is lacking in many
ways. For instance our education system promotes theoretical learning and mugging up but
lacks at providing students basic knowledge about the necessary things in life like taxation
system, changing reforms of country etcetera. Another field in which we must improve is
including the children’s creative side which benefits them or provide them assistance for
their future studies. They also must be provided with guidance and career counselling which
can help them choose their future endeavours.</t>
  </si>
  <si>
    <t>Our main user groups will be thus-
SCHOOL STUDENTS—COLLEGES AND UNIVERSITIES—NGO’s AND FIRMS</t>
  </si>
  <si>
    <t>Students who are not provided with the required guidance often choose a career path which
is totally different from where they started thus rendering their entire hard work of life
useless. Others after completing their studies in college and getting Jobs later realise that
their potential is not fully utilised and get demotivated.
Some students who do not get the required guidance often end up choosing subjects which
they later realise is not a good fit for them. This increases the chances of students dropping
out of schools and colleges.</t>
  </si>
  <si>
    <t>APP/WEBSITE —&amp;gt; ID CREATED BY STUDENT—&amp;gt; UPLOAD CONTENT—&amp;gt; VISUAL &amp;amp;
PERFORMING ARTS, RESEARCH WORK, MERITS &amp;amp; CERTIFICATES, TECHNOLOGY BASED IDEAS,
SPORTS ACHIEVEMENTS, etc.—&amp;gt; SHOWN DIRECTLY TO RELATED FIRMS, NGOS, COLLEGES.
FIRMS —&amp;gt; PROVIDE—&amp;gt; INTERNSHIPS(paid/ unpaid) &amp;amp; COURSES &amp;amp; SCHOLARSHIPS
NGO’s —&amp;gt; PROVIDE—&amp;gt; WORKSHOPS, SCHOLARSHIPS TO NEEDY, HANDS-ON EXPERIENCE.
COLLEGES( pvt. &amp;amp; govt.) —&amp;gt; VIRTUAL TOUR TO STUDENTS IN CAMPUS, FREE CAREER
COUNSELLING, INFORMATION ABOUT COURSES
Business point if view- Profit to the developers. Yearly minimum subscription cost to be
given by the Schools, Colleges/Universities and Firms. Students will be able to use free of
cost.</t>
  </si>
  <si>
    <t>Students nowadays have started to venture out into the world in search of their desired
fields and passions, but not everyone has the means and opportunity to do so. Through the
this app/website we will be able to provide students with this. They will be able to access
material which will help them to understand their interest areas and the best suitable
college/university for them. They will also be provided with internships with various firms
and NGO’s.
This will motivate the students to participate because it’s an incentive-based programme
which will provide them a certain form of non-monetary and monetary return which may
even help them in their future endeavours. Therefore the programme will hold a lot of
intangible aspects other than the tangible ones.</t>
  </si>
  <si>
    <t>This will not force the students to choose the activities from a structured course of a small
number of subjects but rather make individualistic choices based on their interest. Students
will be able to interact first hand with small, medium or big firms which will help them to
broaden their perspective about the usage of the app/website with time. Students will be
exposed to practical experience in the fields of their choice. If this system is implemented it
can successfully change the existing systems and its methods of giving students homework
and holiday home works but rather encourage them and provide them with the freedom to
explore their own aura and interest which can lead to finding their hobby, or even earn
money in the long run.</t>
  </si>
  <si>
    <t>https://enpower-school.com/wp-content/uploads/elementor/forms/5ff5fb3ad6c0e.pdf</t>
  </si>
  <si>
    <t>January 6, 2021, 11:32 PM</t>
  </si>
  <si>
    <t>IFT378</t>
  </si>
  <si>
    <t>Krishnkedia@gmail.com</t>
  </si>
  <si>
    <t xml:space="preserve">Krishna </t>
  </si>
  <si>
    <t>gurugram</t>
  </si>
  <si>
    <t>The attention span of students due to online schools has shortened.</t>
  </si>
  <si>
    <t>Since the corona virus has hit in 2019 and affected India in march 2020 the entire educational system has shifted online which consists of online video calls, chatting, file sharing, however students and teachers have to use a lot of different apps and sources to conduct daily activities. While this itself is an issue, it is needless to point towards the attention span of students which affects their education on a daily basis.</t>
  </si>
  <si>
    <t>Our app will target the schooling community from grades 1 till grades 12 however the app will mainly focus from grades 4 to 7 as competitiveness towards academics and within peers is the most out app will focus towards making the life of the student as well as the teacher not only better but easier were there daily job is considered. This one stop shop will consist of all the activities a teacher and student might have to do on a regular school time.</t>
  </si>
  <si>
    <t>The pandemic hit India and schools just shut down, since then online schooling is pursuing and seems like this is going to remain for a while. At this time education is happening through many different means and apps. Certain apps for meetings, sharing resources, examinations, chatting and a few to view the calendar. These apps not only make learning difficult but many students are missing out on resources or homework. Which becomes an excuse for not studying. Which makes educators' lives difficult and students do not absorb the information they need and hence go on to cheat in exams.</t>
  </si>
  <si>
    <t>We will create Dynamic Learner a one stop shop for all educators that will conduct all the necessary means and features a teacher might use to contact a student in the easiest way possible. Whether a teacher has to send resources, schedule, events, examinations, chatting and also video calls for the main class to happen in itself. Dynamic Learner is a solution for not only teachers but also students. There were a lot of things that teachers were able to do in physical school that they are not able to do in online classes for example, making sure that all students are paying attention in class and all students are keeping up not only will our app solve issues that the teachers are facing while online classes but also issues that teachers were facing while physical school for example the students that lack behind and don’t understand.</t>
  </si>
  <si>
    <t>Our app will be a one man show as no ther apps will be needed we will conduct all the activities that are required for daily activity for either students or teachers hence our app is the only one they would have to open  to keep up with school we will have exciting ways to make the teacher stay in contact with each and every student while the class is happening like questions and quizzes all built in the app where teachers would be able to use quizzes that are already available in the app and they would be able to make their own questions this would result in more contact with students and would result in an over all better result of a class in unison</t>
  </si>
  <si>
    <t>) Dynamic Learner is based on opinions and problems faced by teachers in real life. While teachers give their input we have also taken inputs from other students as well as put in a couple of our own. Which has lead us to compile data that includes solutions of problems from teachers and students. While doing this all options were considered and a pros and con list as well for every solution hence the best solution was derived and offered again for an interview again to collect best results. With all this information we have planned out an app that will help kids in everyday.</t>
  </si>
  <si>
    <t>https://enpower-school.com/wp-content/uploads/elementor/forms/5fede803a7e88.docx</t>
  </si>
  <si>
    <t>December 31, 2020, 8:32 PM</t>
  </si>
  <si>
    <t>They want to buld an app which will be like zoom in which they will build in games, quizzes students can play during breaks to make it intresting for students and it will track the video on by the students and eye contact with the app so as to track the attention of students</t>
  </si>
  <si>
    <t>IFT478</t>
  </si>
  <si>
    <t>krishaangdogra@dldavppcbsei.com</t>
  </si>
  <si>
    <t>Studies and exams can be important for several reasons. ... The exam becomes the student's opportunity to bring all of the material they have learned together and process that information to combine all their knowledge on the subject into some sort of meaningful response, like an essay or research based test. students often make false stories and cheat</t>
  </si>
  <si>
    <t>Stress  who are overwhelmed balancing multiple classes with work schedules and extra activities. Studying proves another monster conducive to stress</t>
  </si>
  <si>
    <t>Stress occurs naturally in  students, who are overwhelmed balancing multiple classes with work schedules and extra activities. While learning new things is always exciting, when you're doing a course you have the pressure of needing to get a certain mark to pass. This means that studying and doing assignments can be stressful. Studying also takes a lot of time, and it can be hard to balance it with your other life commitments,</t>
  </si>
  <si>
    <t>Students often try to memorize things but not every time they are succesfull at some time they take too much stress and tension which causes illness and at some situation they try cheating which causes loss.</t>
  </si>
  <si>
    <t>Fun Meet
It is an kid safe application which allows kids innovate and learn in an interesting way of quiz, games and fun learning stuff.{compatible for NCERT and CBSE }.this will give relief from cheating because the app will allow everything according to teacher accept camera. Includes kid safe browser</t>
  </si>
  <si>
    <t>This application gives relief to the children and provides book reference of every type it is safe for  the eyes of children as it as a blue light filter which provides safety has 100% of the doubt solved as the sessions are recorded 
[Olympiads can also be made]</t>
  </si>
  <si>
    <t>I am the best equipped to offer this solution as I think both wise as a child’s innovative idea and the programming wise too as it has everything possible inside the application and in additional Fun meet also comprise of different browser for kid safety</t>
  </si>
  <si>
    <t>https://enpower-school.com/wp-content/uploads/elementor/forms/5ff441c56088a.pptx</t>
  </si>
  <si>
    <t>January 5, 2021, 4:09 PM</t>
  </si>
  <si>
    <t>IFT599</t>
  </si>
  <si>
    <t>kpriyanshu2502@gmail.com</t>
  </si>
  <si>
    <t>During online class most of teachers or students also don't know how to  use the electronic devices and most of students know but they cheat not only themselves but their own parents. And they use the websites for doing the online papers and they miss use this pandemic year.</t>
  </si>
  <si>
    <t>The students missuse the technology and when the pandemic year goes they will not able to perform well .</t>
  </si>
  <si>
    <t>I am solving this problem for students future and me also.</t>
  </si>
  <si>
    <t>Because this a time of pandemic (Covid-19) and after it's over most students have blank mind and they don't know what to do. So this is an urgent matter needs to be solve fast.</t>
  </si>
  <si>
    <t>A proper guidance to teachers and students should be given and make an app that takes online papers and the students can't go to any website or if the go the will be cancelled.</t>
  </si>
  <si>
    <t>It will the students future briter and success in all further comptitions.</t>
  </si>
  <si>
    <t>Because this is a very urgent matter and needs to be solved as early as possible.</t>
  </si>
  <si>
    <t>January 8, 2021, 10:25 PM</t>
  </si>
  <si>
    <t>IFT474</t>
  </si>
  <si>
    <t>koshlendra.p.singh16@gmail.com</t>
  </si>
  <si>
    <t xml:space="preserve">9717444848, </t>
  </si>
  <si>
    <t>so the problem is the education SYSTEM, as we all know that systems are for robots ,but we are not educating robots we are educating humans and that too during their crucial state and if this education acts as a system then we are creating humans with robots consciences, which are good for nothing. what we need is just more natural EDUCATION ENVIRONMENT  which fits HUMANS</t>
  </si>
  <si>
    <t>now as we know that the problem is with the system, as we know right now in our country the system is this way, from class 1 to 10 every subject is important for MARKS and in 11th class people take up streams that are as outdated as my grandfather and after that with all this useless knowledge ( until you are going into research work) person goes to the college and then learns things that are of some importance.  so basically we are making a tea but with more things required than the ingredient and it is taking more time and at last creating a MESS</t>
  </si>
  <si>
    <t>the USER group for which we are trying to solve the problem are literally the one which come after us the next generation though till now we are creating cyborgs but with the new generation which basically has all the information of there world in their hands we would really create robots which are useless in our HUMAN EVIRONMENT</t>
  </si>
  <si>
    <t>this needs urgent solution, because now is the time when everything is shut no one is going anywhere exams are postponed schools are closed and even after the pandemic situation we need to put the solutions in effect because just thinking will not get us anywhere ( even though all our country do is thing) the thoughts must be accompanied by BOLD actions</t>
  </si>
  <si>
    <t>so as I said that we needed an environment, SO FIRST, lets start with breaking the study timetable in the school make it more FLUID from class 1 to 5 let them be a little creative by setting their own timetable of the day with a 30 min debate in the morning and they have to be given a time period for different periods which helps them to learn time management, then run the regular periods with mores focus on creativity in the starting years. SECOND, from classes 5 to 9 let them  take their classes on their own, like there should be specific classes for specific subjects and not different sections, eg- there was class room with written on the door 'section-a' but now instead of different sections there are class rooms with subject written on their doors like 'science' which will denote that this class is science classroom and students interested in science can come here, basically end the section system in which the students were in different sections like A,B or C and everyone has to take a particular minimum time  of every class (subjects) on monthly basis and if you have finished the all the topics that are to be covered that month you can take the class you want. lastly end the stream system and let them take any combination of subjects and major exams like jee and neet have to accommodate with the subjects.eg- like what a doctor will do by learning entropy or other concepts that are not related to his field, education has to be precise. and the exams should focus more on the real world use of the knowledge</t>
  </si>
  <si>
    <t>this ends the old SYSTEM and creates an ENVIORNMENT where student study what they want and if they like a particular thing more they can give more time on it and if they don't like it then they can just give the minimum time required. and this no section thing will even increase their social abilities. when a student which has studied trough this system pursues his goals he would do it with STYLE</t>
  </si>
  <si>
    <t>as I am a student myself and have been through it and is still going through it so I know what are its flaws and this is just not right for the students who have to go through all this just because no one wants to change it and at last my solutions may be good or bad but the present system has to change</t>
  </si>
  <si>
    <t>January 5, 2021, 2:12 PM</t>
  </si>
  <si>
    <t>IFT017</t>
  </si>
  <si>
    <t>kmurugesanmrishikanth@gmail.com</t>
  </si>
  <si>
    <t>Boring online classes! I have a list of problems by  attending the live class. My eye was paining because of continous live class for 40 minutes . I miss my teachers who interactive with students. Now, I can't finish my homework on time. Because my mom tolds to me that I want  to play outside safely, sleep, give rest for eyes and do extra  currricular activities for your health. But I have no time to do my homework on time itself. I can't listen what mam is telling  on live class, because of poor network connection. I miss my friends who help's me to score good marks. I feel sleepy on live class. When live class is started I am only alone in my room. The duration for one class is 40 minutes!</t>
  </si>
  <si>
    <t>Mine</t>
  </si>
  <si>
    <t>Because nowadays there is no solution for eye problem.</t>
  </si>
  <si>
    <t>(solution) 
   Now technology is so developed. So I think to provide an app for online class which have all facilities like in school. The eye protection level must be very high. The less duration but more knowledge. The maximum duration must be 20 minutes. We should not take as a subject. Teachers must be tell more about concepts only. If we understand the main  concepts we can answer any type of questions related to that concepts. (Byju's also a best way to learn but we want to subscribe the app for rs. 25000 to get all facilities). The Conclusion is providing free live class, less duration, more knowledge, extra activity and more facilities.</t>
  </si>
  <si>
    <t>Because I have been trying for eye problem solution</t>
  </si>
  <si>
    <t>Of this</t>
  </si>
  <si>
    <t>December 16, 2020, 3:24 PM</t>
  </si>
  <si>
    <t>IFT579</t>
  </si>
  <si>
    <t>kirtikaj4506@vissanjiacademy.com</t>
  </si>
  <si>
    <t>~Students studying in ICSE board have to choose their subjects in standard 9 and students studying in CBSE and SSC board have to choose their subjects in standard 11.This makes it complicated for the students to learn their following subjects in a short span of time that is 2 years.
~Students often complain about shoulder pain because they have to carry various books to school.
The strain on their back increases pressure on them.
Also it often happens that children loose notes and books.
~There’s often a problem of changing books every year and change in authors of book in
every school.</t>
  </si>
  <si>
    <t>~This makes it complicated for the students to learn their following subjects in a short span of time that is 2 years.Such things make it difficult for the students to choose their career.
~The strain on their back increases pressure on them.
Also it often happens that children loose notes and books.
~This makes it difficult for children to study as the courses change and a drastic change in pattern of books.</t>
  </si>
  <si>
    <t>Keeping in mind the normal education system and the covid situation too we have the presented problems and their solutions too. Our solution effective, affordable, time and money saving and eco friendly.</t>
  </si>
  <si>
    <t>I think I am best equipped to offer this solution as it is a problem that I suffered through and am still suffering. So I suppose myself to be most appropriate to give a problem to this solution being a student myself.
The solution is more than a revolution for me.</t>
  </si>
  <si>
    <t>https://enpower-school.com/wp-content/uploads/elementor/forms/5ff73d349688c.pptx</t>
  </si>
  <si>
    <t>IFT532</t>
  </si>
  <si>
    <t>kinjalagrahari32@gmail.com</t>
  </si>
  <si>
    <t>I want to solve the current problem of our education system . Our current education system mainly focuses on width of the knowledge rather than the depth  of the knowledge .</t>
  </si>
  <si>
    <t>As we can see the education is getting costlier day by day .And poor families due to lack of money are not able to send their children to school. And instead on focusing on co-scholastic areas the schools are focuses only  on the scholastic areas. Mainly they are focusing only on gaining  book knowledge rather than  gaining practical knowledge .</t>
  </si>
  <si>
    <t>I am trying to focus on the students that is the young generation/coming up future generation .</t>
  </si>
  <si>
    <t>According to me this is a serious problem of concern because the current education system  mainly focuses on books knowledge rather than practical knowledge. The schools prepare students for written examination which is completely based on books their is no practical knowledge in it . What will a child do preparing for  and cracking a written/competitive exam if he/she is not able to deal with the problems of life that they are facing or may be will be facing in the coming up time? for example we can take the Covid19 case. Different schools these days  just wanted to complete their courses and make their schools on top. They don't see that it is becoming a burden on students which is causing the rate of sucide cases increasing day by day.</t>
  </si>
  <si>
    <t>My solution to this is that the schools should reduce the syllabus .And start conducting practical knowledge or problem solving classes. Many students wont be able to tell their problems to teachers or infront of everyone so what can be done is that the schools can have a sort of app or place where a student can anonymously tell his/her problem without embarrassment  and get solution to cope up with the problems .</t>
  </si>
  <si>
    <t>These days the students are facing alot of burden from schools as well as from their parents or other family members or people all around. students are stressing a lot this will help them  not  in solving all their problems but  getting a sort of relief which can reduce their stress and make them mentally strong to not loose hope as everything has a solution. A day or few days may be bad but the entire year wont be bad.</t>
  </si>
  <si>
    <t>I think i am the best equipped to offer this solution as i am a student of class 10 and i know what it actually feels like having a burden of studies .Even tho i like solving other peoples problem and i am a sort of a person who always motivates other people and encourage them not to loose hope because everything has a solution . I have helped some of my friends in solving their problems by first listening to them and making them feel less burdened .</t>
  </si>
  <si>
    <t>January 7, 2021, 9:19 AM</t>
  </si>
  <si>
    <t>IFT543</t>
  </si>
  <si>
    <t>kingofpubg777@gmail.com</t>
  </si>
  <si>
    <t>ojas</t>
  </si>
  <si>
    <t>singh vadhera</t>
  </si>
  <si>
    <t>vissanji academy</t>
  </si>
  <si>
    <t>the current problems are that students have to pay a lot to get books which they can't afford and there are many students who bunk classes which should be stopped and many students have problems in solving sums in maths which is problem</t>
  </si>
  <si>
    <t>students are unable to learn in online classes properly and even teachers can t help them because they don t much about all this so</t>
  </si>
  <si>
    <t>the user is group is mainly of students in class 2 to 10 whereas this app also supports content for students of 11 and 12</t>
  </si>
  <si>
    <t>it is critical as students are the future of our country and they are the who will make the future better</t>
  </si>
  <si>
    <t>our solution is the app which will be an alrounder  and help students to achive their goals</t>
  </si>
  <si>
    <t>it will give benift as the students are currently in stress of exams and they want proper explation of studes urgently and this is the work of the app</t>
  </si>
  <si>
    <t>we are best equipped at everything</t>
  </si>
  <si>
    <t>https://enpower-school.com/wp-content/uploads/elementor/forms/5ff6ba2de9d10.pptx</t>
  </si>
  <si>
    <t>January 7, 2021, 1:07 PM</t>
  </si>
  <si>
    <t>IFT096</t>
  </si>
  <si>
    <t>khushboojha2004@gmail.com</t>
  </si>
  <si>
    <t>Their is whole lot of need of sanitation everywhere and that's a urgent need because it could leads to infectious diseases and pollute environment.</t>
  </si>
  <si>
    <t>We would have came across many street sweepers in our day- to- day life,doing their work in the scorching sunlight in the winter and even  on the deadly day with very high temperature every time they sweep the dust out of the way again it fall on the way with the sudden woosh of air,  but that’s  what give them some expenses for their livelihood but can’t we make their job a little bit easy with the raising hand for help….and taking the initiative of “swacch bharat” to its peak with some help of technology this whole setup would be along with the glasses which would prevent the contact of even very small dust particles with eyes and the device would help to clean perfectly , cleanly and almost contactless .</t>
  </si>
  <si>
    <t>I am solving the problem of every street sweepers , cleaners , and one who manually put effort for sanitation of the particular place...</t>
  </si>
  <si>
    <t>Everyone would have came across the street sweepers and cleaners doing their task but it doesn't fullfill the need and don't properly sanitise it.....to make the work perfect I have developed the idea with the help of technology so that we could make the environment safe from diseases and prevent from environment pollution simultaneously and in a eco friendly way!</t>
  </si>
  <si>
    <t>By keeping this into mind I would like to present a device that will be acting as “automatic sweeping machine” that will completely work from solar energy through the solar panels .
So it all begins with a solar panel of 8x4 ,200watt solar panels each  it will be attached to a plastic insulated cap that should be wore on the head and that cap will be connected through the +ve and –ve wires of the panel to  the mppt(max. power point tracking) charge controller so that solar power could convert into more organized  power to use now,charge controller would be connected to +ve and –ve wires to the lithium ion battery of 12volt ,can be easily charged through 150watt solar panel(approx) then,battery will be connected to the pure sine wave inverter of 700 watt(approx) that will be completely safe to use. The whole setup will be compactly attached to the vaccum cleaner(700 watt) attached to a small eco friendly bag at the back to store the dust along with litter  ,it will ensure the hygienic cleaning of our roads .we will make the whole setup with as light weighted as possible to ensure the least weight person will carry by taking  the help of small wheels attached at the bottom . The machine will ensure the very clean sourrounding and our neighbourhood  with absolutely no cost and without causing any pollution to our surrounding with the help of  some  technology.</t>
  </si>
  <si>
    <t>The corporation 
sweeper
 suffers from severe back pain and often has breathing difficulty.
. It includes disorders related to bones, joints and muscles, lungs, eyes and skin. The researchers observed these health issues were due to prolonged exposure to dust,  the dust are capable of causing allergic diseases in humans such as runny nose, watery eyes, and sneezing by large sized particles, as well as swelling of lung tissue and asthma by fine particles with the help of my idea it would help a lot to change the health status of many Indians and we could grow healthy together....</t>
  </si>
  <si>
    <t>I believe that when you think for good of your environment to make it pollution free and disease free simultaneously one or the other way we create some kind of pollution but through my solution their wouldn't be created any and we would get my what we want efficiently and in lower expenditure as well.</t>
  </si>
  <si>
    <t>https://enpower-school.com/wp-content/uploads/elementor/forms/5fe62007e83ab.jpg</t>
  </si>
  <si>
    <t>December 25, 2020, 10:53 PM</t>
  </si>
  <si>
    <t>Idea is unrelated to the theme,</t>
  </si>
  <si>
    <t>IFT044</t>
  </si>
  <si>
    <t>kharatabhijit2@gmail.com</t>
  </si>
  <si>
    <t>Online Study</t>
  </si>
  <si>
    <t>When studying online method of perfect understanding!</t>
  </si>
  <si>
    <t>Students were studying online.</t>
  </si>
  <si>
    <t>Online study means there are more activities than offline study materials</t>
  </si>
  <si>
    <t>Online Application for study</t>
  </si>
  <si>
    <t>In Application we set all types live videos , projects,images,pdf, documents,text massages, tests, answers of tests,voice msg, ect.</t>
  </si>
  <si>
    <t>When we study Offline there is anything not get perfectly, that's why I think online Application is useful to students.</t>
  </si>
  <si>
    <t>https://enpower-school.com/wp-content/uploads/elementor/forms/5fe0bffead9d5.png</t>
  </si>
  <si>
    <t>December 21, 2020, 9:02 PM</t>
  </si>
  <si>
    <t xml:space="preserve">Haven't explained about app </t>
  </si>
  <si>
    <t>IFT462</t>
  </si>
  <si>
    <t>khananu8999@gmail.com</t>
  </si>
  <si>
    <t>Nowadays people searching for a job.They me be literate or illiterate. Government dose not give a job they don't have money to feed. Many poor people was die.</t>
  </si>
  <si>
    <t>Food is very important for live for both rich and poor people. But people cant buy it without money due to insufficient vacancy many peoples are jobless they can't earn money.</t>
  </si>
  <si>
    <t>I am trying to solve there problem with increase in vacancy than they can earn manoey and feed.</t>
  </si>
  <si>
    <t>Population is increased day by day and for living food is very important. Without food many people was die in past this is a critical problem.</t>
  </si>
  <si>
    <t>We should try to give a job both literate or illiterate based on their abilities. We can do it by making an app called ALL IN ON. In this we can add add many marketing details these are helpful for jobless persons.</t>
  </si>
  <si>
    <t>Due to this app peoples are doing there job.They are working for us and we will pay there salary. Many peoples are waiting for doing some kinds of job. And due to this their pain or money problem will solve.</t>
  </si>
  <si>
    <t>Ye i am best because i am not thinking for me i am thinking for those people those are illiterate.</t>
  </si>
  <si>
    <t>https://enpower-school.com/wp-content/uploads/elementor/forms/5ff2d48f2d5e1.jpg</t>
  </si>
  <si>
    <t>January 4, 2021, 2:10 PM</t>
  </si>
  <si>
    <t>IFT515</t>
  </si>
  <si>
    <t>kesharishresth01@gmail.com</t>
  </si>
  <si>
    <t>The precise Problems:
1.	The case of losing the handwritten notebooks, files and other Study material 
2.	The limitations of present online teaching platforms 
3.	The need to Be physically present in the campus for best mental and physical training</t>
  </si>
  <si>
    <t>School/College/ Coaching institute Students face problem in carrying heavy schoolbags with notebooks and textbooks to the school.
1.)	Students invest lot of their time in maintaining their handwritten  notebooks and practical files for school.
2.)	Teachers also experience strain on having to manually review and correct those many handwritten notebooks and files prepared by students.
3.)	After all this effort by students and teachers, the handwritten notebooks and files are always prone to be damaged/lost, washing away the efforts that were put in. 
----The limitations of present online teaching platforms :
1.)	The most commonly used platforms for online classes  like Google meet and Zoom are limited to lack of Real-time interaction between Teachers and Students.
2.)	The study material , virtually shared by the teacher is always prone to being deleted and lost from a device.</t>
  </si>
  <si>
    <t>The user group : the user group we’ll aim at will be all educational institutes such as Schools, Colleges coaching institutes and skill training institutes.</t>
  </si>
  <si>
    <t>Yes, The problem is critical and needs urgent solution because a safe, secure  and reliable study material is necessary for proper theoretical knowledge of a student.</t>
  </si>
  <si>
    <t>The solution lies in developing a dedicated education software and hardware, while keeping these points in consideration:
1.	Instead of using paper and pen, a student has to simply utilize the concept of digital documentation to prepare the notebooks and practical files.
2.	In place of an inkpen, the student will use a stylus pen to pen things down. 
3.	The software that we will provide will receive inputs from the stylus pen and maintain a digital notebook for different subjects with an index page at the beginning. The index page will have a table of contents with hyperlink for each chapter, topic and subtopic that the student can edit accordingly.
4.	All this task will be made possible on a smartphone / tablet that the student will for sure have with himself. The institute that the student has enrolled in, will have to embed our dedicated education software. 
5.	Once inside the institution campus, the devices can be connected to the server network and this will allow the institute to monitor the activities of the students.
6.	Once the students complete their classwork/homework/assignment/notes, they can submit them on the same software to their teachers, who can review the work of the students.
7.	All these files will always be saved on several server storages, to prevent loss of information.</t>
  </si>
  <si>
    <t>With the solution that we’ll provide, the students won’t need to carry bulky schoolbags with loads of notebooks/textbooks. They will carry all their info in a single device. Moreover, no tension of losing the notebooks and other study material.</t>
  </si>
  <si>
    <t>I have firm belief that we are the best equipped to offer this solution as this solution will not require any futuristic technology like AR/VR that is not possible right now. The solution we are offering is all possible just by optimizing, specializing and organizing the technology present with us today. Moreover, being a student myself, I know the bitter facts about the flaws in our education system and the possibilities of fixing them too.</t>
  </si>
  <si>
    <t>https://enpower-school.com/wp-content/uploads/elementor/forms/5ff5ace141b7d.odt , https://enpower-school.com/wp-content/uploads/elementor/forms/5ff5ace1421a1.mp4</t>
  </si>
  <si>
    <t>January 6, 2021, 5:58 PM</t>
  </si>
  <si>
    <t>IFT386</t>
  </si>
  <si>
    <t>keerthanalakshmi_krishna@oakridge.in</t>
  </si>
  <si>
    <t>Inability to access quality and modern education for students in rural areas.</t>
  </si>
  <si>
    <t>According to recent statistics, there are over 34 million children who are uneducated. One of the main reasons for this illiteracy is the inability to access quality and modern education. And perhaps most if not all of these children reside in rural areas.This puts them in a disadvantageous position because of lack of education, and they would not be competitive with the rest of the world. Unable to get more relevant jobs in these areas translates to poverty, which has direct impact on the Nation’s economy.</t>
  </si>
  <si>
    <t>The people living in the rural areas experience this problem because of lack of schools, distance from home to school or lack of funding for education.There is also the lack of trained teachers in rural areas. The reason is because most of the teachers did not have access to modern or quality education when they were younger. And the more competent teachers from developed areas are unwilling to teach in rural areas.</t>
  </si>
  <si>
    <t>Current and jobs in the future are extremely technology dependent. If the issue is not addressed immediately the gap widens and perhaps to an extent where it cannot be fixed. This drives the demographic under threat to rely on physical labour in industries. With the modernisation of many industries, the primary objective is automation. This might eliminate majority of the physical labour and comprise their income. All of this is because they weren’t able to access quality education and were not competent enough. This is why this problem is critical and real.</t>
  </si>
  <si>
    <t>The real problem being addressed now is the lack of schools and teachers in rural areas. The most practical and cost effective solution is to initiate online education projects across the nation in rural areas. India is a technology hub and perhaps with the fastest growth in this area. Our government must take advantage of this capability and collaborate with corporates to build the infrastructure for online education. Few things that can be considered like redirecting funds that go to providing free appliances to the development and provision of education specific tablets. The government can also consider to provide incentives to the corporates to support online education.</t>
  </si>
  <si>
    <t>Developing an infrastructure for online education is a relatively easier solution because most of the elements are already in place. This is the most effective solution to reach the user at the fastest pace. This ensures the children in rural areas get access to similar levels of education and perhaps the same teachers who are supporting advanced schools in developed areas. This quality and modernised education equips them to experience brighter futures and exposes them to a wider range of job opportunities. These jobs secures their future and for their generations to come. The income from these jobs fuels the economy in their community, making them financially strong and viable. So this solution does not just benefit individual student needs but builds sustainable communities which in turn will boost our nation’s economy.</t>
  </si>
  <si>
    <t>I believe I am in a very unique position to assess the problem and the solution. As a student in one of the most advanced schools in my city and having the opportunity to visit my relatives in the rural areas, I can clearly observe the stark differences. I have participated in several fundraising activities for different causes. With the help of the  experience I have gained in the past year with online education, I am able to understand the pros and cons of online educationk. I also have another unique advantage that I have gained over the past years with my international travels and my earlier education in US. I can put all of these things together and come up with a very effective and seamless online education system.</t>
  </si>
  <si>
    <t>Govt should work on online education as this is cost effective, not explained clearly how</t>
  </si>
  <si>
    <t>IFT146</t>
  </si>
  <si>
    <t>katalkarmrunmayi8@gmail.com</t>
  </si>
  <si>
    <t xml:space="preserve">Mrunmayi </t>
  </si>
  <si>
    <t>1)We students and teachers don't get enough time to study in online class.2)Students from rural area don't get proper education.3)Education should be practical or education should be more than books.</t>
  </si>
  <si>
    <t>1)As we have online school our school timing is reduced to 2 hours because of it we are not able to complete our portion.2)As in rural areas people most probably do agriculture there parents think that they should get education but they do the same as there parents and this continues generation to generation.3)Subjects like Math,Science,Geography cannot be explained completely textually.</t>
  </si>
  <si>
    <t>I am trying to solve problems of we students and our teaches which we face during our online class and also I am tying to solve problem of every child of this nation whose is not getting education because of family profession or financial problems or not getting facilities in there areas.</t>
  </si>
  <si>
    <t>Problem number 1 and 3 are need to be solved because every student all across the country is studding online and if we and they don't get a proper education because most of the concepts don't get cleared and most of the chapter are excluded.Problem number 2 is need to be solve urgently because now it is being a national issue and it also means are country doesn't get proper education.</t>
  </si>
  <si>
    <t>Solution 1 for problem 1 is:- We can take education sitting on the bench front of the projector with our friends leaving in same are if safe and so we can increase the time as the harmful rays from projector are less than laptop or mobile.2)The student or rural area should get education which is useful in there day to day practical life.3)Subjects like Math,Science,Geography are more easy to understand practically than textually.</t>
  </si>
  <si>
    <t>Solution for problem  1 and 3 can help reduce pressure of teacher of teaching and students of learning.Solution for problem 2 can help all most student of our country will get proper education.</t>
  </si>
  <si>
    <t>If we tell the solution of these problems to our government the will definitely help us.</t>
  </si>
  <si>
    <t>December 28, 2020, 7:04 PM</t>
  </si>
  <si>
    <t>IFT139</t>
  </si>
  <si>
    <t>kashyap6268@gmail.com</t>
  </si>
  <si>
    <t>considering the role of students as paramount in classroom teaching, this is only an attempt to develop the skill of learning in child by scouring the rationale for teaching Mathematics by GEOBOARD .</t>
  </si>
  <si>
    <t>There is feeling in the teachers that most of the students are not interested in Mathematics. It is not because of the Subject but it is due to the lack of unavailability of suitable teaching method .
Effectiveness of teaching depends on good learning method. It Makes the learning process much more effective and easy.The Teachers usually adopts lecture method while taking such a important topic like parallel lines and coordinates of class IX in the classroom.The teacher assumes the end of his duty by Thereafter , and the students memorizes it for Examination purpose . Hence The Subject Mathematics could not become the favorite subject of the Students and hence , interest is not awakened towards the subject which is necessary for their achievement .Therefore to develop the learning purpose and to create interest in the child about mathematics This Research/Project  is of great importance to us .</t>
  </si>
  <si>
    <t>The User Group of our Project  is the Students of CLASS 5 , CLASS 6 , CLASS 7 , CLASS 8 , CLASS 9  , CLASS 10 . Students Who Are Unable to take the Mathematics Class  with Interest and in  fun  Mode and attends only the class due to compulsion for appearing in the Exam  and leaves the Subject after Compulsion is  removed .</t>
  </si>
  <si>
    <t>The Problem is Too Critical . If the Students are not  taking the Interest  in Mathematics , The Future of Science Teaching And learning Could hamper . Moreover The Science  and mathematics Students of School Level are Resources or RAW MATERIAL  to higher Education  Moreover it is Seen that the Number Of Science Students Opting Mathematics  or technical  Subject As Their Carrier  is Decreasing Day By Day . Many of the Engineering Colleges Are Shut Down Due To unavailability of the Students</t>
  </si>
  <si>
    <t>A MATHEMATICAL BOARD OR GEOMETRY BOARD  ( GEO BOARD ) IS  Developed  With WASTE MATERIAL Like PLY WOOD OF  DESK , NAILS AND RUBBER BAND . The Approximate Cost if Made will Not Exceed Rs 500 Per Unit .  This board Will be Capable of Making the Concept Clear in the topic like ALGEBRA , AIRTHMETIC , MENSURATION , GEOMETRY , GRAPHS  ETC ranging from Class 5 To Class 10 , from a Single Board . All the Concepts of Mentioned Topic can Be Cleared Easily in A Fun WAY Method enabling to create Interest  among the Students in Mathematics resulting in their progress in the ACADEMIC ACHIEVEMENT . Videos Can Be Made  using this Apparatus   and can be uploaded in Utube and link Can be Shared to  teachers and the  Principals and the Students</t>
  </si>
  <si>
    <t>The students confirmed the correctness of the theorems and questions related to coordinate and parallel lines, ALGEBRA , AIRTHMETIC , GEOMETRY and other topic  through Geo port in a Fun way Method . The students were given the opportunity to use the GEO Board so that their participation of theirs could be sustained. Quiz competition were held . After observing all the activities and interviewing the Mathematics teacher, it was concluded that active participation helped in awakening the interest in students in this subject.
USEFULNESS OF THE RESEARCH/Project
1 In order to generate interest in Mathematics in secondary and High school students, positive
results can be obtained by using GEO Board along with the traditional method of teaching
Mathematics.
2 The use of Geo board in Mathematics teaching keeps the students active and as a result it helps
in increasing the attraction towards the subject.</t>
  </si>
  <si>
    <t>To Till Date Active Program or Apparatus is not Available to the Students of the mathematics which Allows them to take the Subjects with Interest . Maths Lab Is A partial Solution where Different Aspects are Taken in Different Apparatus . We Have Assembled them all in a  one Board .  The Teacher and the Students Find Easy to operate and Use  and Also  to carry to next Class as Soon as the Period is Over without Any Difficulties . The Approximate   cost is also bearable to every Individual involved .
We have Tested This Apparatus in Different Schools Ans the Teachers And Students Find It Extremely Helpful for their Carrier advancement</t>
  </si>
  <si>
    <t>https://enpower-school.com/wp-content/uploads/elementor/forms/5fe9c46a67077.pdf</t>
  </si>
  <si>
    <t>December 28, 2020, 5:11 PM</t>
  </si>
  <si>
    <t>IFT121</t>
  </si>
  <si>
    <t>kashish07dua@gmail.com</t>
  </si>
  <si>
    <t>We would be throwing light on the troubles faced by the educators these days in order to shift their teaching styles towards being more technology oriented and adapt in their teaching style the essence of new changes that will be imparted soon in a NEW EDUCATION POLICY. Hence, raising the teaching styles of educators with evolving concepts of technology and imparting the same standards to students for an innovative society of youth around us…</t>
  </si>
  <si>
    <t>Teachers are undoubtedly equipped with tons of information but the obstacle in their path is the way to comprehend the same and impart it in the most unique way to the students. Thus, they usually face troubles in devising technological equipment . Another is the new changes that are being and going to be soon introduced in the education policies.</t>
  </si>
  <si>
    <t>User group that we would be trying to target is ‘TEACHERS AND EDUCTORS’ who have taken up the initiative to educate the students and form their future. Thus, we can define them as the primary step in education process ,who need to formed with well equipped ways to impart the same to students and youth.</t>
  </si>
  <si>
    <t>The process of education is flowing and cannot be stopped at point of the day, thus this statement would be enough to define the need of the hour and how the problem is being crucial .As there cannot be gap between the way teachers impart their teachings and students take it from them.  So, it is indeed of great importance to devise the changes at each step so the process is being fruitful .</t>
  </si>
  <si>
    <t>EDUhelp’ Yes, this will be the website created on which every teacher whether in schools, professors in colleges or even running their own institute need to register themselves and state their credentials .Thus , then by analysing their information we would be appointing a group of people at various steps in order to help them out. FOR EG: all the groups of primary teachers registered , then we at ‘EDUhelp’ would try to  assist them in the way they can make the process being more practical in variety of subjects by informing them about ways they can use or new technologies they can equip themselves with.</t>
  </si>
  <si>
    <t>Now, if we come up to the present scenario of setting a platform for online learning , we can help the mentors to look up new solutions immediately to meet the requirements of online platform today. Secondly, teachers would be able to find if possible lucrative opportunities for teaching to students living far away and earning little more incentives. On the same hand too, we at ‘EDUhelp’ would try to bridge a gap between teachers and students by devising unique solutions to enhance the mode of communication.</t>
  </si>
  <si>
    <t>‘EDUhelp’ would be an easy website help to teachers where they can at 24*7 approach with any kinda issues faced by them. Even if we are at this young age, but this idea of creating website need not require large funds or high technical knowledge. Rather, we at EDUhelp would try to grow and learn together with educators around the world and add our contribution to the  essence of globalization . And, if possible we would try soon open centres of EDUhelp so that we can even face to face interact .
Thus will always strive towards more…</t>
  </si>
  <si>
    <t>https://enpower-school.com/wp-content/uploads/elementor/forms/5fe8601fb844c.pptx</t>
  </si>
  <si>
    <t>December 27, 2020, 3:51 PM</t>
  </si>
  <si>
    <t>IFT089</t>
  </si>
  <si>
    <t>karishma.blr@gmail.com</t>
  </si>
  <si>
    <t>Prabagaran</t>
  </si>
  <si>
    <t>Delhi Public School Whitefield</t>
  </si>
  <si>
    <t>The major drawback of the education system in India is the increasing number of private schools than government based schools.</t>
  </si>
  <si>
    <t>The education system was introduced by the British in India, since then there have been many changes one of them being the increase in number of private schools. Today, in India the education panel has become more of a business than an equipment to gain knowledge from. Parents send their wards to school on the basis of quality of education rather than the opportunities provided to them in a developing society.</t>
  </si>
  <si>
    <t>The major group of people affected by this problem are the backward classes who have to adjust with everything that comes on their way. The quality of education provided in the government schools is nothing compared to what is being  taught in the cities and yet people in the urban areas yearn for more .Education is invaluable, and every person deserves to to be educated. This is one of the major reasons why India isn't a developed country.</t>
  </si>
  <si>
    <t>The quality of education increases day by day in the urban sectors whereas there is no improvement in the government schools. This problem needs immediate attention as India will always remain as a developing and will never be able to achieve its target. It needs to be taken into concern by every state to ensure equal opportunities to all.</t>
  </si>
  <si>
    <t>There is no immediate solution to this it requires time and effort of the government as well as the citizens of the country. Contribution towards this problem can definitely sort out many issues in the Indian government. For eg: more jobs can be created in the secondary and tertiary sectors making the overall GDP rise. Number of government schools must increase along with the qualities that are provided in the urban areas. It requires timely effort but it is worth it at the end.</t>
  </si>
  <si>
    <t>The people in the backward colonies work tirelessly but their efforts do not pay them enough but with the introduction of quality education there will be much more development in the society.</t>
  </si>
  <si>
    <t>I have seen people struggling in real life. We don't actually notice the day to day happenings and even if we do we only see how we get benefitted out of it.</t>
  </si>
  <si>
    <t>https://enpower-school.com/wp-content/uploads/elementor/forms/5fe5f4adb8118.pptx</t>
  </si>
  <si>
    <t>December 25, 2020, 7:48 PM</t>
  </si>
  <si>
    <t>IFT470</t>
  </si>
  <si>
    <t>kapoorkritika568@gmail.com</t>
  </si>
  <si>
    <t>Few would argue that the state of our education system has plenty of room for improvement. 
Despite our best efforts, our educational development still remains at a low level and needs various improvements.
The area of education we are focusing on are - 
    1. Learning Techniques
     2.  Personality and Skill Development
     3.  Media Literacy and Use of Technology
     4.Ecosystem of Morals, Ethics and Patriotism</t>
  </si>
  <si>
    <t>Few would argue that the state of our education system has plenty of room for improvement. 
Despite our best efforts, our educational development still remains at a low level and needs various improvements. 
Some of the problems we are trying to get through are - 
1. Wastage of Human Resource
Our educational system is of General Education in nature. Development of technical and vocational education is quite unsatisfactory. So our education is unproductive. Hence number of educated unemployed persons is increasing day by day. There's a huge gap between education provided and industry required education , it's basically irrelevant to the job market.
2. Lackage of exposure and awareness among teacher's and students - 
no or very less emphasis is given to teacher training in our schools. This is a major reason why our teachers are not aware of new developments in the field of education.After all, they are shaping the future of the nation, the children. Teachers are often considered as second parents.
Thus, they should be imparted their training in a way that they can act as parents to the children away from their homes.
While teaching, they should create a congenial and home-like atmosphere where students can feel the empathy and love in the classroom and which can then be reflected in their behaviour’s.
3. No emphasis on creativity— our education system focuses on quantity rather than quality. Getting high marks by hook or crook is the only aim of the students; they are not bothered about conceptual understanding or developing critical and creative thinking. This restricts the growth of their mind.
3. Lack of student monitoring :
our education needs to realize that the absorption power of every student cannot be the same. Hence, the teaching method also cannot remain the same for every student in a class of 30.
4. Lack of mental health and it's awareness</t>
  </si>
  <si>
    <t>Our education system is still having the features what colonial educators inbuilt. Education is not always about becoming a big, rich person. It should be about humanism.
Instead of focusing the evaluation on a three-hour exam, the focus of evaluation should be classroom participation by a student, projects, communication and leadership skills and extra-curricular activities.
Students must also be taught in-depth about the morals of life and inculcated with humanistic values. They should be taught that life is much beyond money and success is not measured in money.
If the Indian education system starts taking these points into serious consideration, we can attain the level of the best education system in the world. It is high that we as a country, start taking education above the mediocre level that we have been engrained with and perceive education from the holistic approach.</t>
  </si>
  <si>
    <t>Even though India’s literacy rate has been growing, are we truly imparting the kind of education modern times demand, and to every Indian? The answer is ‘no’.
So we at ' Athena 'are here to impart everything a child needs in his overall grooming. 
We are looking at the wider side that how children are just the part of a herd and our simply unaware about the dynamic world . 
However, developing a plan to take schools in the right direction is easier said than done.
We assure you to provide with the services that you have were wishing to have in school- 
 1. Media literacy and best /appropriate use of technology through our app
2. Active shooter drills
3. Mental health sessions and physchological concerns
4. Entrepreneurial and leadership spirit development through various tasks , visits and sessions with profound speakers.
 5. Developing ecosystem of morals, ethics, patriotism
6. Reducing levels of brain drain
7. Encouraging start-ups and developing the spirit of creativity and idea generation among students.
8. Promoting students for free- lancing, internships and a lot more various activities that would give them the kind if exposure that they need in their age.
9. Certification and recognition with experience which will be an asset for their later life .
10.  Organising events and inculcating humanism in them by social work experience like- Beach sessions, field visits, cleanliness drives , NGO n old age homes visits , plantation ceremonies. 
11. Giving them a financial aid by making their savings account right from the start so that after school they have enough funds for t…
 12. Likewise we say '.               '
  Yoga and spiritual sessions for students?
Yoga which is  known as healer for basically everything.  Who wouldn't want inculcating  these things  in a child ? It would not appear like a major changing issue but it's a 100% surety that difference could be sensed .</t>
  </si>
  <si>
    <t>It’s been a while that we have had our interests in entrepreneurial(startup) things, and we were keenly looking for an opportunity like this to test our level of thinking. Being commerce students, we had came through a lot of courses like these but weren’t fully satisfied to join due to the obvious reasons. But participating in a competition like this has increased our level of thinking and has even made us more inclined towards this field. Being a part of the same herd we know what actually happens internally , so we can think towards it with more potential. Hope we get selected as we believe that our idea is innovative but it will need your mentorship to be as revolutionary as we have thought in our heads. Wishing for the best  and more exposure under your guidance</t>
  </si>
  <si>
    <t>https://enpower-school.com/wp-content/uploads/elementor/forms/5ff30a40e1544.pptx</t>
  </si>
  <si>
    <t>January 4, 2021, 6:00 PM</t>
  </si>
  <si>
    <t>IFT134</t>
  </si>
  <si>
    <t>kanishkavij16306@cambridgefoundationschool.com</t>
  </si>
  <si>
    <t>My aim is to minimize the problem of hunger. Out of 17sdg goals, zero hunger is the 2nd sdg goal which could be solved through AI.</t>
  </si>
  <si>
    <t>We would develop an application which would be given to all resturants and NGO's.By downloading this app in their mobile, the resturant people just before closing their shop could post their left over food in that app .</t>
  </si>
  <si>
    <t>Zero hunger an sdg goal can be minimize through this solution and would help people get food easily.</t>
  </si>
  <si>
    <t>It needs an urgent solution because food is the basic necessity of an individual which poor people don't get but through this solution they could get food.</t>
  </si>
  <si>
    <t>A nearby NGO would get to know through app and would come to collect and give this food to all needy people.</t>
  </si>
  <si>
    <t>This app could further be taken by local people or common people living in India like us. They could also post their left over food in that app which could also be taken by nearby NGO .</t>
  </si>
  <si>
    <t>I and my educated family could make this app and give it to the NGO's and resturants and nearby people.</t>
  </si>
  <si>
    <t>December 28, 2020, 9:01 AM</t>
  </si>
  <si>
    <t>IFT566</t>
  </si>
  <si>
    <t>kadamarnav1@gmail.com</t>
  </si>
  <si>
    <t>During the online sessions or classes it is difficult for the Teachers to pay attention to each student whether the student is actually  paying attention or is it that they are just whiling away their time there are very few who actually pay attention and listen to what the teacher has to tell them. Although the kids are online, very few of them are actually attending the class. Forget the physical presence,there is not even the mental presence (concentration) on what the teacher is teaching</t>
  </si>
  <si>
    <t>Very few kids actually pay attention to what the teacher is trying to teach them .Most of them keep  their screen and also their mikes off. Most of them are either snacking or lying down on their bed checking their mobiles or chatting with their friends, checking Instagram... this kind of education does not help them in any way. They don't get any knowledge and don't understand the concept of what the teacher is teaching in the class.</t>
  </si>
  <si>
    <t>Here we attempt to solve the problems of 2 different user groups, the teachers as well as the students. As we are all aware of the situation that everything is one line and the problems that crop up are very different from what we face in a regular classroom.</t>
  </si>
  <si>
    <t>-I believe that this problem is very critical and needs urgent solution as the kids are gaining nothing out of the curriculum that is been taught to them for the year. The wrote studying does not work in curriculums like the IB and the AS levels, that only works for SSC . The parents get anxious watching their kids not paying attention to their studies. The grades of the child fall as they have not heard a word of what the teacher has taught them. The kids are bored of the studying and they no longer enjoy what they are studying.</t>
  </si>
  <si>
    <t>If the teachers introduce games or quizzes or some stuff like that, it will surely be of great help to the students because as you all know all the children nowadays are into gaming a lot. So they will surely enjoy the learning and will grasp the knowledge quicker.</t>
  </si>
  <si>
    <t>https://enpower-school.com/wp-content/uploads/elementor/forms/5ff7258763e15.docx</t>
  </si>
  <si>
    <t>January 7, 2021, 8:45 PM</t>
  </si>
  <si>
    <t>IFT202</t>
  </si>
  <si>
    <t>jscsscchhabra@gmail.com</t>
  </si>
  <si>
    <t>As, we all know nothing is perfect everything has some kind of problem in it. The same is the case with our education system but here the problems are more than one or two. So, in order to understand the problem I got to those people who were suffering the most from this problem students. I did a small survey in my locality, which included the students from class 7 and above. From the survey I got to know that the students hated our current education system, because it was very much root based(remembering things), and very little of future used. Our Education system values grades over knowledge so much that I can bet that every student must have think about suicide because of their grades.</t>
  </si>
  <si>
    <t>Today, I am going to talk about a thing which is common to hear but not so common to talk 'cheating'. First of all, why does a student even do cheating in their exams ? They do cheating because of root based contents in our textbook, they do cheating because they are not able to understand why are they studying it, but the main reason why are they doing it is because of their parents and society who only values good grades and nothing less. The peer pressure of board exam starts when you are in class 3 only and your parents tell you that your marks in class 10 and 12 are very important  and will be with you for your whole life.</t>
  </si>
  <si>
    <t>The ‘user’ group whose problem I am attempting to solve is students. Nowadays parents want their child to go to the best school in the town, not because of education since it is almost same in every place it is because of status symbol. Yes, you heard it right, school nowadays have become more of a status symbol. Don't forget the cherry on the top of getting into a branded coaching classes.</t>
  </si>
  <si>
    <t>Let me give you some examples which will help you understand why this problem is so critical. These examples are created by the flaws in our education system. The cops are cutting challan for not wearing a mask even when you are inside your own vehicle(which is your private property), and if they manage to give you a ticket for not wearing a mask, after giving the ticket some of them might say that you can roam around freely without a mask for that day and if another cop stops you just show him your ticket.</t>
  </si>
  <si>
    <t>According me to there should me more public schools, so every child till class 12 will get the same education regardless of their wealth, and in order to make sure this happen the quality of education in public school should be improved. The topics in our textbook are in the most need to get a revolution not a evolution, which has finally happened in the year 2020. Knowledge should be more important then grades. Education should be of future use. Parents should also understand that grades are not everything keeping him studied focus from birth is not less then killing his creative mind.</t>
  </si>
  <si>
    <t>Getting education from public schools means there won't be any discrimination on the knowledge they would be getting regardless of their wealth. The poorest kid would be able to get the top notch education for a very minimum amount, which will lead to the development of that kid but also the development of our country. Ex - Cuba, a very small country but that country offers top level of education to its people for a very cheap price, which has significantly contributed towards it's development.</t>
  </si>
  <si>
    <t>"Alone we can do so little together we can do so much" - Helen Keller
I am the best equipped to offer this solution because I don't believe in the ideology of 'I' but 'We'. When I address a problem it is not just about me but about other people too. Last but not the least, I am not the best at every moment
Since nothing is perfect.</t>
  </si>
  <si>
    <t>December 30, 2020, 2:12 AM</t>
  </si>
  <si>
    <t>IFT128</t>
  </si>
  <si>
    <t>johnyabraham03@gmail.com</t>
  </si>
  <si>
    <t>Our innovative device SAKSHAM could be an effective communication tool for the differently abled especially the mute people. Through this project, we wish to reduce the gap between normal people and speech impaired people by converting the sign language into speech , thereby increasing the prospects of EDUCATION &amp;  their learning new skills.</t>
  </si>
  <si>
    <t>(word limit: 200)
The innovative device is a specifically designed working prototype, Saksham – A Smart Glove Giving Voice To Differently Abled, which could be an effective communication tool for the differently abled  in the near future. Human beings communicate and know each other through thoughts and ideas, The best way to present the idea is through speech. Some people don’t have the power of speech ; the only way to communicate with others is through sign language. The problem with sign language is that it is confined to the people who are also deprived of the power of speech. Through this project, we wish to reduce the gap between normal people and speech impaired people by converting the sign language into speech.</t>
  </si>
  <si>
    <t>We are trying to help the Mute section of the society by creating a better communication system enabling better prospects for their education and skill development.</t>
  </si>
  <si>
    <t>The very thought of this project came after reading an article published on a website where the mom fights to get education for her deaf and dumb children. In a country with over 28 national languages, Jyoti Prajapati did not speak at all. She was born deaf and dumb. Her story is the reason behind the working on the project. As per the census of 2011, of all the disabled people in India, 19% have the disability of hearing and speaking. Through my innovative device, I wish to reduce the gap between normal people and speech impaired people by converting the sign language into speech.</t>
  </si>
  <si>
    <t>Our innovative device - Saksham – A Smart Glove Giving Voice To Differently Abled has a transmitter and receiver section. The transmitter section uses set of flex sensors attached to the fingers on the gloves of the person.The flex sensors sends the value via Bluetooth to the micro controller which has been fed with a database which extensively studies the Indian Sign Language, and sends the data &amp; displays the result on LCD screen in receiver section. The transmitter section uses a set of flex sensors attached to the fingers on the gloves of the person. These flex sensors work on the principle of resistance. The change in the value of the resistance is send to the micro controller Arduino Uno which has been fed with a database. If the values matches the database, it transmits the results to the receiver section using a Bluetooth module HSR-05.
The receiver section has a Bluetooth module which is paired with the Bluetooth of the transmitter section, which receives the result and passes to another microcontroller in the receiver section , which then finally displays the result on an LCD screen.
As sign language is a method to convey the thoughts of deaf and dumb people, our innovative device is  more reliable and helpful .</t>
  </si>
  <si>
    <t>The problem with sign language is that it is confined to the people who are also deprived of the power of speech. Through this project, I wish to reduce the gap between normal people and speech impaired people by converting the sign language into speech, improving their prospects of Education and skill development.</t>
  </si>
  <si>
    <t>We have worked on this problem for the last 15 months with all empathy and come up with a working prototype. We realize the difference we can bring into their lives.</t>
  </si>
  <si>
    <t>https://enpower-school.com/wp-content/uploads/elementor/forms/5fe89ca9571f0.jpg</t>
  </si>
  <si>
    <t>December 27, 2020, 8:09 PM</t>
  </si>
  <si>
    <t>IFT448</t>
  </si>
  <si>
    <t>jitendragore84@gmail.com</t>
  </si>
  <si>
    <t>Education is the future of society as well as country education gives support and encouragement for every youth in every country i think whole education system is not bad just some branches of them are not well organized as per today's situation all one wants to achieve first rank why is this ranking system is there in India it doesn't gives youth the strength but it breaks the confidence of students it demotivates the youth of country why always there are race in every competition in exams our Ayurveda's study is just outstanding but we are ignoring it there are many solutions of medicines about principles but we accept other countries theoretical knowledge why if we have it then why are we doing it why not our education system teaches us Ayurveda's thats the problem i think</t>
  </si>
  <si>
    <t>1-not teaching Ayurveda's 2-ranking system 3-our education system gives more importance to chemistry biology and physics but i think geography history Marathi Sanskrit are way more important Maharishi kanada gave theory of atom before Dalton Thomson and in Sanskrit shlok he defined atom as indestructible and invisible particle 4-encouraging Ayurvedic medicinal plants to use in surgeries and other treatments</t>
  </si>
  <si>
    <t>This is probably the problem of whole youth who are going to future of india</t>
  </si>
  <si>
    <t>Its critical because if we don't take immediate action towards it then it will carry on like this</t>
  </si>
  <si>
    <t>We have to understand that education is to gain knowledge tor better lives and modification not for achieving first rank and also we should reach listen read learn Ayurveda</t>
  </si>
  <si>
    <t>It will represent indias uniqueness and it will help India to be independent and also youth will be accept education as education not competition</t>
  </si>
  <si>
    <t>Because i know enough information about medicinal plants and i faced it in my life</t>
  </si>
  <si>
    <t>January 3, 2021, 6:14 PM</t>
  </si>
  <si>
    <t>disqualified- no idea here</t>
  </si>
  <si>
    <t>IFT364</t>
  </si>
  <si>
    <t>javeriyamtabassum@gmail.com</t>
  </si>
  <si>
    <t>There is technology everywhere and this is not the problem the problem is the old way of teaching and learning.</t>
  </si>
  <si>
    <t>So all the countries are trying there best to be developed, so the developers of countries are students itself. As there is a lot of technology and science stuff everywhere around us, it's not better if there is no technology in educational field. So this is the problem. We should find solutions and create an technology environment in our classes itself.</t>
  </si>
  <si>
    <t>The group of people of whom me and my group are attempting to solve are teachers and students</t>
  </si>
  <si>
    <t>This problem is ofcourse a critical and urgent! Because if childrens  dont know about the technology and lack there interests then the country would face a lots of problems to be developed.</t>
  </si>
  <si>
    <t>My solution  is to bring the technology in school and classes for childrens and teachers!! My solution is making of 3d projector that can be used instead of 2d projectors( that is usually being used in many of schools and colleges now)</t>
  </si>
  <si>
    <t>My solution will not only reduce pain but also be more enjoyable for childrens and easily controlled device, it will reduce pain of teachers by makin g it so interesting to children so that they can concrete.</t>
  </si>
  <si>
    <t>Becoz I know that my device will be more attractive and less cheaper that those of the projectors that are being used now. It will be so easily controlled by the teachers.</t>
  </si>
  <si>
    <t>December 31, 2020, 6:57 PM</t>
  </si>
  <si>
    <t>https://enpower-school.com/ld-profile/general/?updated=account</t>
  </si>
  <si>
    <t>Their idea is to make 3D projector in schools for teaching, this kind of projectors are easily available. The haven't explained much on it</t>
  </si>
  <si>
    <t>IFT013</t>
  </si>
  <si>
    <t>jashvakharia@gmail.com</t>
  </si>
  <si>
    <t>IGCSE</t>
  </si>
  <si>
    <t>Stop the problems occuring in Education</t>
  </si>
  <si>
    <t>In India and many other countries, education is the biggest challenge. Rural areas have poor education, less amenities and les materials.</t>
  </si>
  <si>
    <t>I am trying to solve the problems of people living in rural area, so that they could also get proper knowledge just like people living in cities and towns</t>
  </si>
  <si>
    <t>I believe it is critical and needs to be solved because education plays an important role in our life, without it no one can succeed for further courses, even they can't get jobs easily.</t>
  </si>
  <si>
    <t>Mine idea is to supply the rural areas with a software which can easily access all the books they need easily, without paying. They just have to select the subjects they offer in their school, and then just search through the books they need. Even the software could act like a library. Also to setup an internet connection.</t>
  </si>
  <si>
    <t>It would make their expenses less, no need to travel far for getting books, an easily accessible library. Get all the books in one place with a few clicks.</t>
  </si>
  <si>
    <t>I think I could do this the best because I have a proper idea of how this should work. And giving this idea to someone else, either in typed or spoken format, some or the other points would be missed. But if I make this working, I can easily help myself out and give a proper result.</t>
  </si>
  <si>
    <t>December 14, 2020, 2:24 PM</t>
  </si>
  <si>
    <t>IFT012</t>
  </si>
  <si>
    <t>jainshlok20@gmail.com</t>
  </si>
  <si>
    <t>Social Media has become an embodiment of hate and toxicity, primarily, teens who visit such apps return depressed with the only solution being expensive therapy</t>
  </si>
  <si>
    <t>Social Media has become an embodiment of hate and toxicity, primarily, teens who visit such apps return depressed with the only possible solution, therapy, has been too expensive to afford. Mental health is something which affects society from the inside out; depression leads to suicides and schizophrenia. If a problem like depression is solved, it would increase productivity, creativity and morale in the younger, as well as old generations.</t>
  </si>
  <si>
    <t>Our target audience is primarily teenagers and young adults who are facing a lot of pressure or depression in their life while growing up through puberty. Our app attracts two user groups, one of them is the group that know they need mental health and want it and the other being the group that don't know if they require mental health. We also target users who are frequently anxious and are in need of immediate help.</t>
  </si>
  <si>
    <t>Mental health is something which is treated as taboo in India, and most of times, the ones who are in the most pressure turn out to be teenagers facing expectations from almost everyone. We have seen this in many mainstream news publishers how this impacts directly to teenagers and young adults who many times take the risky action and worsen their physical health.</t>
  </si>
  <si>
    <t>Positvti is an app which provides a customized safe place where you can filter out all your negativity. Our app is built upon 4 core features, Feelings, a feature to help users communicate and act on their layered feelings; Energy, a feature which keeps your energy levels higher through mini self-care and analytics; Expectations, a task-emulated gamified feature which helps your build a layer to protect you from the expectations of your loved ones; Panic Attacks, a feature that helps you out with panic attacks using a 4-step exercise, and also tracks the frequency and longevity.</t>
  </si>
  <si>
    <t>Our solution, Positvti, is an unique solution because we solve pain points of the user which other ideas have not been able to, not to mention our features bring a new and diverse solution to solve the problem many face. Secondly, our UI/UX is up-to the modern trends and is very easy to navigate through, it acts as one of our many USPs. Lastly, the app is being made with discussions from a licensed therapist who guides us to perfect our app.</t>
  </si>
  <si>
    <t>We are best equipped to offer this solution since we have a great and efficient team with certainly the skills and persistence to conquer uncharted territories. We have a programmer pro-efficient at the Dart framework, Flutter; a designer who builds empathetic solutions accessible to everyone. We certainly have all of the resources to build an amazing and unique product which benefits everyone</t>
  </si>
  <si>
    <t>https://enpower-school.com/wp-content/uploads/elementor/forms/5fd72455bc2d2.png</t>
  </si>
  <si>
    <t>December 14, 2020, 2:07 PM</t>
  </si>
  <si>
    <t>IFT630</t>
  </si>
  <si>
    <t>jainnaksh28@gmail.com</t>
  </si>
  <si>
    <t>We know that there are many competitions and online educational sites helpful to students. They provide students to test their skills and to express their ability.Most of the students don't have access to,or are not knowing about these sites and it is also very difficult to differentiate between dependable and undependable sites. This results in lack of exploring ourselves by the students. We will solve this problem by using 21st century technology coding</t>
  </si>
  <si>
    <t>There are many competitions and educational sites helpful to students. They provide students with a platform to test their skills and to express themselves. They are a part of education and very important in a student's progress. It is very difficult for the students and teachers to find a site and to check that it's a dependable site or not.There are many websites of competitions that are not known by students.This creates a lack for the students to express themselves and to feed themselves with extra knowledge.</t>
  </si>
  <si>
    <t>The user group whose problem I am attempting to solve are mostly the students and teachers. It will create less burden for the teachers to search for a helpful and impacting site or a competition for the students and to check if it is dependable or not. Students will also get a chance to register in any site they want to without any difficulty and will also be familiar to the sites that were unknown to them before.</t>
  </si>
  <si>
    <t>This problem is very important as it is related to testing students skills and their ability. Competitions are a way to test student's learning's and to know that they have understood it properly . These sites provide a platform for students to express themselves and to explore more. Most of these competitions are unknown to many students and they do not register in these sites.It results in their loss and many students do not get a chance to express themselves.</t>
  </si>
  <si>
    <t>The solution to this problem is by using 21st century technology coding. We will make an application easily accessible by students containing all the information and links to various competitions and educational sites. The application will also contain a feature that will store the data of the website the student has previously registered to prevent double registration. There are many features that are shown in the uploaded file.</t>
  </si>
  <si>
    <t>It is very beneficial to users as it provides them with the links to all the educational sites and competitions on a single platform. It will reduce their burden of selecting a dependable  site from an undependable site.It provides students to register in any website of their choice on basis of their interests. It will also store the sites the student has previously registered in to prevent double registration.</t>
  </si>
  <si>
    <t>I think that I am the best equipped to offer this solution as I have experienced the problem. I have registered twice in many competitions losing the previous data. I have registered in many competitions , most of them are not known by my colleagues.  These experiences make me the best equipped to offer this solution.</t>
  </si>
  <si>
    <t>https://enpower-school.com/wp-content/uploads/elementor/forms/5ffb428044213.pdf</t>
  </si>
  <si>
    <t>January 10, 2021, 11:38 PM</t>
  </si>
  <si>
    <t>IFT610</t>
  </si>
  <si>
    <t xml:space="preserve">Vidya Vikas Academy
</t>
  </si>
  <si>
    <t>8th</t>
  </si>
  <si>
    <t>Maragao</t>
  </si>
  <si>
    <t>The pandemic has shown us that centralized manufacturing though economical is not reliable without a large support structure. Without change this could prove to be extremely dangerous.</t>
  </si>
  <si>
    <t>Today in a world with an emphasis on decentralized manufacturing, conventional technologies no longer work or are just not efficient. As an increasing amount of people and industries switch from conventional technologies to rapid prototyping processes such as 3D printing the products available merely saturate the extremes in both price and functionality.</t>
  </si>
  <si>
    <t>The main user group would be schools, colleges, students,institutes,small and large businesses among many others.</t>
  </si>
  <si>
    <t>The pandemic has shown us that centralized manufacturing though economical is not reliable without a large support structure.This is a looming problem. Without change and improvement this could prove to be extremely disastrous.</t>
  </si>
  <si>
    <t>The idea is for a 3 printer which uses a laser to melt/sinter plastic or metal powders into 3D shapes as defined in CAD/CAM Files. This is technology is called SLS/SLM and has been extensively researched and developed in the past few years. The 3D printer would allow people to print and manufacture complicated shapes and designs in a short time frame with a wide variety of materials.</t>
  </si>
  <si>
    <t>Till date the process of selective laser sintering and rapid prototyping has only been accessible to large factories and institutes due to its high price point, my product seeks to bring the ability to rapidly prototype a large variety of materials in the smallest possible time frame and cost at the hands of innovators, schools and other institutes.</t>
  </si>
  <si>
    <t>I believe I am the best equipped to offer this solution as in-depth research and analysis of this is process and problem has enabled me to provide a solution and product which is unparalleled in terms of cost,functionality and ease of use.</t>
  </si>
  <si>
    <t>https://enpower-school.com/wp-content/uploads/elementor/forms/5ff9e629e6f93.pdf</t>
  </si>
  <si>
    <t>January 9, 2021, 10:51 PM</t>
  </si>
  <si>
    <t>The product is the 3D printer, schools and colleges are the end users for its products and hence doesnt align with the theme</t>
  </si>
  <si>
    <t>IFT109</t>
  </si>
  <si>
    <t>ishanarajnish@gmail.com</t>
  </si>
  <si>
    <t>The problem we are attempting to solve is that online education causes some problems for students that could affect them in a major way, which is not acceptable, like procrastination, etc.</t>
  </si>
  <si>
    <t>Online classes introduced in the educational institutions, had it’s own
set of problems some of which are highlighted below:-
1)Online Education requires good time-management skills.
2) Due to the lack of face to face interaction, students tend to forget about the
deadlines.
3)Students are not able to do activities done in labs.
4) Students sometimes get de-motivated easily.
5) How to engage students in a more interactive and fun way?</t>
  </si>
  <si>
    <t>The 'user' group whose problem we are attempting to solve are the students and the people who are using the mode of online education.</t>
  </si>
  <si>
    <t>We believe that this critical problem needs an urgent solution because it is about the future of our next generation and it is our responsibility to make the paths of our NEW GEN more focused and responsible so that they could reach their goals.</t>
  </si>
  <si>
    <t>Our solution is to create an app and a website that will have the
following features.
1.)Students would be able to create their own calendar using which Plan their
study schedule.
2.)An assignments tab that will allow them to view their homework and projects
in one place and should have reminders for the deadlines.
3.)Have different home-science experiments and activities
4.)Have a variety of facts, information and motivational blogs and quotes to keep
students motivated.
5.)Introduction of online polling</t>
  </si>
  <si>
    <t>Our solution will give a distinct benefit to our users by helping them schedule their study  schedule, organize their assignments and projects and not forget about their deadlines, many facts and quotes to keep them motivated, a bunch of experiments and activities to keep their innovative spirit alive and polls and quizzes for their needs and keep their education lives more organized.</t>
  </si>
  <si>
    <t>We think that we are the best equipped to offer this solution because we are also facing the same problem in online education and we think that we can offer the best facility to at least reduce the problems of our fellow users.</t>
  </si>
  <si>
    <t>https://enpower-school.com/wp-content/uploads/elementor/forms/5fe72a9c28956.pptx</t>
  </si>
  <si>
    <t>December 26, 2020, 5:50 PM</t>
  </si>
  <si>
    <t>IFT544</t>
  </si>
  <si>
    <t>isb.basheer@outlook.com</t>
  </si>
  <si>
    <t>Students face many problems these days in online education. Lack of concentration in the class is making is it difficult for students to understand the concept. Learning ,understanding the subjects and practically working on it is becoming more challenging for students. They have to wait for their turn to ask their queries and then it should be answered at same time so that they don't loose interest in their subject like it was done in pre pandemic classes.</t>
  </si>
  <si>
    <t>Online education is difficult in many prospective as not all are educated to access electronic devices and everyone doesn't have proper access to internet. Parents need to spend more time with kids to guide them in online education.</t>
  </si>
  <si>
    <t>Students are facing more problems as they don't have theirs teachers available all the time as they were in pre pandemic classes. Young ones are finding it difficult because they don't have the knowledge of accessing  electronic devices at the same time teachers might also find it problematic to explain them.</t>
  </si>
  <si>
    <t>It is urgently required to solve this problem as many people don't have proper access to online education and they might have to spend more money to purchase electronic devices for each kid.</t>
  </si>
  <si>
    <t>Making devices and internet available free from the government to all the students looking forward for best education facilities. Kids need more attention from the education staff as its new for them, there might be lack of face to face learning but still kids need to concentrate more on the teachers words as they are working very hard to make children understand the concepts.</t>
  </si>
  <si>
    <t>We can reduce main burden by providing devices available free of cost to everyone. Secondly by making the concepts more clear and simpler for kids to understand. Making it more practical by reducing the written part in it. Handling the heavy baggage's to school might effect on physical health on children, so making all the data available on the school website could make it easier for students and teachers also.</t>
  </si>
  <si>
    <t>I could only help in knowing the problems students are facing these days. If the data gets deleted then it is difficult for them retrieve it.</t>
  </si>
  <si>
    <t>https://enpower-school.com/wp-content/uploads/elementor/forms/5ff6bcf51fab4.pptx</t>
  </si>
  <si>
    <t>January 7, 2021, 1:19 PM</t>
  </si>
  <si>
    <t>IFT416</t>
  </si>
  <si>
    <t>iamsindhujav@gmail.com</t>
  </si>
  <si>
    <t>Children in Low Income Group (LIG) communities don’t always have access to good quality education or post school tuition support. Current EdTech offer high quality content, but are in English and not affordable.</t>
  </si>
  <si>
    <t>•	Quality of education in government schools are poor and/ or inconsistent and highly teacher dependent. Kids drop out of school or fare poorly in exams because of poor learning outcomes.  
•	Support options like Post school tuitions, from the local ‘Tuition Bhaiyya or Didi’ have the advantage of local language/ dialect but is limited by the quality available in the immediate community.  
•	Good quality online options like Byju’s are expensive, the ones which are free like Khan Academy are in English.  
•	Neither Edtech platforms nor local Bhaiyyas offer pay per use facility, which hampers affordability.
Enter EduFlix: the pay-per-use ‘Netflix’ for local language post-school education</t>
  </si>
  <si>
    <t>•	Students between 6th – 10th grade, in vernacular mediums,
•	in LIG communities,
•	residing in under developed and developing economies where English is not the first language,
•	in need of affordable, good quality, vernacular, easy to use, pay-per-use, virtual education.</t>
  </si>
  <si>
    <t>“The youth of today are the leaders of tomorrow”, Nelson Mandela rightly said; if today’s youth is not well educated and adequately equipped to face the world around them in the future, the world won’t be a very bright place to live in. The global economy, natural environment, technological development, infrastructure, art, scientific breakthroughs; everything requires the youth to be well tutored right from when they’re little, so a solution to this is required immediately. Education is not a privilege of the rich or English speaking population. We need to create equal opportunities for all.
If quality of education is not improved for the masses, we will end up having an army of poorly educated, unemployable youth, leading to social problems.</t>
  </si>
  <si>
    <t>EduFlix is a Social Enterprise that connects LIG students with teachers. The app allows local teachers to upload educational videos in local languages, for State Boards and price them as per their choice. Videos will be classified under categories like language, locality, targeted grade, subject, topic, stand-alone video/series, price range and duration. Students can then sort, pay for, access and rate these videos as per their requirement. The language students pick will be applied to video content as well as the text on the app. There will be mobile based assessments after every module, to test students. A question and answer section will be open 24/7 for any doubts/ rectifications. Students may also schedule one-to-one video calls with the teacher they prefer, for an additional fee. For students without smartphones, a charity conducted by EduFlix at factories and offices will provide them with a second hand one, free of cost. Internet connection will be made available by local Internet Service Providers like i2e1 (put website), in exchange for advertising revenues. EduFlix will create significant financial and social impact for all stakeholders.</t>
  </si>
  <si>
    <t>Students can choose to study in the dialect/language they are most comfortable with, making learning faster and easier. They may pick the topics they wish to work on, and may study for as long as is convenient, to strengthen their weak aspects. They can pause videos to take notes, ask plenty of questions and test themselves too.
Parents may pay on ‘per-view’ basis, by online transfer. They needn’t worry about sending their children outside their homes and risking safety on the roads.
Teachers can now widen their student base from just their locality, to anywhere on the planet.
EduFlix will not just be helpful during the pandemic, but also after it, which makes its effect long lasting.</t>
  </si>
  <si>
    <t>Since I am a student myself, and have experienced the features of virtual school, I know what brings comfort to users; I can effectively visualise what would be beneficial to any student, making it easy for me to replicate these features. I can also empathise with children who don’t have what I do, making my desire to make EduFlix a success stronger. I have also seen my father as an entrepreneur, and the experience he shares with me on finding market gaps and solving real life problems for customers trains my intellect to think like an entrepreneur too.</t>
  </si>
  <si>
    <t>https://enpower-school.com/wp-content/uploads/elementor/forms/5fee17b422980.pptx</t>
  </si>
  <si>
    <t>December 31, 2020, 11:55 PM</t>
  </si>
  <si>
    <t xml:space="preserve">Its a brilliant idea. Platform to improve learning outcomes for kids studying in public schools, who need post school learning support, in a vernacular language/ dialect that they are most comfortable with. The platform connects pre-recorded tuition lessons from local ‘tuition bhaiyyas/ didis' with kids, on a 'pay per view' model, at an affordable ‘unit price’ The have also worked on the costings and revenues
</t>
  </si>
  <si>
    <t>IFT034</t>
  </si>
  <si>
    <t>iamsharbani06@gmail.com</t>
  </si>
  <si>
    <t>During this time of pandemic all the schools are conducting online classes .Sometimes we cannot understand the topic or the class becomes boring to us .</t>
  </si>
  <si>
    <t>The live classes conducted by the school tends to be boring and sometimes we don't understand anything .During this time of us learning online we don't have a time table and sometimes even if we have a time table or the class is super exciting we don't get a proper internet connection.In India there are places where people do not have a proper internet connection to support the online classes</t>
  </si>
  <si>
    <t>The problem described above is the problems faced by the students during this pandemic where schools are conducting online classes</t>
  </si>
  <si>
    <t>This problem needs an urgent solution because this is the problem faced by the children of our country.The children are the future of the country and needs and urgent solution</t>
  </si>
  <si>
    <t>My idea is that the schools can design an app or design an website which will contain all the study materials in the form of quizzes,games, interactive video lectures from real life examples or daily life.The network connection all over the country can be improved and the application can have a daily routine of the students accordingly and will give daily updates to the parents as well</t>
  </si>
  <si>
    <t>This idea can help students learn better and help them to fall in love with learning</t>
  </si>
  <si>
    <t>I think so because I myself is a student and I have to attend the classes regularly which are not at all helpful.</t>
  </si>
  <si>
    <t>December 20, 2020, 6:04 PM</t>
  </si>
  <si>
    <t>The idea is to develop app for students to make lectures more intresting by quizzes, games and experiantial learning. The student haven't supported any document or have any knowledge how will the app work. It's not unique as Vedantu and Byjus have similar concept of learning through quizz, games and lectures.</t>
  </si>
  <si>
    <t>IFT290</t>
  </si>
  <si>
    <t>htarunkap@gmail.com</t>
  </si>
  <si>
    <t>We are living amidst the greatest threats in our lifetime to global education. The covid 19 pandemic is
causing more than 1.6 billion children out of the school in 161 countries.</t>
  </si>
  <si>
    <t>This is close to 80% of world’s enrolled students. The World Bank’s “learning poverty” indicator – the %
of children who cannot read and understand at age 10 – stood at 53% of children in low- and middle-
income countries – before the outbreak started. This pandemic has the potential to worsen these
outcomes even more if we do not act fast.This is a real cause of concern and need some out of box
thinking to find a solution to existing defy and safeguard our self from any similar situation in Future.</t>
  </si>
  <si>
    <t>The negative impacts will be felt more by the poor and unprivileged children. When it rains, it pours for
them. Many children do not have a desk, books, internet connectivity, a laptop at home or supportive
parents.</t>
  </si>
  <si>
    <t>The problem in fact will adversely impact entire society as future of children - the architects of future
growth is at stake. It also effects the economic status of the country and this is the time when we take
action or else this leads to a great problem . we have to ensure that the pandemic does not affect the
learning of children.</t>
  </si>
  <si>
    <t>*Today we have advantage of social networks, whats app or SMS, ministry of education can
communicate with parents and teachers and provide guidelines to the learning process. Remote
learning is not only about online learning but about mixed media learning, with the objective of reaching
as many students as possible today.
*Today we have advantage of social networks, whats app or SMS, ministry of education can
communicate with parents and teachers and provide guidelines to the learning process. Remote
learning is not only about online learning but about mixed media learning, with the objective of reaching
as many students as possible today.</t>
  </si>
  <si>
    <t>* Building simplified Learning Platforms to educate unprivileged children with minimal requirement of
resources. We can create QR codes and print them in the textbooks so that scanning those QR codes will
lead the children to the videos of that particular concept.
Each one teach one approach to continue the learning process.
* People can donate their old devices to the underprivileged children.
Continuous Learning: Children will be able to learn continuously during pandemic.
*Global Exposure: Children will get global exposure while learning online.
* Minimal usage of expensive infrastructure:Using the traditional modes of communication like radio
and television are less expensive as compare to laptop, smart phone and internet connection.
*Better Utilization of time: Learning by new ways will make learning interesting and hence children will
have better utilization of their time.</t>
  </si>
  <si>
    <t>I think I am the best equipped to offer this solution because I have found the solution so that the quality
education is available to maximum number of students. The richer countries are well equipped to move
to online platforms but there are many countries those don&amp;#39;t have enough of infrastructure so i have got
the idea that is less expensive and the quality education can be provided to masses.</t>
  </si>
  <si>
    <t>https://enpower-school.com/wp-content/uploads/elementor/forms/5feca88585a22.pptx</t>
  </si>
  <si>
    <t>December 30, 2020, 9:49 PM</t>
  </si>
  <si>
    <t>lots of good suggestions-no concrete idea-disqualified</t>
  </si>
  <si>
    <t>IFT520</t>
  </si>
  <si>
    <t>heervisaria@gmail.com</t>
  </si>
  <si>
    <t>the lack for safe and friendly physical study environments where students can explore learning methods and concepts at their own pace and understanding along with learning life skills</t>
  </si>
  <si>
    <t>Covid 19 has tested all of us in more than one way. Though it has affected every sector of the world equally, one of the most gravely hit sector is the educational sector. This sector, consisting of students and teachers, has taken a massive hit, with it having to go completely online. Students face the consequences of an unhealthy lifestyle, disturbing environment along with a myriad of technical problems.  Health issues have worsened amongst students as they spend all their time on electronic gadgets. Lack of proper environment has rendered students from studying at their best potential.
Teachers were faced with the task of changing their teaching strategies completely to suit online platforms along with the task of making education more interesting.</t>
  </si>
  <si>
    <t>We are attempting to solve the problem of students majorly, which will indirectly have an impact in teachers. Students tend to have a short attention span and it has become imperative to have engaging activities and a proper learning environment due to the rise of online studying. Most students don't feel comfortable asking doubts on online platforms and aren't facilitated with personal doubt solving due to lack of physical environment. Students also tend to understand better when they devise their own learning methods and discover what suits them the best.</t>
  </si>
  <si>
    <t>This problem needs to have an urgent solution because there have been no indications of schools reopening as of yet and online schooling is going to stay with us for a while. Students have already faced a lot of problems related to understanding topics, being able to cope up, being able to study well, and it is time to make it easier for them to adjust to this massive change all of us are facing for the time being. And moreover, the need for better environment for studying that are not the traditional tutions are needed as education is being redefined through these times. Students are devising their own strategies and becoming more independent with their method of learning.</t>
  </si>
  <si>
    <t>Our solution is a café that replicates a learning environment to aid students to focus better. With an aesthetic layout, consisting of study tables and a small garden, this will provide students a peaceful place to study. Moreover, textbooks and study materials (hard copy) will be available for them to carry out extra research, along with a stable Wi-Fi connection to aid online classes. Alumni students or teachers in their free time can help students solve doubts or manage their schedule, as well as provide a chaperone. The students can help each other out as well. Branches can be opened in various areas for this café to be accessible to many students.
 For better focus, a firewall will prevent unwanted websites being accessed with the Wi-Fi network of the cafe. 
There can be a nominal fee of 50rs/hour charged to make up for costs.</t>
  </si>
  <si>
    <t>This helps provide a peaceful environment for students to study in without distractions. It also provides all the things necessary for students to devise their own study routines which not only teaches them self-management, time-management and independence but also helps them learn better and score better. Moreover, socialising with new students will help them understand and explore concepts in different ways as well as help them learn new study techniques from one another. Advice from alumni's and teachers may help students plan practically.</t>
  </si>
  <si>
    <t>Being a students ourselves, we know what problems students face in general and how we have had to alter our learning strategies due to Covid-19. Moreover, having conducted a research and interviews has helped us gauge the problem from multiple angles and not just ours. This has helped us devise a solution that will positively impact students many ways.</t>
  </si>
  <si>
    <t>https://enpower-school.com/wp-content/uploads/elementor/forms/5ff5c458056b6.pdf</t>
  </si>
  <si>
    <t>January 6, 2021, 7:38 PM</t>
  </si>
  <si>
    <t>IFT570</t>
  </si>
  <si>
    <t>heartysarasa@gmail.com</t>
  </si>
  <si>
    <t>Dhiya</t>
  </si>
  <si>
    <t>Siva</t>
  </si>
  <si>
    <t>Lalaji Memorial Omega International School</t>
  </si>
  <si>
    <t>In today’s time, we hear that many students are copying during online exams. In order to prevent this situation, we have come up with a solution.</t>
  </si>
  <si>
    <t>In this current situation, in the pandemic period, kids all are    engaged in online education facilities such as, Classes, Exams, Tests, Submitting homework, etc…
Sometimes, we get this resulting smoothly, though, the teachers still feel suspicious of how the students write the exam.
[If the student malpractices, (copies)]</t>
  </si>
  <si>
    <t>We do the solution for the problem because, we have heard the complaint that teachers are telling that students MAY copy in exams, but no one knows whether it is true or not, they are only having a trust on the children, so to make this assumption to clarity, we had to take this problem into limelight and find a solution.</t>
  </si>
  <si>
    <t>We feel that his problem is urgent &amp; critical because, we do not know how long this pandemic situation may extend, and so continues the online education, hence, we feel this problem is urgent. This problem is critical because, students cannot miss there topic for a long time and take risk in the future.</t>
  </si>
  <si>
    <t>Our solution is to make an app which has the uses like teachers can see what the students our doing with the help of  360 degree angle camera [we can see what happens up, down ,to there right and to there left]
1.Teachers can hear what the students are talking
2.The app won’t allow the user to navigate out of the window, if they navigate the test will get automatically submitted.
OTHER THAN THIS THE USES OF THE APP ARE
3. The teachers can create the questions and also edit it
4. The teachers can also correct the paper</t>
  </si>
  <si>
    <t>Our solution is useful and gives a flawless benefit to the user.
       1. This app will be comfortable and easy for the teachers
      2. This completely vanishes the suspicious thought of the teachers.
      3. It also helps to form a bright future of the students.</t>
  </si>
  <si>
    <t>Yes, we are well equipped for the solution.
      1. 360 degree camera facility
      2. Microphone which cannot be muted throughout the exam, which can be accessed by the teacher.
      3. The app won’t let the student to navigate out of the window, if then, they do it. The test gets automatically submitted.</t>
  </si>
  <si>
    <t>https://enpower-school.com/wp-content/uploads/elementor/forms/5ff72e7a37e2f.pptx</t>
  </si>
  <si>
    <t>January 7, 2021, 9:23 PM</t>
  </si>
  <si>
    <t>IFT571</t>
  </si>
  <si>
    <t>haru.anbu04@gmail.com</t>
  </si>
  <si>
    <t>The main problem we are focusing on is the mental state and stress levels of students.</t>
  </si>
  <si>
    <t>The competition in educational aspect has now increased which in turn increased stress and expectations for students. Specially because of social/peer pressure and expectations,extra school work, pushing them off limits for perfection and lack of mental awareness, students are being pressurized and this affects their mental health.</t>
  </si>
  <si>
    <t>This is a major problem for students in general around the world but here we are focusing on indian students.</t>
  </si>
  <si>
    <t>Mental health is essential for functioning effectively on a daily basis. It plays a major role in the way we think, perceive, our concentration power, memory, etc and so if we over work ourselves aiming for perfection or success, we will only end up exausted and will loose our capacity to function properly. Mental health also has a major influence on our physical health. Health must always be a priority and our mental state comes under that too.</t>
  </si>
  <si>
    <t>To deal with social/peer pressure and expectations, students must be taught to have their own right opinions and must stand for those opinions. They must also be taught to be wise while taking decisions and must know that it's ok to not fit into those expectations. They must also be taught to deal with the comments the right way. For dealing with extra school work, students must be taught skills like prioritising, organising, time management, etc. From the school's side too they must not over work the students and must also consider all kinds of learning styles of students and must Not stick to one style alone as this can be stressful for the rest. about pushing students off limits, students and parents must just know the child's plus and minus points and must encourage them to do activities that is suitable for him or her(especially extra curricular activities).from the school's and parent's part, they need to understand what the child really wants and what he or she is good at and is capable of and not push the student off limit. Extra activities and even school work must be enjoyed and must not stress the student out. Taking care of mental health must be a priority and also councelling must be given if needed. There is also a lack of mental health awareness among a lot of people. Students must be told about mental health and how to take care of it. They must be encouraged to talk about their feelings and mental state to a trusted person and they must be told to take a break once in a while to avoid overworking themselves. Some or the other way everyone will get stressed but we need to make sure we are able to deal with it the right way.</t>
  </si>
  <si>
    <t>The solutions that we gave is from a general perspective for students but can also be practiced and be effective to every individual. Even if the entire system doesn't change, inculcating these in students, parents and teachers will help students to overcome stress and even be able to deal with all the obstacles later in life. this will help them throughout their life while making a difference now in the present too, and also the difference can be seen in every individual.</t>
  </si>
  <si>
    <t>As a student, we mentioned that these are the aspects that induce stress in us. We think the solutions are effective because instead of changing the situation, it'll be better and quicker to change according to it. Improving mental health is always a good and undeniable thing. Anyone would be willing to let out their feelings and emotions and getting things off their chest. so I don't think there will be exceptions in improving mental health.</t>
  </si>
  <si>
    <t>January 7, 2021, 9:33 PM</t>
  </si>
  <si>
    <t>IFT635</t>
  </si>
  <si>
    <t>harshjainer1@gmail.com</t>
  </si>
  <si>
    <t>The frequent change in the mindset of students which affects their productivity and results into anxiety and depressing activities.</t>
  </si>
  <si>
    <t>Some times students are super productive and other days they couldn't get anything done, thus they tend to over estimate the duration of their affective reactions to negative events. Hence these negative events affects their psychological immune system in the form of day to day hassles and negative emotions.</t>
  </si>
  <si>
    <t>We are solving the problems of the students who are not able to control the effect of their negative emotions and leading into less productive behaviour.</t>
  </si>
  <si>
    <t>Students are going to be our future leaders entrepreneurs businessmen etc and it's very important that their mental health and psychological immune system is antifragile and robust</t>
  </si>
  <si>
    <t>We want to build a human race which is strongest among the all but antifragile because the strongest thing also breaks at a certain point. We want students to control their stress level depression and anxiety. This all can be done by teaching the right techniques of meditation.</t>
  </si>
  <si>
    <t>Our solution will significantly improves the stress level and sense of well being . Also they will work with more endurance and less fatigue</t>
  </si>
  <si>
    <t>We are tackling the problem on the first place making our citizens mind antifragile and robust. Also the perspective from which we are solving is unique and implementable.</t>
  </si>
  <si>
    <t>https://enpower-school.com/wp-content/uploads/elementor/forms/5ffb4738ac381.pptx</t>
  </si>
  <si>
    <t>January 10, 2021, 11:58 PM</t>
  </si>
  <si>
    <t>IFT621</t>
  </si>
  <si>
    <t>harshit.rai.verma@gmail.com</t>
  </si>
  <si>
    <t>The problem we have taken is about the difficulty visually impaired people face in order to perform day-to-day tasks like walking, climbing stairs, etc.</t>
  </si>
  <si>
    <t>Blind people face problems in life. The main problem that we have identified is that they have problems climbing stairs up and down. There are many chances of falling down while climbing the stairs both going upwards and downwards. Moreover, the thing that makes them feel the worst is people doing too much for them. First, it makes them feel helpless, and it removes any possibility for them to learn to do things themselves.</t>
  </si>
  <si>
    <t>We are working to improve the lifestyle of visually impaired people. After visiting various NGOs and observing how many difficulties visually impaired people face in their life, I started to think of some solutions that they can adopt to reduce these problems and their hardship. So, our main target ‘user’ group is blind people. We are also targeting partially visually impaired people as our solution can help them ease their life, too.</t>
  </si>
  <si>
    <t>Well, this problem of visually impaired people facing hardships in daily life has been around since forever; although surprisingly, not many solutions exist to this. A cane is quite workable but not recommended as it just comes around with a lot of exceptions and seems old-fashioned to be there in the 21st century. As we are progressing in almost all of the fields, I think we should give more importance to healthcare than any other thing and our solution is one tiny step that can accelerate the work towards healthcare technology.</t>
  </si>
  <si>
    <t>We have developed ChakShoe for Blind people. It can detect objects in front and beside the blind. It can detect the stairs both going upwards and downwards. It will help the blinds lead a normal life just like us and it will decrease the difficulty they face in doing day to day activities.	         
No matter how many obstacles are there on the path, they can easily move without hitting anything. These shoes can detect walls, stairs, people, and all other objects. It can detect all the holes on the road so that the blind would not fall or step into those water holes.</t>
  </si>
  <si>
    <t>We developed these shoes so that they do not have to keep a stick with them all the time and at all the places which makes them feel uncomfortable and they feel different which we do not want them to. They do not have to carry a stick with them, they do not need anyone’s help to walk. Our self-designed shoes will help them anywhere and anytime to walk on any type of path. With these ChakShoes, they won’t need help and they will be self-dependent, which is our motive here.</t>
  </si>
  <si>
    <t>I actually can’t say that we are the best equipped to offer this solution. It’s just that I love robotics and things you can do with just a couple of sensors and a microcontroller. When I saw how many problems blind people face, it embarked a sense of responsibility inside me, responsibility to act as a member of the society. I researched for a few weeks and realized that not many solutions exist to solve the problems that I observed, so I took it on myself and developed this solution.</t>
  </si>
  <si>
    <t>https://enpower-school.com/wp-content/uploads/elementor/forms/5ffb05b6a2e5e.pdf</t>
  </si>
  <si>
    <t>January 10, 2021, 7:18 PM</t>
  </si>
  <si>
    <t>IFT169</t>
  </si>
  <si>
    <t>haebasara2019@gmail.com</t>
  </si>
  <si>
    <t>For the past 9 months schools are shut down due to the pandemic. And due to this students are not able to understand complicated maths and science concepts and they are not able to do their lab  practical. Though alternative ways have been developed for online classes, nothing has been done to compensate to understand the tough topics and lab practical.</t>
  </si>
  <si>
    <t>Students are unable to understand the difficult concepts that taught by teachers in online sessions. Though students are actively attending the online sessions, they are unable to grasp the difficult concepts as students learn in the class rooms. So it is proved that online classes are not able to meet the Educational needs of students. Teachers are also finding it difficult to teach students in an effective manner. 
Another major problem is about teaching lab practical during this pandemic. Students are unable to do the lab p</t>
  </si>
  <si>
    <t>The user group is the students of all ages, this problem occurs to everyone at least once in their life, when begins to study a unfamiliar topic. Students eventually ends up with much confusion. Not all students are bold enough to ask doubts in class and will try to seek answers by themselves which may worsen the confused situation. Lab practical can be leant through our solution.
Teachers are another user group with our solution. Teachers will be able to teach and visualize the concepts in a clear way to students. Our solution can be used as one of the most useful teaching aid to drive the attention of students for any kind of difficult topics.</t>
  </si>
  <si>
    <t>Students will not able to adjust with the new academic year in the upgraded classes as their base of difficult concept are not learned. This can also lead to the failure in the class. The academic year is about to end , but still there has been no decision taken regarding the lab practical. Lab practical are also equally important as the theory portions. These problems seem to be so critical and the present scenario compelled us to come up with our solution</t>
  </si>
  <si>
    <t>A software/app and a projection device of A-R based virtual labs (ER- Education Reality) in which students can access the complicated concepts in A-R and they can easily do their lab - practical in a more interesting and effective manner. Through this software l can be made more interesting at the same time students can get a more closer and detailed  view of the instruments / apparatus  they  are using. 
Further all contents of virtual labs will be brought into reality like a 'HOLOGRAM'. A student can see the hologram right in front of their eyes and study it like they are analysing it directly it will make the learning more fun and more effective in understanding rather than mugging up.</t>
  </si>
  <si>
    <t>ER (Education Reality) can help students to learn all the confused concepts without working hard to mug up questions and answers all night and all concepts will be crystal clear to students, also without worrying abt storage capacity as hologram can store unimaginable amount of  information. There is a huge difference between seeing a 2d image or video and 3D image or video.My solution can open a  new world of education which is less boring and more interesting to explore the wonders of our home,world</t>
  </si>
  <si>
    <t>We think  we are equipped to offer this solution because we are students and we often go through this problematic phase where even if my teachers explain to me some tough topics in their own best way possible we will still be confused. When a teacher uses a video to explain, it gets into my mind quick so i wondered if we used a hologram and AR based virtual lab to studying tough topics and practical, then every topic will turn out to be easy and effective. It could open another world of education to students. Though virtual labs exist, we believe that ER(Education Reality) can help the students to understand the concepts in a better way.</t>
  </si>
  <si>
    <t>https://enpower-school.com/wp-content/uploads/elementor/forms/5feb071f430e8.pdf</t>
  </si>
  <si>
    <t>December 29, 2020, 4:08 PM</t>
  </si>
  <si>
    <t>The idea is superb where they want build an app to bring AR reality concept in education where students sitting at home can do the praticals and it will also have holagram. They haven't much describe how will they do it if they have solution then it will be unique.</t>
  </si>
  <si>
    <t>IFT426</t>
  </si>
  <si>
    <t>guptaremiya31@gmail.com</t>
  </si>
  <si>
    <t>Science Laboratory
Science is a practical subject, teaching of which cannot be done properly only in theory form. For proper education of science, it is necessary to conduct various kinds of experimental works, which are practical in nature.
These practical functions cannot be carry out in absence of scientific apparatus and equipments. The place where various kinds of scientific apparatus and equipments are arranged in systematic manner is called science laboratory.
ADVERTISEMENTS:
Science laboratory is central to scientific instructions and it forms essential component of science education.
It is in this place that various kinds of practical works are carry out by the students. Without proper and well- equipped science laboratory, it is not possible to carry out the science teaching process effectively in any school or educational institution.</t>
  </si>
  <si>
    <t>Students learn to handle various apparatus and to think independently in the laboratory, because of which it is considered to be one of an important place. When students carry out various kinds of experiments, then they draw conclusions from their studies, which raise their level of self confidence and develop scientific attitude among them.
These are considered to be main objectives of science teaching, for which it is considered by experts that without a well equipped and organised scientific laboratory, there cannot be any proper teaching of science. Students should be encouraged by the science teacher to make active parts in various experimental processes, as most of the achievements of modern science are due to the application of experimental methods.</t>
  </si>
  <si>
    <t>Here, am trying to address USER as young doctor and Scientist community.</t>
  </si>
  <si>
    <t>This is Super critical at present looking at pandemic situation across the world</t>
  </si>
  <si>
    <t>Virtual Labs 
Objectives of the virtual labs:  
To provide remote-access to labs in various disciplines of science and engineering. To enthuse students to conduct experiments by arousing their curiosity. To share costly equipment and resources, which are otherwise available to limited number of users due to constrains on time and geographical rlictonrne</t>
  </si>
  <si>
    <t>MORE SCIENTIST AND DOCTORS FAST RELIEF                                                                                                                              
                                                                                       LESS SCIENTIST AND DOCTORS LESS AND SLOW RELIEF</t>
  </si>
  <si>
    <t>Giving an free oppourtunity to all youngsters for educating them in an online science lab.. Increasing large amount of doctors and scientist .. would be one of my best deeds</t>
  </si>
  <si>
    <t>https://enpower-school.com/wp-content/uploads/elementor/forms/5feed5b4e1b5f.pdf</t>
  </si>
  <si>
    <t>January 1, 2021, 1:26 PM</t>
  </si>
  <si>
    <r>
      <rPr>
        <rFont val="Calibri"/>
        <color rgb="FF1155CC"/>
        <sz val="11.0"/>
        <u/>
      </rPr>
      <t xml:space="preserve">idea is to make laboratory for scientific learning. not clear whether physical or online form. nothing concrete established. i researched and found that something like this already exists </t>
    </r>
    <r>
      <rPr>
        <rFont val="Calibri"/>
        <color rgb="FF1155CC"/>
        <sz val="11.0"/>
        <u/>
      </rPr>
      <t>olabs.edu</t>
    </r>
    <r>
      <rPr>
        <rFont val="Calibri"/>
        <color rgb="FF1155CC"/>
        <sz val="11.0"/>
        <u/>
      </rPr>
      <t xml:space="preserve"> . it is a cbse aligned site</t>
    </r>
  </si>
  <si>
    <t>IFT114</t>
  </si>
  <si>
    <t>gudiakanojia@gmail.com</t>
  </si>
  <si>
    <t>During this pendamic , students are facing anxiety and a compromised willingness to learn and interactions with students and why it is crucial that a possitive teacher-student relationship.</t>
  </si>
  <si>
    <t>The details of the problems that the student's are learning through the  digital means , without students physical presence in schools . These problems can effect the various aspects of the students education that is crucial for students sucsess.</t>
  </si>
  <si>
    <t>The user group here indicates the students of the learning age who are suffering more in this pendamic condition .</t>
  </si>
  <si>
    <t>The students are not able to get enough skills and proper education and a focus on the students onn initiatives which is getting which I getting lack of engagement and in depth learning. Which can also effect the future of the students. Tis should be taken incharge urgently so that each student get proper education , knowledge and developement of skills for the betterment of world .presence of the student-teacher helps to learn better .</t>
  </si>
  <si>
    <t>The most solution is to provide quality teaching through the use of information and communications technology between the students and the teachers that is most likely to motivate students and suport there learning by the teachers . This can be done by enhancing the digital technologies and sharing platforms by using the latest learning tools ,like this live sessions and interactive games (learning online) and planning an online course is quite different from planning face to face teaching offers opportunities for student-teacher interactions. Offering possitive and constructive feedback can help bonding the teachers and students .</t>
  </si>
  <si>
    <t>This can help benifit the users as children use their senses to learn, making learning fun and effective through use of technology. Games based education will demonstrate higher engagement and increased motivation towards learning .</t>
  </si>
  <si>
    <t>I think this is the best equipped to offer this solution because the most important relationship for a child is as a student teacher after the relationship of mother and child who he child gets more inspired and a good listener of a teacher .</t>
  </si>
  <si>
    <t>December 26, 2020, 9:00 PM</t>
  </si>
  <si>
    <t>IFT415</t>
  </si>
  <si>
    <t>gigabyte0601@gmail.com</t>
  </si>
  <si>
    <t>Some of the problems that children face in the education in the rural areas are that firstly, the education is expensive which makes it unavailable to many, secondly, the staff of the rural schools is very inaccurate as very less salaries are been paid to the teaches and thirdly, the rural schools lacks all those facilities which are required for the efficient learning and development of the child, very less investments are being done in the rural schools. Indian schools right now, have far fewer behavioral problems than their western counterparts.</t>
  </si>
  <si>
    <t>Amidst all the social and cultural problems India faces, children in this country are among the best behaved in the world.
Corporal punishments are meted out to children with impunity, which has the ability to keep almost any kid in line.
Unfortunately, this has also turned out to be the bane of Indian rural schools. Since corporal punishments are so common, literally no learning happens. Children are forced to learn out of fear and when they come out of school, having a good job/secure future is their only incentive for having been tortured and abused all of their lives. Acquiring this incentive will have them pass this behavior on to future generations. Not acquiring it often leads them to commit suicide. But a lot of kids in these rural schools use their common sense and quit schooling by the time they know how to read, write, use numbers and simply survive in society.</t>
  </si>
  <si>
    <t>It is mainly focused towards the rural, bpl, poor children and the impact of education and society thinkings on a Student.</t>
  </si>
  <si>
    <t>Our country is progressing technologically; however, sadly, the imprint of this advancement has yet not reached to the rural areas. This has led to a digital gap in urban-rural India.
The schools in rural India are required to get equipped with computer education and need to be imparted with technological education as well.
This will help them being at par with the level of urban education and develop themselves better.
Even though the government is working to improve the state of education in the country, there is still a lot to be improved. There is a growing awareness among people about education; however the lack of infrastructure is being a major obstacle which needs an active intervention of the government.</t>
  </si>
  <si>
    <t>1. Family background and support
Family background is quite different for such children. They might not get same support as other students have and that will have huge psychological impact .Sometimes their famil;y can not fulfill their resources need
2. Different socio-economic opportunities
First generation school-goers might come from poor or lower middle class so less socio-economic opportunities are there for them as compared to other students.
3. Too much pressure on them
First generation school-goers undergo a lot of pressure as their family has a lot of expectations from them.
4. Lack of guidance at home
Nobody is able to solve the problems in their studies at home as other members of family are illiterate. In that case they have to rely largely on guidance at school.</t>
  </si>
  <si>
    <t>We have two choices: First, sit back and watch. Second, act. If we choose the latter, it is the time to think for out-of-the-box solutions. If schools fail to accommodate the children, can we break the walls, as it were? If we don’t have more teachers, can we set up a system where one teacher can effectively teach more children?
We need to redefine our education system in rural India. We need to work on creating a different kind of infrastructure, and we need to invest in building teaching capacity, but not by sticking to conventional training methods. We have to leverage innovation in technology in order to deal with the numerous factors that can fail us in ensuring education for our coming generation in the post-Covid world.
But this is easier said than done. It requires fast-tracking the growth of the digital communications infrastructure in rural India, bridging the digital divide and, most importantly, creating a free learning platform where we track the progress of each child rather than just making content available through TV or YouTube. Learning is not a process that starts or ends with content.
Besides this, we need to equip teachers with multimedia tools to allow them to simultaneously teach hundreds of children remotely across several locations, which will help address the shortage of teachers in these schools. Digitalisation of education through well-thought out interventions is the only way forward, and if we do it systematically, it can address various problems ailing the education system of the country.
And this requires preparing one of the largest workforces — the teachers — to attempt something they have never done before: Using new, innovative teaching methodologies and tools. We cannot wait for the pandemic to peter out before we begin doing that, because time does not wait for anyone.</t>
  </si>
  <si>
    <t>Especially online education providers like Vedantu, Unacademy can Join hands with NGOs and also sponsors of local companies would be of help.</t>
  </si>
  <si>
    <t>https://enpower-school.com/wp-content/uploads/elementor/forms/5fee1509cabd1.pptx</t>
  </si>
  <si>
    <t>December 31, 2020, 11:44 PM</t>
  </si>
  <si>
    <t>Suggestion to govenment to work on the rural education developtment and infrastructure</t>
  </si>
  <si>
    <t>IFT394</t>
  </si>
  <si>
    <t>geetaashish1984@gmail.com</t>
  </si>
  <si>
    <t>The main problem is that the disabled people have to face difficulties to use the computer/laptop properly . Especially the people with malformed finger . They can't type properly and get their school project work done by the stationery shops and this leads to low confidence .They hesitates in front of people who can work and feels down . To reduce  this problem , to make them confident and to reduce their guilt feeling we have made this project .</t>
  </si>
  <si>
    <t>The disabled people or the people who have got there arms harmed they cannot properly type and use the computer/laptop and today in the time of covid-19 we have lots work in computer online especially the students we have to take online classes .</t>
  </si>
  <si>
    <t>We have a friend who is having same problem due to his malformed fingers he couldn't write properly on keyboard and due to it  he can't do his research work on computer but by using our project he can do these easily.</t>
  </si>
  <si>
    <t>This needs an urgent solution because many students are getting loss in studies due to this problem especially now when everything is online so we have to work so much research work for getting detailed explanation of some topics in different subject.</t>
  </si>
  <si>
    <t>In our there are many facilities for handicap people like then can use  browser by there voice command and not only only many other applications also like amazon , YouTube and Whatsapp. They can give command translate a speech into another language . It has a water reminder also . It has a dictionary of different language . It can take text from an image and PDF and then translate  it speech and there is also a option of translating it .</t>
  </si>
  <si>
    <t>It will help the handicapped user and other users to do there work on computer by their voice commands and the people with problem in there hands will not have to suffer problem in using PC .</t>
  </si>
  <si>
    <t>We think so because we are offering a futuristic idea which will reduce a lot of burden from physically challenged people . Burden could be of office or school It will solve both . And it could more efficient in future.</t>
  </si>
  <si>
    <t>https://enpower-school.com/wp-content/uploads/elementor/forms/5fedff6623b0c.docx</t>
  </si>
  <si>
    <t>December 31, 2020, 10:12 PM</t>
  </si>
  <si>
    <t>The idea is to build an app for disabled especially for malformed finger, their friend is disabled and they want to help him and others. In the attachement they have mentioned some computer commands language to built an app. Need to understand further in detail</t>
  </si>
  <si>
    <t>IFT590</t>
  </si>
  <si>
    <t>gautamaggarwal30@gmail.com</t>
  </si>
  <si>
    <t>I request the judges to kindly look at the ppt directly for better understanding. The problem is the "ADOPTION OF CRAMMING TECHNIQUES BY STUDENTS"  which may get them good marks but won’t be able to secure them with their desired job. Hence this habit doesn't allow pupils to recall things for a longer span of time.</t>
  </si>
  <si>
    <t>The point which needs to be tickled upon is why the students are looking forward to cramming for scoring instead of understanding the concepts and the simplest possible answer to the question is that the way they are taught in ordinary schools doesn’t allow them to understand the concepts in a practical way so that they can relate it to real-life examples.
Hence the problem lies not in the students but in the teaching methods which needs to be urgently addressed.</t>
  </si>
  <si>
    <t>In the first phase, we are targetting the kids of the age group 5-10 i.e from class 1st to 5th and then we'll be expanding our reach to students of Class 5th - 10th. Because it is believed that children under the age of 15 years have the ability to process 40 lakhs of different pieces of information at a single time. So, if at such tender age kids get a crystal clear picture of the base knowledge, this depicts that they are ready for the future.</t>
  </si>
  <si>
    <t>Undoubtedly, if the construction base is strong the architecture would definitely be strong. Similarly, if the students are perfected at their initial stages then they'll be ready for a much better future either in studies or any other activity. But if such childhood is ruined with the burden of licking the books, it will be tough to stay in the competition. This is the only reason that such a problem of 'Cramming' prevailing in the schools has to be solved and the clock is ticking!</t>
  </si>
  <si>
    <t>So our basic Idea is based on mixing offline education for students with online education. Now here comes the Idea:-
The previous slide made us aware that the problem lies in the teaching methods, now we have come up with an idea to solve this problem.
What we as a company are going to do is that, our plan is to provide the whole digital setup to all the running schools which’ll include:-
Projector and Screens/ Digital Screens (To be chosen by schools according to their budgets) with all the wirings, speaker arrangements and setup.
The second and foremost thing that we are going to provide them is the “CONTENT”. 
But what will be special about it?  Our content won’t be normal with a teacher standing in front of camera’s and explaining the concepts, our content will be full of fun, interactive learning, animations, analogy based explanations of topic with live examples as priority which won’t just provide them knowledge but it would enable them to relate that topic to their daily lives and apply such study practically whenever required.
There is no doubt in saying that animated videos enhance creativity in learners and motivate them to explore complex dimensions of knowledge. The main focus will lie in Animating the content in such a way, that once seen, student should not forget it during his/her lifetime.
Budget Laptops containing all the required content (if the school doesn’t have access to the internet) and if they have access to internet then they can just opt out for laptops without content and stream it directly from our website( the benefit of which is that any change in the syllabus or any new additions will be first uploaded on the site and will take time to reach laptops which are offline).    
Even if the classrooms receive some amount of sunlight then we will also be providing blackout curtains which will be installed by our team to make study experience more immersive.  
A 24*7 Assistant for the first month to make teachers aware about the working of setup and training them so that they can make its use more efficiently.</t>
  </si>
  <si>
    <t>The pupils nowadays hate studying &amp; the only reason behind it is the joy of exploring and curiosity which should be discovered by them while studying is lacking hugely, for them studies has become just a task of reading, learning and writing exams. And the real essence of the word "Education" has been lost somewhere. Our idea focuses on bringing this joy back at any cost, inducing the student's mind to automatically attract towards studies.</t>
  </si>
  <si>
    <t>What I think is that the problem we are solving is really critical and has not been addressed for so long since Independence. Furthermore, our Idea is really cost-efficient which is not at all a burden for even poor kids. Thus our low cost will ensure a wider reach. Our solution is revolutionary for the education system in our country and if implemented at a large scale, would ensure the betterment of crore's of students.</t>
  </si>
  <si>
    <t>https://enpower-school.com/wp-content/uploads/elementor/forms/5ff7515a73308.pptx</t>
  </si>
  <si>
    <t>January 7, 2021, 11:52 PM</t>
  </si>
  <si>
    <t>IFT098</t>
  </si>
  <si>
    <t>gauravchandrawanshi33@gmail.com</t>
  </si>
  <si>
    <t>9754710278, 8269347431</t>
  </si>
  <si>
    <t>Some People make dirty everywhere - even the public facilities that are made for the convenience of the people, there people make it so dirty that it becomes difficult to breathe as well as many diseases in hospitals are such that their contacts There is a risk of getting affected by that disease just by coming in contact, in such a situation, the cleaning workers have to work by hand in these places, which increases the risk of getting infected.</t>
  </si>
  <si>
    <t>Some people make public toilet ,stations etc. so dirty as well as some cleaners clean the hospital, spread garbage, etc. with their own hands, which makes them vulnerable to infection.</t>
  </si>
  <si>
    <t>The cleaning workers who clean the dirt without any technical help and while cleaning the dirt themselves and their families get infected with many diseases even they die at an early age.</t>
  </si>
  <si>
    <t>The task of lifting the dirt by hand is such that there is a risk of infection among the sanitation workers and their family members, but it is necessary to clean the dirt as well, in such a way, cleaning can also be done with technical help and people get sick after coming in contact with the dirt Do not fall so that they can avoid death even at a young age</t>
  </si>
  <si>
    <t>This project is made for the sanitization of air and floor, it also cleans the floor, It also have vacuum cleaner attached to it ,It runs automatic With the help of ultrasonic technology for obstacle avoidance, It can be used in the hospitals in the patient room without direct communication with the patient and it can also be used in various places like:- Public Toilets, Houses, railway station etc. In the hospitals and various places where people with communicable disease are living, the maid cleans the room with high risk of getting infected at that place this machine is very useful for cleaning the room , removing dust from the room and sanitizing the room.</t>
  </si>
  <si>
    <t>With some technical knowledge, the cleaning workers will be able to clean the dirt with this model by running this model, as well as they will not have to touch the dirt by hand and they will not come in contact with the infection-causing garbage, which will also keep the cleaning and cleaning Employees and their families will be saved from all kinds of infections and live a happy life</t>
  </si>
  <si>
    <t>Because I have seen some people living a life where it is difficult to stand due to dirt, some cleaners clean the dirt by hand and in hospitals where people are scared of hearing the name of some diseases, the garbage of this health also Employees clean with their own hands and get themselves infected, with this model, this sweeper will also cleanse them, but will live a healthy and happy life like a human without having to touch the dirt and get infected by diseases.</t>
  </si>
  <si>
    <t>https://enpower-school.com/wp-content/uploads/elementor/forms/5fe6d9bbdebf8.docx</t>
  </si>
  <si>
    <t>December 26, 2020, 12:05 PM</t>
  </si>
  <si>
    <t>Idea is unrelated to the theme</t>
  </si>
  <si>
    <t>IFT159</t>
  </si>
  <si>
    <t>fatima.rafiqui@gmail.com</t>
  </si>
  <si>
    <t>Afiza</t>
  </si>
  <si>
    <t xml:space="preserve">Rafique </t>
  </si>
  <si>
    <t>Maths and Science concepts are difficult to understand for kids because they are not taught practically and engagingly.</t>
  </si>
  <si>
    <t>Due to the corona pandemic, the education system of a student has been affected the most. Many young children lost their hope and confidence in Maths and Science. This problem is most common in children at the age of 9-14 [Adolescence], as teens are mature and sincere enough to understand the importance of study whether it is hard or easy. 
But in initial days if the child is distracted from studying, this can lead to major problems ahead. So to improve this, we can take many steps to encourage them.
 Here, I will not be making an app to learn I will make a game to learn. Let's make them feel that they are not studying, they are playing. 
By doing so they will not only play they will learn a lot more. Making the game can teach than much other skill apart from subjects. 
For example self-defense cooking and architecture.</t>
  </si>
  <si>
    <t>Middle schoolers from grade 6th to 8th</t>
  </si>
  <si>
    <t>Science and Mathematics are foundational subjects for children in middle school. Their interests in these subjects decide their future career trajectory. It becomes important to make the learning experience engaging.</t>
  </si>
  <si>
    <t>A game will help kids learn concepts in a more practical way. Let's make them feel that they are not studying, they are playing.
By doing so they will not only play they will learn a lot more. Making a  game can teach than much other skill apart from subjects.
For example self-defense cooking and architecture.</t>
  </si>
  <si>
    <t>The solution can benefit the middle schoolers by:
1. Engagement with technology in a constructive way.
2. Simplified learning of complex problems such as area, volume calculations in maths.
3. Translation of theory to practical learning.</t>
  </si>
  <si>
    <t>Being a middle schooler who currently faces this issue, I believe that given this opportunity I will be able to work on the design better and devise a product that will be desirable by a vast majority of users.</t>
  </si>
  <si>
    <t>https://enpower-school.com/wp-content/uploads/elementor/forms/5feac283d7eb1.pdf</t>
  </si>
  <si>
    <t>December 29, 2020, 11:15 AM</t>
  </si>
  <si>
    <t>IFT040</t>
  </si>
  <si>
    <t>familysuneet@gmail.com</t>
  </si>
  <si>
    <t>in the recent happenings the curriculum only focusses on theoretical knowledge rather than focusing on essential skills required for the upcoming competitive world.</t>
  </si>
  <si>
    <t>the current subjects only focus on academic knowledge and the students not understanding the real meaning of what they are actually studying. There should be more focus on the skill development for future of students. The majority of the focus is only on the marks and grades rather than learning and understanding of the topics and student’s ideas and thoughts are not well entertained.</t>
  </si>
  <si>
    <t>this user group  would be defined as the students from the age of 10 and above.</t>
  </si>
  <si>
    <t>this problem is a long term problem which can affect any or every student’s future and this has to be solved and understood by everyone to be accepted that this problem is actually a major and very delicate problem and is needed to be solved as soon as possible.</t>
  </si>
  <si>
    <t>the education board should change the curriculum from the theoretical knowledge to practical knowledge and should be very well discussed by the board and also take suggestions from the teachers and students. The teachers should be well trained and should encourage students thoughts, ideas, and doubts.</t>
  </si>
  <si>
    <t>this solution reduces mental pressure on students and also opens a window of curiosity and students also understand the topics thoroughly.</t>
  </si>
  <si>
    <t>we are the people from the user group and we face these problems regularly and would like these to be solved and would appreciate learning more than ever.</t>
  </si>
  <si>
    <t>December 21, 2020, 2:50 PM</t>
  </si>
  <si>
    <t xml:space="preserve">The have not come up with the solution to change the eduction system, they want eduction syatem to change from theoratical way to more skill based but how, no solution given </t>
  </si>
  <si>
    <t>IFT407</t>
  </si>
  <si>
    <t>evas100703@hityash.org</t>
  </si>
  <si>
    <t>We have history lessons, but we learn the history of yesteryear.In our free we talk about everything this is happening in the world right now: about politics, about wars, about fight between, countries.</t>
  </si>
  <si>
    <t>Anyone can read the news from sites that could be lies, but how do we know it's true and not a false? And how does he not look stupid in an argument?
So we want to spread our idea to the whole world, so that everyone knows what happens in his country, even in the world where he lives and will think more globally.</t>
  </si>
  <si>
    <t>School students from fifth grade to senior year.</t>
  </si>
  <si>
    <t>Because everyday we meet a teenagers  that argument about politics. We want to talk about it in the right way.</t>
  </si>
  <si>
    <t>To add a lesson that we want to call "Current affairs".</t>
  </si>
  <si>
    <t>We'll can know a lot off things about our world and we'll know how we need to talk about it.</t>
  </si>
  <si>
    <t>Because we think that teenagers can change the world in the good way, but the can't do it without knowledge about our world.</t>
  </si>
  <si>
    <t>https://enpower-school.com/wp-content/uploads/elementor/forms/5fee0dbdb712a.pptx</t>
  </si>
  <si>
    <t>December 31, 2020, 11:13 PM</t>
  </si>
  <si>
    <t>The entry is from Isarel they want to have current affairs as topoc in the education system, which is great idea. But they haven't explained how, they have mentioned they will suggest to Minstry of education</t>
  </si>
  <si>
    <t>IFT419</t>
  </si>
  <si>
    <t>eva.gold.03@mail.ru</t>
  </si>
  <si>
    <t>Students need to choose their major courses without having a chance to learn the basics of all the different areas. So they are choosing the major courses based on hearsay and not base on personal experience. this leads to inappropriate career choices for them, which leads to a waste of time and money in the future on retraining in universities.  Also to a loss of interest in learning, because they do not know what is right for them, and what they have chosen to study is not suitable for them</t>
  </si>
  <si>
    <t>in the tenth grade, each student must choose a subject for the exam.  For this he is given a choice from a number of subjects.  During the first two weeks, he attends trial classes and after that he chooses a subject to study.  The problem is that it is impossible to understand whether you like this subject or not if you attended only one lesson, having received the slightest information.  This leads to the wrong choice of subject.  choose either which is easier or where the majority go.Thus, the student does not choose those subjects that he might like, that could help him with the choice of life.</t>
  </si>
  <si>
    <t>primary school students, high school students, and most importantly high school students</t>
  </si>
  <si>
    <t>Research shows that more than 40 percent of people in the World do not work in their profession.  57 percent tried to work, but then quit.  All due to the fact that they did not know what they truly love.  If all people knew what they want and would do their job with love, then this would improve the performance of the country economy .  On a personal level, students would find their place in life and do what they love.</t>
  </si>
  <si>
    <t>1) From the first to the ninth grade, establish the compulsory study of subjects in different areas of the exact and humanitarian sciences. (So that the student gets acquainted in detail with each subject and understands what is interesting to him. It is also useful for general development).  
2) There will be a problem with a shortage of teachers and overloaded schedules.  In this case, you need to involve outstanding students in various subjects and give them the opportunity to teach in the lower grades.  It will also be of interest to students of pedagogical universities, for whom teaching at school will be an excellent practice. 
 3) after the ninth grade, continue to study different subjects, but do them at will.  By this time, in nine years, the student will understand what he likes and what he wants to do, and he will also have the opportunity to attend other subjects in order to receive a diversified education</t>
  </si>
  <si>
    <t>1. Continuous memorization of exam assignments for subjects that the student does not like
  2. Constant anxiety and stress due to the upcoming choice
  3. Waste of time and money on additional preparation for the exam.
  4. Potential failure in the exam and loss of admission.
  Loss of interest in school and education 6) Lack of understanding of what you really like and what you will do in the future.  all of this could be avoided if we give time and opportunity to the student, during his school years to understand what he is good at and what he would like to do in order to improve his strengths</t>
  </si>
  <si>
    <t>In the modern world, first of all, a versatile education and high performance are important.  High performance is impossible without love for work, my idea is aimed at just that.  It is aimed at improving educational attainment and versatility.  Also, it will not incur large financial costs and will improve the life and education of not only pupils, but also students.  Also, this idea would solve an actual problem for most students who have not found themselves.</t>
  </si>
  <si>
    <t>January 1, 2021, 12:50 AM</t>
  </si>
  <si>
    <t>IFT099</t>
  </si>
  <si>
    <t>epickjalan123@gmail.com</t>
  </si>
  <si>
    <t>Redefining education. Education is very much important . It decides the future of country .</t>
  </si>
  <si>
    <t>Students nowadays don't come to school to study they come for giving exams and getting marks. There are many poor children who are not financially capable to get education . Many poor students just take admission and then don't go to school . Students nowdays don't behave propry with their elders . The education system should be redefined</t>
  </si>
  <si>
    <t>This problem is faced by every child in our country . The problem is related to all poor children who are unable to study , it is related all children who are going to school but not getting quality education. If education system is changed then the future of country can be changed</t>
  </si>
  <si>
    <t>The problem is critical because nowdays if a person has gone to school that doesn't mean he is educated . Students study not to increase knowledge but to get marks . They don't enjoy going to school . They know the things written in books but don't know things related to life and world .</t>
  </si>
  <si>
    <t>My solution is to redefine education in certain ways . Some poorstudents don't go to school because they need money and go to work with their parents . For this schools can have a policy that if a student comes to school reguraly for 2 months then he/ she will get 200 rupees and if he continues till next 2 months then he/ she will get 220 rupees and so on with an increase of 20 rupees . For this school needs money which can be collected through poor children education fund where anybody can contribute .  For education of poor children govt should add 'poor children education tax' on all stationary products and school dresses .that money will be used for educating poor children .  Students nowadays don't behave properly therefore there should be a personality development class  in a week . Teachers don't join govt schools because they get less income , for this govt should give 1 year free rashan ( like rice ,dal ,wheat) 30 kg per month to that teacher.there should be meditation and exercise session on morning so that students will be mentally and physically fit.there should be navigating chip on every student dress so that if they bunk class operator can find them in campus. For projects students should be given prize or awards because it encourages them to do the projects.</t>
  </si>
  <si>
    <t>The students will enjoy going to school . They will behave properly . Poor children will get access to education . Students will be mentally and physically strong .</t>
  </si>
  <si>
    <t>Because I am also a student and I face these problems in my day to day life . I also don't like to study if the teacher only don't takes interest to teach. The teachers should also be interested to teach then only students will take interest and interact with teacher.</t>
  </si>
  <si>
    <r>
      <rPr>
        <rFont val="Calibri"/>
        <color rgb="FF1155CC"/>
        <sz val="11.0"/>
        <u/>
      </rPr>
      <t xml:space="preserve">https://enpower-school.com/wp-content/uploads/elementor/forms/5fe6df28ca5c0.jpg , https://enpower-school.com/wp-content/uploads/elementor/forms/5fe6df28cc781.jpg , https://enpower-school.com/wp-content/uploads/elementor/forms/5fe6df28cce65.jpg , </t>
    </r>
    <r>
      <rPr>
        <rFont val="Calibri"/>
        <color rgb="FF1155CC"/>
        <sz val="11.0"/>
        <u/>
      </rPr>
      <t>https://enpower-school.com/wp-content/uploads/elementor/forms/5fe6df28cd4a3.jpg</t>
    </r>
  </si>
  <si>
    <t>December 26, 2020, 12:28 PM</t>
  </si>
  <si>
    <t>IFT421</t>
  </si>
  <si>
    <t>elisham232@gmail.com</t>
  </si>
  <si>
    <t>Elisha</t>
  </si>
  <si>
    <t>the problem the most of the teachers are teaching a lot worse in the covid-19 and this is a real problem for the students</t>
  </si>
  <si>
    <t>the problem the most of the teachers are teaching very bad in the covid-19 and this is a real problem for the students because the life will not make them discount in work just because they not learn in school during covid-19. give or take they are need to learn becaude schools is important for us all and in the current situation the learning is very very bad</t>
  </si>
  <si>
    <t>all the teaching and learning groups around the gloube and more precisely all the classes teachrs and studens around the world.</t>
  </si>
  <si>
    <t>we believe that children are the future humanity. If we teach them the best, Humanity can go even further. For that, school lessons are critical. we want to help teacher make them the best.</t>
  </si>
  <si>
    <t>our solutine in a site with collection of accessories to use in class, More content will be uploaded by teachers + students.
“Shopping List”: A teacher can create a lesson with the site</t>
  </si>
  <si>
    <t>the prodect will givew benefit because the studens will bwe more happy to go to classes and to the teacher is gonna be easyer to teach a class</t>
  </si>
  <si>
    <t>because i'm a student my self and i know what is the best for us.</t>
  </si>
  <si>
    <t>https://enpower-school.com/wp-content/uploads/elementor/forms/5fee447cbbf78.pptx</t>
  </si>
  <si>
    <t>January 1, 2021, 3:07 AM</t>
  </si>
  <si>
    <t>IFT186</t>
  </si>
  <si>
    <t>eishu2810@gmail.com</t>
  </si>
  <si>
    <t>The topic that we the Entrepreneur friends are working on is redefining education.</t>
  </si>
  <si>
    <t>The description of the problem are the problems teachers face mainly with the online classes being conducted and with offline or live classes.​</t>
  </si>
  <si>
    <t>The user group who's problem we are going to solve is the teachers.</t>
  </si>
  <si>
    <t>The critical need to solve the problem is because it reduces the stress built up while a teacher is teaching and stress related to school which the teacher is facing while they are not teaching.</t>
  </si>
  <si>
    <t>There are many solutions depending on the sub divisions the main problem has. one of them is the school allotting classes to specific students who are weak in a particular subject.</t>
  </si>
  <si>
    <t>this will reduce the stress that teachers face while working. this will also make it easier for the teacher to handle students.</t>
  </si>
  <si>
    <t>I think this because I believe in the Entrepreneur friends. This is because we had a lot of discussion and also had some casualties along the way but we are still here. standing tall.</t>
  </si>
  <si>
    <t>https://enpower-school.com/wp-content/uploads/elementor/forms/5feb419218189.pptx</t>
  </si>
  <si>
    <t>December 29, 2020, 8:17 PM</t>
  </si>
  <si>
    <t>IFT443</t>
  </si>
  <si>
    <t>edenst14@naamatlod.edum.org.il</t>
  </si>
  <si>
    <t>Jobli is a social network designed to empower and
connect working teens during the recruiting process,
increase competitive job offerings, and help create a safe
work environment by eliminating violation of rights and
abuse by employers and personnel companies.</t>
  </si>
  <si>
    <t>we found that many teen workers are feeling insecure and vulnerable in the job market. many of them are exploited, and they וnaware of their rights  when they seek for a job.</t>
  </si>
  <si>
    <t>Teen age workers. 15-18 years old</t>
  </si>
  <si>
    <t>Young people know very little about their rights, and they find it hard to demand what is legally theirs. Most are employed on the “black market,” and this increases exploitation by their bosses. Jobli has the potential to change the status of youth in the job market</t>
  </si>
  <si>
    <t>Jobli is a social network designed to empower and
connect working teens during the recruiting process. by ranking  his or her workplace we'll increase competitive job offerings, and help create a safe
work environment by eliminating violation of rights and abuse by employers and personnel companies.</t>
  </si>
  <si>
    <t>Jobli changes the balance of power: From now on, employers will
have to make an effort to improve their ratings.
Jobli will improve the status of young people in the labor market by
means of this tool, which they already know from other
applications.</t>
  </si>
  <si>
    <t>as a teen workers we know how important this platform can be. it could change the  balance of power, and there is no platform like ours in the market.</t>
  </si>
  <si>
    <t>https://enpower-school.com/wp-content/uploads/elementor/forms/5ff18402b4d9d.pdf</t>
  </si>
  <si>
    <t>January 3, 2021, 2:15 PM</t>
  </si>
  <si>
    <t>idea is to make a job portal for the students. insternship and summer job type program</t>
  </si>
  <si>
    <t>IFT600</t>
  </si>
  <si>
    <t>dpsman11029@gmail.com</t>
  </si>
  <si>
    <t>Vashishtha</t>
  </si>
  <si>
    <t>9837780500, 7017025630</t>
  </si>
  <si>
    <t>During winters, we generally notice that ceiling fans are not in use for approximately 3-4 months which lead to wear and tear of their complex parts and thus increases the maintenance cost.</t>
  </si>
  <si>
    <t>During winters, people generally buy costly heaters and let their ceiling fan at rest. It harms people in both ways i.e., when fan and heaters are at rest they increase the maintenance cost and the efficiency of motor and heating element decrease, causing people to invest on both every season.</t>
  </si>
  <si>
    <t>In this pandemic, people from every strata of the society are facing economic crisis one way or the other. This solution which we have prepared is easily available and affordable to everyone, especially, 'middle class'.</t>
  </si>
  <si>
    <t>This pandemic has let the businesses, manufacturing industries and also other infrastructure almost shut down and would take long time to get back to their original position as they were earlier. So people in future would surely be looking for an asset that is easily available and affordable to everyone and also of daily use. Moreover, this product has its own scientific importance as this is combo of fan and heater that would work at same power without any other fault or failure leading to less investment and care.</t>
  </si>
  <si>
    <t>We have designed a ceiling fan (a combination of heater and fan) that will work in both the seasons (summer and winter) in India.
This will help in-
Saving of the seasonal maintenance cost.
Since one does not need to buy the room heater separately it will save the cost of buying a new room heater.</t>
  </si>
  <si>
    <t>Our solution gives a distinct benefit to users or reduce their pain as
1. Since the fan will work in both the seasons there are less chances that motor will get corroded. 
2. Less chances of corrosion means less chances of decrement of efficiency of the motor. 
3. Saving of the seasonal maintenance cost.
4. Since one does not need to buy the room heater separately it will save the cost of buying a new room heater. 
5. Room heaters also take some space on floor and also one has to take care that there is no flammable substance placed nearby the room heater placing the room heater on ceiling will cover this problem.</t>
  </si>
  <si>
    <t>We feel that we are the best equipped to offer this solution because this solution or product has not been put forth or considered by any organization or individual and we hope that we are the first to work on this concept. We hope that we have worked our best towards providing a device to benefit others.</t>
  </si>
  <si>
    <t>https://enpower-school.com/wp-content/uploads/elementor/forms/5ff892bdb451a.pdf</t>
  </si>
  <si>
    <t>January 8, 2021, 10:43 PM</t>
  </si>
  <si>
    <t>IFT094</t>
  </si>
  <si>
    <t>divijchawla7@gmail.com</t>
  </si>
  <si>
    <t>This is a major issue in todays time, students do not have devices to take their online classes on and are missing on their education.</t>
  </si>
  <si>
    <t>Many students  are missing out on their online classes and education because they dont have the devices to do so and can not afford a smartphone or laptop.At least 27% students do not have access to smartphones, laptops for online classes, according to a  NCERT survey</t>
  </si>
  <si>
    <t>The user group whose problem we are attempting to solve is the 27% of all students who do not have access to devices such as smartphones laptops etc. for online classes</t>
  </si>
  <si>
    <t>This problem is critical because the education of these students has already suffered a lot and with the new covid strain schools will probably not open for some mure time and and the education of these students should not suffer more.</t>
  </si>
  <si>
    <t>Our idea is to to make a very cheap device with a decent microphone and camera so that even the poor children can afford it for their online classes, it will have all the ncert books built in for the students.</t>
  </si>
  <si>
    <t>Our solution will help the students get a device on which they can study on and take their online classes on for a phenomenal low price, and the economically weaker students studies wont suffer anymore.</t>
  </si>
  <si>
    <t>It is not about best equipped to solve a problem but about conceptualizing the solution and having it implemented to achieve the desired result. If given the chance we will achieve it.</t>
  </si>
  <si>
    <t>December 25, 2020, 9:35 PM</t>
  </si>
  <si>
    <t>IFT595</t>
  </si>
  <si>
    <t>devs.solvrz@gmail.com</t>
  </si>
  <si>
    <t>The most important thing in the world is education. Nothing is as priceless as education. But due to Covid-19 students have suffered tremendously. Online classes, not following a timetable and other factors has had a deep impact on the education of students. But have you ever thought of who, despite all these factors, are still not able to get the education they deserve? Children with disabilities.</t>
  </si>
  <si>
    <t>Children such as the visually impaired, children with hearing loss, etc face a lot of difficulties while expressing their ideas and thoughts to others. Even teachers and other students face a lot of difficulties while conversing or teaching them. Due to all these problems and difficulties, specially-abled children cannot get the education they deserve and want.</t>
  </si>
  <si>
    <t>The users here are the specially-abled children who need a hearing, speaking or visual aids for education, and in this problem, we are providing them with educational aids so that they can learn in the way they that suits them best, braille for blinds, sign language for the deaf, text to speech for dumbs, they constitute a large workforce and providing them with these aids and converting them into assets is very essential</t>
  </si>
  <si>
    <t>The problem is very critical as it targets a very sensitive segment of the society, the children who are given lives but with some disadvantages due to which educating them becomes a little difficult, and its high time that we start providing these children with aids to convert their disadvantages to advantages, they constitute a large workforce and their integration in the frontline workforce is very essential for the all-round development for the society and this solution provides them with the base to prevent them from alienation and integrate them to the mainstream and convert them into assets.</t>
  </si>
  <si>
    <r>
      <rPr>
        <rFont val="Calibri"/>
        <color rgb="FF1155CC"/>
        <sz val="11.0"/>
        <u/>
      </rPr>
      <t xml:space="preserve">The solution we are offering would allow all students (disabled and non-disabled) to sit together in one classroom and share the facilities and the same quality of education. For visually impaired students we are offering a device called BrAid which is a keyboard-sized portable device that would convert what others are saying and what is written on the whiteboard to Braille text so that the visually impaired can interpret it. The student would be able to feel the Braille cells as there would be a pop-up mechanism that would allow the dots to pop out. When a student writes in Braille script then it would be converted to English text so that the teacher can understand it. And the second device we are offering is called SignUs which is meant for the students with hearing loss. As these students cannot interpret what others are saying, don’t worry our device SignUs is there for the rescue. It converts what others are saying to ASL (American Sign Language) which is easily interpretable by the students with hearing loss.
Link to the video demonstration -&gt; </t>
    </r>
    <r>
      <rPr>
        <rFont val="Calibri"/>
        <color rgb="FF1155CC"/>
        <sz val="11.0"/>
        <u/>
      </rPr>
      <t>https://drive.google.com/drive/folders/18QCYM6tgcCprMggFQ818XWWfZcsFinzB?usp=sharing</t>
    </r>
  </si>
  <si>
    <t>The students who are visually impaired get relief with our product because now they can get the education and the environment they always hoped for. The main problems that they faced were conversing with each other, making notes and writing exam/tests. Which is now made possible with our product BrAid. The main struggles of the students with hearing loss were that they cannot easily understand what others are saying and convey their thoughts and ideas to others. As our product SignUs converts text to ASL and ASL to text it would be a huge relief for both communities to converse with each other. The teachers will also be much more relieved as they won’t have to learn any new languages to teach/educate students with such disabilities.</t>
  </si>
  <si>
    <t>We are the best equipped to offer this solution as we have taken interviews of disabled children and gained deep insight into their life and education and how they feel about online education and the new normal and how the improvements they wish they could make.</t>
  </si>
  <si>
    <t>January 8, 2021, 12:19 AM</t>
  </si>
  <si>
    <t>Good idea but no proposal</t>
  </si>
  <si>
    <t>IFT634</t>
  </si>
  <si>
    <t>dev.chiragbhansali@gmail.com</t>
  </si>
  <si>
    <t>Students don’t like to learn by re-read material multiple times to score in exams. Interaction and assessment are absent in virtual classrooms and hence, there are gaps in a student’s knowledge.</t>
  </si>
  <si>
    <t>Repetitive reading is pretty commonly used as a method for knowledge retention. However, it isn’t the only aspect of learning. Simply re-reading the same thing repeatedly and expecting better retention might appear a good learning practice but it doesn’t make the subject engaging. According to research conducted by the University of Texas and the University of South Australia, online quizzes provide students with supplementary self-paced interactive learning resources. 
Not just the students, but even teachers are facing problems. In virtual classrooms, there is rarely any student-teacher interaction and they might not have the best understanding of the student’s strengths and weaknesses.</t>
  </si>
  <si>
    <t>Our target audience consists of students and teachers of schools, coaching institutes, and universities. We plan to sell our product to institutions where they can upload their content and allow their students and teachers to use the platform.</t>
  </si>
  <si>
    <t>The above-mentioned problems did exist in a pre-pandemic world but weren’t visible and apparent to most stakeholders. However, virtual classrooms have highlighted this problem and there is a dire need for solutions. It has become difficult for most students to focus on virtual classes. Lack of focus for the majority of the semester is leading to a chink in the armor of a student’s knowledge. Similarly, teachers are having a tough time engaging the students and regularly assessing student’s concepts and knowledge. Virtual classrooms are here to stay for an indefinite period in many parts of the world. Students must learn concepts properly and retain them without mugging up.</t>
  </si>
  <si>
    <t>To solve the above-mentioned problems, we are building a platform to create live quizzes and slides, question banks, and assignments. Students can attempt the questions from the question bank repeatedly until they have a clear understanding of the underlying concepts. They can play a live quiz with their friends to learn competitively and collaboratively. Our prototype will primarily consist of MCQs as they help in analyzing and detecting the patterns of incorrect responses thus enabling the examiner to understand where the student is facing problems and which concept is not clear to the student. When done right it can help students broaden their horizons to higher-order thinking such as application, integration, and evaluation. An interactive platform to attempt questions is a necessity to ensure students remain engaged and enjoy the process. Gamification is closely integrated with our product and will help our users to achieve their goals more engagingly.
The question banks and assignments will be created by the teachers. They can analyze the performance of each student and can gain various insights, which wouldn’t have been available in a basic virtual class setup. Once we get the required amount of student performance data, we will be able to use machine learning to get even more useful insights for both students and teachers.</t>
  </si>
  <si>
    <t>The key features of our product are live quizzes, question banks, and gamification. 
Live quizzes let students know where they’re wrong as they provide instant results. This gives students a direction to the areas in which they ought to improve and form a strategy for the same. It creates a sense of competitiveness and motivates the students to challenge themselves further.
The purpose of question banks is to provide an extensive amount of practice questions to students that they feel confident about their study material. It will help in the centralization of practice resources, instead of having to refer to tons of printed material. Moreover, results from the question bank can help the students to analyze their performances in a manner that wouldn’t be easily possible otherwise. 
Gamification creates an addition to learning and it makes learning fun and interactive. It offers real-time feedback and meaningful targets for students. Also, it enhances the learning experience and elevates the level of engagement in classrooms.</t>
  </si>
  <si>
    <t>We believe that we are best equipped to develop such a solution as we are students and have experienced these problems. Moreover, as students, we have conversations with teachers and have tried to understand their problems as well. After developing a prototype, we can quickly gather feedback from fellow students, and teachers and rapidly iterate on the product’s features. Such a feedback loop will help our idea achieve product-market fit quickly.</t>
  </si>
  <si>
    <t>https://enpower-school.com/wp-content/uploads/elementor/forms/5ffb470656147.pdf</t>
  </si>
  <si>
    <t>IFT639</t>
  </si>
  <si>
    <t>deorepushkar2305@gmail.com</t>
  </si>
  <si>
    <t>Pushpak</t>
  </si>
  <si>
    <t>Deore</t>
  </si>
  <si>
    <t xml:space="preserve">R. C. Patel Secondary School Shirpur
</t>
  </si>
  <si>
    <t>In our day to day life we must faces severe problems of contaminated water i.e. Water pollution.</t>
  </si>
  <si>
    <t>In the water pollution there are main source of religious waste. It is most serious problem. We can not be disposable them. In your Hinduism there are most value for dry coconut. After work the husk of coconut gone in waste. But it has most soil nourishment nutrients.</t>
  </si>
  <si>
    <t>The user group of problems are farmers. Farmers are father of our India as we know but due to day by day the artifical things destroying them. The mother land i.e. Soil become very acidic due to artifical and chemical fertilizer that are used to grow crops.</t>
  </si>
  <si>
    <t>Yes the problem of chemical fertilizer are most critical. Day by day the 1/3 soil become extremely acidic and infertile. The problem that we face in future generations are most critical and hazardous to our human health.</t>
  </si>
  <si>
    <t>From the religious garbage we make a powder fertilizer that helps to farmers also environment to reduce the infertility of soil and reduction of pollution. The name of powder fertilizer is cocopeat. It is totally made from eco-friendly product coconut husk.</t>
  </si>
  <si>
    <t>The cocopeat contains the more NPK rather than chemical fertilizer products. Also the cocopeat increase the growing speed of crops</t>
  </si>
  <si>
    <t>The idea that we think is more profitable because there is no cost for collecting cocopeat. Also the products that we make in totally eco-friendly. And the products results are beneficial for farmers</t>
  </si>
  <si>
    <t>https://enpower-school.com/wp-content/uploads/elementor/forms/5ffbfb00ca13b.pdf</t>
  </si>
  <si>
    <t>January 11, 2021, 12:45 PM</t>
  </si>
  <si>
    <t>IFT067</t>
  </si>
  <si>
    <t>deepikasanjeev3@gmail.comdeorepushkar2305@gmail.com</t>
  </si>
  <si>
    <t>9254710727, 9817336367</t>
  </si>
  <si>
    <t>Redefine - to change the way you think about a situation because of developments of new ideas.
Education - is the process of facilitating learning or the acquisition of knowledge, skills, values, beliefs, and habits.
One of the most profound statements that we hear especially from the Educationists the world over, refers to "Education" as the most powerful means of empowerment. In simple words, it should mean that an individual, after getting educated, is in a position to lead a meaningful and productive life, and is fully equipped to face and indeed, solve all challenges that life brings. It, therefore, presupposes that "Education" a person goes through during the formative years of his life, has a strong connect with real-life situations and that he acquires the necessary skills to handle them.
We all know that this is far from the truth. The paradigm of education currently is structured only to score marks, prepare for competitions and is essentially directed towards facilitating better livelihood. Let us objectively examine the possibility of bringing in certain specific interventions and changes that will make "Education" more meaningful.</t>
  </si>
  <si>
    <t>ENpower</t>
  </si>
  <si>
    <t>As Education is What Makes a man</t>
  </si>
  <si>
    <t>"Learning is not a chore, so why do we consider it to be? Not all students are academic achievers, so why do we expect them to be? Since decades, education has been a business of developing intellect, which has adversely affected the society. Knowledge is no longer liberating and we need to explore something beyond that. In the brainstorming seminar titled 'Education without Borders', educators discussed the meaning and importance of holistic education. They concluded that focusing on humanity and psychologically impacting students are essential for mankind's progress. "In these 25 years, we've tried innovative ways to determine what is true education...It's not just about making a career and earning money, We thought of bringing educators together on a common platform to define education again. We need to determine the kind of knowledge we need to provide for students to have a meaningful existence."</t>
  </si>
  <si>
    <t>As i Think my Idea can help to find solution to this problem .</t>
  </si>
  <si>
    <t>https://enpower-school.com/wp-content/uploads/elementor/forms/5fe43823037d5.pptx</t>
  </si>
  <si>
    <t>December 24, 2020, 12:11 PM</t>
  </si>
  <si>
    <t>IFT019</t>
  </si>
  <si>
    <t>d.k.g9911004209@gmail.com</t>
  </si>
  <si>
    <t>BHarti Public School</t>
  </si>
  <si>
    <t>problem is regarding schooling system of india which resulted in the growing of these comman problems stated below;
1. the mindset of current youth.
2.  lack of general knowledge and creative ideas in students.
3. lack of practical and analytical thinking.
4. problem of losing temperament.
5. problem of stage phoebia and speaking up in the public.
6. lack of initiatives to lift up our nation to a new high.</t>
  </si>
  <si>
    <t>problem is that the school are just focusing on a child's academics performance rather than focusing on building their inbuilt talent like they are just teaching us unnecessary things which by default a student has to mugg up and vommit it out    in their exams rather than this they have to focus on the basic things and values a child should know being a citizen and how to act in a specific situation.</t>
  </si>
  <si>
    <t>INDIAN EDUCATIONAL SYSTEM
ALTHOUGH IT WILL BENEFIT OUR NATION ONLY AS BY REFORMING THIS EDUCATIONAL SYSTEM INDIA CAN PRODUCE MORE GEMS LIKE KALAM SIR AND NOT JUST BOOK WORMS.
WHO JUST WORK 9 TO 6 AND LACKS IN BASIC ADDEQUATE AND ALSO DOESNT KNOW THEIR DUTIES TOWARDS THEIR NATION.</t>
  </si>
  <si>
    <t>BY SEEING INDIA'S CURRENT YOUTH AND CHILDREN OF MY AGE AS THEY LACK THAT SHINE OR THAT BURNING FLAME WHICH IS URGENTLY NEEDED TO LIFT UP THIS NATION AND IT'S STANDARD.</t>
  </si>
  <si>
    <t>SOLUTION IS..
BY INCREASING THE RATIO OF THE TIME GIVEN TO ACTIVITES WHICH ENHANCE A STUDENT'S SPEAKING ABILITY LISTENING ABILITY  THEIR CONFIDENCE IN SPEAKING IN THE PUBLIC THEIR KNOWLEDGE ON ONGOING ISSUES IN THE COUNTRY 
THEIR BODY LANGUAGE WHILE TALKING THEIR WAY OF SPEAKING THEIR  DECISION MAKING SKILLS THEIR CREATIVITY ETC.
LIKE A STUDENT SPEND 6 HOURS IN ITS SCHOOL AND THAT 6 SHOULDD BE CONSUMED WISELY AS BY GIVING ONLY 3 HOURS TO ACADEMICS BY GIVING 2 HOURS THE PERSONALITY DEVELOPMENT PERIOS AND BY GIVING 1 HOUR TO SPORTS...
SO BASICALLY RATIOS SHOULD BE 50% ACADEMICS
30% PERSONALITY DEVELOPMENT OR MANY THINGS WHICH HAS BEEN TOLD ABOVE
AND REMAING 20% ON SPORTS
OR IT CAN BE MADE IN DIFFERENT PATTERNS LIKE IN ALTERNATIVE DAYS PATTERN..
BUT EDUCATIONAL SYSTEM SHOULD ENSURE THAT A STUDENT IS GETTING BASIC VALUES WHICH WILL BE HELPFUL IN HIS LIFE AND ALSO IMPACT ON A STUDENTS MINDSET SO THEY CAN BE FRUITFUL TO THEIR NATIONS....
AND IT IS A VERY DETAILED CONCEPT (LIKE REDUCING EXAMS CHANGING EXAMS PATTERN REDUCING STRESS FROM THE STUDENTS BUT ENHANCING THEIR OVERALL ABILITIES) SO 
 IF I GET AN OPPUTUNITY I WILL SHARE MY THOUGHTS AND THIS IDEA IN DETAIL....</t>
  </si>
  <si>
    <t>AFTER REFORMING EDUCATIONAL SYSTEM UPTO MY CHANGES.....
A MAJORITY OF YOUTH WILL NOT BE MUGGED UP WITH THE BOOKISH KNOWLEDGE ONLY BUT RATHER THEY WILL ALSO  BE HAVING ENOUGH KNOWLEDGE TO SOLVE THEIR NATION'S PROBLEM AND THEY WILL ALSO HAVING GREAT KNOWLEDGE AND IDEAS AS THEY HAVE BEEN FEEDED WITH THE BASIC VALUES ALSO THERE INBUILT TALENT WILL NOT BE GET RUST RATHER THEY WILL DO WELL IN THEIR RESPECTED FIELD OF INTEREST.</t>
  </si>
  <si>
    <t>BECAUSE I AM A STUDENT AND I AM ALSO GOING THROUGH THIS PROBLEM AND ALSO OBSERVED A LOT THIS PROBLEM IN THE STUDENTS.</t>
  </si>
  <si>
    <t>https://enpower-school.com/wp-content/uploads/elementor/forms/5fd9f88459dd8.jpg</t>
  </si>
  <si>
    <t>December 16, 2020, 5:37 PM</t>
  </si>
  <si>
    <t>IFT093</t>
  </si>
  <si>
    <t>contactparulagarwal@gmail.com</t>
  </si>
  <si>
    <t>The problem is that people are not techy . We think that everybody should have online virtual reality systems so they can have better learning</t>
  </si>
  <si>
    <t>People are not sending their children to school and that problem should be improved . The government is focusing on many channels like [SWAYAM PRABHA DTH Channel] that help the students who don't have access to internet. People aren't understanding that life with internet would be so cool and easy to handle and manage.</t>
  </si>
  <si>
    <t>There is not such user or group whose problem we are attempting to solve. Everybody in life needs such technology to prosper in life and make it very easy to handle.Like it edutech is gaining popularity that any other thing</t>
  </si>
  <si>
    <t>Yes, we believe that this problem needs an urgent solution because technology is increasing and we need to start living with it . We think that technology is more involving the child's interest.The more the time it the takes the more the affect it takes.</t>
  </si>
  <si>
    <t>Our solution is to use Virtual Reality . It is the reality or the future of any developing country . It has improvement to quality of core academic subjects , focusing on cultivating the skills needed to be thrown in the world.It ensures quick and on time access to information in very little time. It also has some decrease in educational costs.</t>
  </si>
  <si>
    <t>It gives a benefit to users to reduce their pain as it boosts the mood and help users to memorize faster and it represents the next revolution of education.and it also helps the students to learn faster then traditional textbooks or videos.''School is not just end for students but a ladder to opportunities''.</t>
  </si>
  <si>
    <t>''Education is not preparation for life it is life itself''. We think that we are the best equipped to offer to solve this as We our self have faced it so we know to describe it and everybody faces some problems in technology that may lose a big thing to them so why not we give youths opportunities to pace in technology so they don't face the problem that we all are facing till now.</t>
  </si>
  <si>
    <t>https://enpower-school.com/wp-content/uploads/elementor/forms/5fe5fba61d604.pdf</t>
  </si>
  <si>
    <t>December 25, 2020, 8:18 PM</t>
  </si>
  <si>
    <t>IFT389</t>
  </si>
  <si>
    <t>clrcletrusor@gmail.com</t>
  </si>
  <si>
    <t>in this pandemic online modes of education are taking place due to which we can even see the results where most of the students are getting 90% and above through  unfair means because one who used to get average percentage or even below average percentage just within 1 or 2 months can get above 90% so why the students are using unfair means only because they want to get good score and as they are pressurized to get good scores they use unfair means . Even when the schools was opened or when the school will reopen , in case of many students the schools pressurize students for Exams , Homeworks , etc . Due to which the students get stressed and even sometimes their health detroites . So , unknowingly the students are harmed</t>
  </si>
  <si>
    <t>due to this pandemic situation many of the students are using unfair means to pass the exams due to which they are actually lacking the basic knowledge which they actually get at their school level so when the students tries to appeal for job interview they are unable to get that job as during their childhood level or teenage level they lacks the basic knowledge and even the basic techniques</t>
  </si>
  <si>
    <t>basically there is no particular user group . I am actually trying to indicate the young youth who wants to achieve their dreams just because of their few mistakes which they are doing unknowingly due to which when they will become an adult and will apply for job they will unable to achieve it and they will have to suffer from depression and poverty and ultimately it will be country's economic loss</t>
  </si>
  <si>
    <t>I believe that this problem is critical because due to online or even offline exams students are pressurized to do things which they actually don't want to but  somehow they are just mugging up the studies and giving exams (in case of offline exams) and (in case of online exams) they are just  using unfair means 
but unknowingly   they are lacking their basic knowledge and practical skills due to which their ultimately they will have to face the problems and their future is at risk</t>
  </si>
  <si>
    <t>My solution is that every educational institution should give a form to the students students that will consist of the question or it will question the students that what they are actually interested in and according to that the school will set up the particular slots OR sectors like sports drama cooking etc so now the teachers will challenge the students that if they can score better than their previous percentage in studies with their full concentration and if they want to get ahead of their dream (slots or sectors which they choose for themselves)
then they have to get more than their previous percentages in previous exam and with these co-curricular activities they will also concentrate on studies to get ahead of their dreams.. to go next level of their slots</t>
  </si>
  <si>
    <t>Benefits the user or the young youth by involving themselves in those activities in which they are actually interested will be many  sidewise they are also trying to focus on their studies as in order to pursue the next level of their slot as in my solution it is already mentioned that if they want to pursue the next level of the slot like cooking drama ect. then they have to get better percentage then their previously scored percentage and I  bet that they will have to focus on studies as at the end of the day it's actually their dream which they actually want to achieve and if that particular educational institution gives a proper training of the slots or sectors mentioned above then the students will also get a basic knowledge and technique of their dream job</t>
  </si>
  <si>
    <t>I am not saying that I am the best but I am trying to convey why not take a chance of my given solution for at least four to six months just as a trial then  the teachers will examine the students that what they have actually learnt from it I am basically giving this idea because I feel that it is necessary or I mean that my idea is actually needed because it does not pressurized students to learn what they don't to but actually don't want to but directly it helps the students to get a basic knowledge of their dreams and it indirectly it also fulfills the education part . 
Thank you , I hope you liked my idea</t>
  </si>
  <si>
    <t>https://enpower-school.com/wp-content/uploads/elementor/forms/5fedf7e242f90.mp3</t>
  </si>
  <si>
    <t>December 31, 2020, 9:40 PM</t>
  </si>
  <si>
    <t>The idea is to acheive your interest or passion in school like cooking etc but the students have to pove by getting good marks compared to previous exam marks then only they can pursue the dreams. I disagree to this idea</t>
  </si>
  <si>
    <t>IFT596</t>
  </si>
  <si>
    <t>chakrabortytinku7@gmail.com</t>
  </si>
  <si>
    <t>Poorer students often lag behind in terms of education and skills as they simply can't afford good quality education. Thus, they often end uo being child labourers and poor.</t>
  </si>
  <si>
    <t>The vicious cycle of poverty begins affecting newer generation when the children can't access schools with proper infrastructure and  faculty. They also can't access online learning as it's not affordable for them. This gives rise many to people employed in the unorganised sector which ultimately affects our country. Many talented minds gets wasted.</t>
  </si>
  <si>
    <t>The user group is the Urban and Rural poor children from the age of 6 years to 18 years.</t>
  </si>
  <si>
    <t>It's an urgent problem. Poverty in India, unemployment, unemployability and employment in the unorganised sector are a result of lack of skills and proper knowledge and education. Uneducated or improperly educated people often end up being burden on the society. Thus this needs to be solved.</t>
  </si>
  <si>
    <t>My solution is that cooperatives or corporates take the initiative to soove this problem by giving free vocational education and basic education as well as training and grooming poorer kids. The goods produced by these children during training cources can be sold as this is not any child labour. These skilled people can be employed in the company for less salary upto certain time period after which they maybe fully paid and allowed to leave the job. In this way, the company is getting good employees as well as earning respect from the society and getting returned more than what they had spent on educating and training these children.</t>
  </si>
  <si>
    <t>My solution is easy to implement and adopt and enact. It will secure future of many children with talent if implemented properly. It will develop skills and raise market value of these poor little children in the future. As the children after growing up will have to work for some years in the company that helped them, it would also give them experience and expertise. So they can apply for better jobs in the future. They will get interested in learning and understand the value of education better in this way.</t>
  </si>
  <si>
    <t>I'm the best eqipped to offer this solution because I have a proper plan and help in it's execution if required.</t>
  </si>
  <si>
    <t>https://enpower-school.com/wp-content/uploads/elementor/forms/5ff76aacb7fc8.png , https://enpower-school.com/wp-content/uploads/elementor/forms/5ff76aacb8885.png , https://enpower-school.com/wp-content/uploads/elementor/forms/5ff76aacb8f20.png , https://enpower-school.com/wp-content/uploads/elementor/forms/5ff76aacb9551.png</t>
  </si>
  <si>
    <t>January 8, 2021, 1:40 AM</t>
  </si>
  <si>
    <t>IFT390</t>
  </si>
  <si>
    <t>chai.moriah@reutjerusalem.org</t>
  </si>
  <si>
    <t>Kids are motivated but not to do homework or study extra hard; it is way more comfortable for them to play video games rather than do homework or study.</t>
  </si>
  <si>
    <t>The problem is what you see above, and also the lack of motivation sometimes causes tension between parents and their kids. another something that can happen is that when a child doesn't have a parent always helping with homework, he can go downhill; the child does not have immediate feedback, which means that the teacher may not go over it in class and then he will never know if he was wrong.</t>
  </si>
  <si>
    <t>Our target audience is schoolkids from 1st grade up to 8th grade.</t>
  </si>
  <si>
    <t>We think the problem is urgent because of 
a. Now, because of the coronavirus, many students are in despair (more than ever) concerning assignments because it's more hours in front of a screen.  
b.  Every moment a student does not receive immediate feedback harms him by not knowing that he was wrong and so he is unable to learn from it.</t>
  </si>
  <si>
    <t>Our solution is creating a virtual world computer game that makes old school homework obsolete.
The main idea is to make the game map oriented (like American ToonTown), and each section of the map will be a different school subject. Our goal is to make homework more enjoyable and to help students understand the importance of it.
Each student will get a virtual character that is customizable and will be able to get new accessories if he gives in assignments correctly.</t>
  </si>
  <si>
    <t>our solution prevents helplessness by:
a. making homework more exciting and even enjoyable
b. there will be immediate feedback by the game or teacher (if a student is not sure if he answered correctly, he would be able to get an explanation of the answer to compare with his response, and then he will learn.)</t>
  </si>
  <si>
    <t>We are the most equipped to offer this solution; We are in a professional and supporting environment.
We have help from a Successful high tech Entrepreneur and programmer, and Adi and I are both in a professional  Entrepreneurship program.
Once we proceed to the next step of the contest, we will start working on the app with the programmer.</t>
  </si>
  <si>
    <t>https://enpower-school.com/wp-content/uploads/elementor/forms/5fedf9ef71704.pptx</t>
  </si>
  <si>
    <t>December 31, 2020, 9:48 PM</t>
  </si>
  <si>
    <t>They want to build an app where subject wise quiz and info is there. How will this work for different boards and schools or generic. Byjus has similar general quizz subject wise. They have to explain in much detail.</t>
  </si>
  <si>
    <t>IFT392</t>
  </si>
  <si>
    <t>bverma740@gmail.com</t>
  </si>
  <si>
    <t>Due to Pandemic,Online Education becomes new normal but this is not reachable to all the students due to various reason.</t>
  </si>
  <si>
    <t>Many Students left behind in the education due to pandemic as they are not able to get the online education by any mean like Television or any through electronic medium because they cannot afford it or they are not properly guided.</t>
  </si>
  <si>
    <t>Students who cannot afford the online education or those who are not aware or we can say do not have proper guidance on taking these classes</t>
  </si>
  <si>
    <t>This is very critical issue because education is very important part and ongoing process.Basically for children,education is the foundation for their future and no one can afford gap in this ongoing process.</t>
  </si>
  <si>
    <t>My solution is that those students who are not able to take these classes due to pandemic,these students can be divided in the small groups and one student who is attending online classes can help these students by sharing his/her resources with these students. Some School can also adopt these students and provide them with the online education.</t>
  </si>
  <si>
    <t>Because it is mixing privigiled students with those who are not getting education so it will basically help these students to attend the classes regularly.</t>
  </si>
  <si>
    <t>Because I have obeserved this problem in my nearby area and I even try to help these students and I think if more volunteers will add then we can solve this problem.</t>
  </si>
  <si>
    <t>December 31, 2020, 9:57 PM</t>
  </si>
  <si>
    <t>The idea is privledged kids can share the studies with underprivledge</t>
  </si>
  <si>
    <t>IFT501</t>
  </si>
  <si>
    <t>bsskanda2006@gmail.com</t>
  </si>
  <si>
    <t>Right now 35% people remain illiterate in India. The number of illiterates are almost one-third of the total illiterates in the world. Thus it is a major concern for India.</t>
  </si>
  <si>
    <t>Illiteracy is a state whereby one is unable to read and write. In its simplest form, it can be defined as lack of sufficient education. Illiteracy can also mean ignorance or the lack of knowledge in a specific subject. Problems caused due to illiteracy are- Poor economy, Limited ability to obtain and understand, Lower income, Lower quality jobs, Unemployment of an individual, Less financial security and many more.</t>
  </si>
  <si>
    <t>India’s literacy rate is about 74% - leaving a quarter of the population without basic reading and writing skills. Poverty and illiteracy are closely linked – and with the second largest population in the world, India is home to one-third of all world poverty. It has been estimated that more than half of the nation’s population lacks even basic literacy skills. So we attempting to solve the problem of illiteracy in India.</t>
  </si>
  <si>
    <t>Around 900 million people in the world cannot read or write. 287 million or 37% of the world’s illiterate people are Indian according to UNESCO. While education is everyone’s basic right, severe poverty are denying many learners of world of books and learning. And this is of course affecting the country’s literacy levels. India has the world’s largest population of illiterate people- according to a report by Oxfam. India’s poverty situation is improving but problems related to poor health and low levels of education, unemployment still remain. Hence it is a critical problem and needs an urgent solution.</t>
  </si>
  <si>
    <t>Illiteracy affects all areas of life. Those with low literacy skills are far more likely to live in poverty, face health problems because they can’t read prescription labels or instructions etc. So our solution is to develop an app which is fully offline, free of cost. Which can be downloaded to any electronics like keypad mobiles, screen touch mobiles, tablets, laptops, personal computer etc. The app contains everything in english but the users by selecting their native language, they can translate it to their language so that they can understand their meanings and pronounciation too. After learning the basics they can go through a small examination and by scoring the required marks they can move to the next level. Like this they can slowly complete all the examinations and become literate.</t>
  </si>
  <si>
    <t>A lot of children are raised in households where parents are low-skilled or illiterate, hence by developing this app we can ensure that everyone are able to read and write. And get the basic education which is their right. Illiteracy problem in India can be reduced. This app supports non-literate learners to easily achieve literacy in their native language so that they are capable enough to face the problems in the modern times.</t>
  </si>
  <si>
    <t>As our app will work without internet facility the users as a one time requirement can download the app directly from Google play store or app store. And for the users betterment we can advertise the app in various websites, TV channels and also print in newspapers. So that people are aware of the app and it’s benefits.</t>
  </si>
  <si>
    <t>https://enpower-school.com/wp-content/uploads/elementor/forms/5ff4b31174b67.mp4</t>
  </si>
  <si>
    <t>January 6, 2021, 12:12 AM</t>
  </si>
  <si>
    <t>IFT563</t>
  </si>
  <si>
    <t>biswasdipak15@gmail.com</t>
  </si>
  <si>
    <t>Army</t>
  </si>
  <si>
    <t>Less Basic skills. Focus on extracurricular activities as well. Perfection towards your goal not towards everything because that's impossible.</t>
  </si>
  <si>
    <t>Nowadays children are good at mathematics or science but they aren't good at their communication skills, social skills and curiosity. Extracurricular activities should be something worth important,not that only academics is most important. It should be being perfect at what your goal is not that you have to be perfect at everything.</t>
  </si>
  <si>
    <t>I am basically talking about most of the students in all over India. It isn't that students are nit capable or not worthy, it's just that their interest is either still anonymous or no one to guide it to perfection. Reform will lead to the nature of Indian students as they would have never even thought of. The word boring would have been missing from students words when they speak about education.</t>
  </si>
  <si>
    <t>This problem is critical and it needs an urgent solution because slowly slowly it's being observed that students moral and skills are being vanished. The want and interest in education is fading away. If it's being reformed it may occur that new generation can push pass their limit on another whole level.</t>
  </si>
  <si>
    <t>I would suggest to bring in some new ways so that students will get their basic life skills just so much that they will be able to even develop it on its own. Along with academics extracurricular activities is worth giving and spending time on because it helps in giving moral values to life. There should be a new system which will allow students to study and research on their goals not that they have to study all.</t>
  </si>
  <si>
    <t>Just because I am a partial user so I know much what is perfect to reduce the users pain. This is because to come out of pain I was there alone, but when searched there are just many like me who are still in pain and some who's pain is reduced. So I want to reduce there pain as well just so that the present and next generation would be very much efficient than ever.</t>
  </si>
  <si>
    <t>I think myself to be best equipped to offer this solution because I was a victim of the present problem, so I am knowing what goes on being in this critical situation. Although I wouldn't take all the credit because there are many like me who were able to get out of this problem alone and I also got help from them.</t>
  </si>
  <si>
    <t>January 7, 2021, 8:09 PM</t>
  </si>
  <si>
    <t>IFT506</t>
  </si>
  <si>
    <t>bhavyapro98@gmail.com</t>
  </si>
  <si>
    <t>STUDENT PAIN POINT IN ONLINE EDUCATION :
1) Uninterested Learning
2) Disordered Time
3)keep up with the class
4) Long screen time
TEACHER PAIN POINTS IN ONLINE EDUCATION :
1)make ppt's in every session
2) manage student assignments and files
3)manage students in class
4) other personal things
STUDENT PAIN POINTS IN REAL-TIME EDUCATION :
1) NO FUN LEARNING
TEACHER PAIN POINTS IN REAL-TIME EDUCATION :
1) STANDING AND WRITING FOR LONG PERIOD OF TIME 
2) STUDENT LESS INTERACTIVE</t>
  </si>
  <si>
    <t>so if we take both the education the online and real-time education both have some things common and different like students are uninterested in both education's and there is no fun in learning and in online education the student face unpunctuality and teachers have there own problem like managing student files so i have created a solution for that</t>
  </si>
  <si>
    <t>THE problem i trying to solve is of the students and teachers both .</t>
  </si>
  <si>
    <t>education is the most powerful tool in the world which can change anything and our youth is the only one who can make the world better . besides from quotes this program can help a lot of students and teacher and minimize human power which is unnecessarily wasted.</t>
  </si>
  <si>
    <t>Now Coming To The Solution: (THIS IDEA HAS NOT BEEN MADE YET )
TIME 360
this is a program or we can call a app which include the major pain points of the student and the teacher :
so FEATURES OF TIME 360 which would include :
1) A TIME MANAGEMENT SYSTEM WHICH WILL COMPRISE OF Achieving GOALS AND RECEIVING POINTS WHICH CAN BE LATER ADVERTISED WHICH CAN ALSO BE MONEY SOURCE 
2)A Bot Designed Specially for Keeping Logs of Student for Online Classes
This Bot Can Be Automated With Selenium Which Can Help Calling Student for Online Classes if the Student Does Not respond the bot will send message to the parents phone and hence will call them .
3) A assignment scheduler  with pyaudio which means it can speak and tell which assignments are left and which are to be done this program bot can also be automated that if the student didn't 
attend the online class the student can ask the bot what happened in the class which the bot will note from the online classes
4) A program to find and bring student assignments to the teachers at a particular place where teacher will not need to open so many files and folders to find student assignments
5)THIS program is IMPORTANT and if IMPLEMENTED CAN RESULT IN Fun Learning
 I CALL THIS PROGRAM THE ANIME EXPRESSOR 
this program is a live program what we can call a LMS (learning management system)
this program will contain a microphone and so many animation and effects 
and the animation will come on the screen of what the teacher will say like :
if the teacher says "Apple" an apple will be on the screen
if the teacher says "rotten apple" an rotten apple will be on the screen
all these programs will be in a one MAIN PROGRAM NAMED 
TIME 360
______________________________________________END_____________________________________________</t>
  </si>
  <si>
    <t>Student will be more interested in online classes they will be more punctual and happy and happy students will create a more bright world  teacher will get rid of their problems like managing files
and it will be easy for them instead of making ppt's</t>
  </si>
  <si>
    <t>nothing is ideas in the world IF this product would be Implemented there will be always new ideas in our mind and according to actual reality this product can also be changed too. and i think that i might be the best equipped with the solution because i am a student myself and i can think with different point of views all around 360 . and secondly i am a python programmer . that's why i am always thinking to create something new .</t>
  </si>
  <si>
    <t>January 6, 2021, 1:36 PM</t>
  </si>
  <si>
    <t>IFT090</t>
  </si>
  <si>
    <t>bhavishyalalwani014@gmail.com</t>
  </si>
  <si>
    <t>9868875549, 9212355549</t>
  </si>
  <si>
    <t>The students who are poor and live in rural areas don't have enough study material or literature to succeed in competitive exams creating Inequality.</t>
  </si>
  <si>
    <t>As India is among the fastest developing country in the world the major reason why people invest their time and money in education is to get an employement. For any kind of Job, Higher Education and Professional education a Person is required to give an exam. The people who are poor and living in rural areas don't have access to the literature available to pass these exams and thus are unable to get out of this situation. Internet can be a saviour for all and smartphones have even made it more possible.</t>
  </si>
  <si>
    <t>This is a solution for all the student who are appearing for any sort of exam but it is specially beneficial to those who are poor and living in Rural areas who are deprived of the access to Study Material required for these exams.</t>
  </si>
  <si>
    <t>This problem is critical and need urgent solution because there should be equal opportunity provided to all the people and also equal resources should be provided to all. Specially in this time where unemployement is skyrocketing and as there is more population than ever trying to get a higher education the need for a solution to this problem is strongly felt.</t>
  </si>
  <si>
    <t>Our solution to this problem is that there would be a platform created for both the teachers and the students. This application will have MCQ's and questions from thousands of competitive exams with assorted filtering. Thus any person appearing for any exam would be able to attempt questions from previous papers. Teachers can not just upload an Exam paper but also own questions that they would like the students to attempt even more categories can be added by the people who had joined this platform in order to ensure that the data in this application doesn't become outdated and keep on growing. Later on even a Forum can be attached with the application which would be able to discuss the doubt of the students and even propose a solution for that question.</t>
  </si>
  <si>
    <t>The solution would be really beneficial to the students as this platform would be able to provide the students with a lot of questions to practice not just that but when there will be aa forum connected to this application which would be able to provide the solutions to the students. This would also help the poor and Students living in rural areas as they will provide them with the information required and thus will help them to succeed in these competitive exams and thus would be a way of providing equal oppurtunities to all. Not just that but it also allows the teacher to upload questions and share their information thus making this application really helpful for the students as they have so much of variety and for the average student it provides an easy access to thousands of questions at the click of a button.</t>
  </si>
  <si>
    <t>We think that we are best equipped to offer this solution because the solution that is developed doen't require any money as the application is completely free and thus very affordable at the users end not just that but this application can work on any smartphone and can be very helpful for the student. As there is no limitation to this application and also it is very affordable and flexible almost anyone will have an easy access to the questions and the study material required for scoring in these type of competitive exams. Because the application would be really easy to use and having a very interactive UI it will also be very easy at the teachers end as they would be able to upload the questions without any confusion.</t>
  </si>
  <si>
    <t>December 25, 2020, 8:00 PM</t>
  </si>
  <si>
    <t>IFT 641</t>
  </si>
  <si>
    <t>bhatnagarkrish23@gmail.com</t>
  </si>
  <si>
    <t>Amity INternational School Ghaziabad</t>
  </si>
  <si>
    <t>THE VIRTUAL PARADOX IN EDUCATION
Online education, one of the areas where technology has flourished, has gained popularity amidst the COVID 19 Pandemic but Children with Special Needs suffered a lot due to this giant shift from the conventional offline classes to online clases due to their  socio-emotional and therapeutical needs.</t>
  </si>
  <si>
    <t>Children with special needs exhibited more troubles, worries or anger because as they have less control over day to day well-being than other people.
Change in the routine/ daily timetable was difficult to follow by CWSN especially for children with ID, ASD and MD which results in anxiety and irritable behaviour.
One to one or face to face teaching/prompting which is very important for CWSN is missing in online/ digital mode of teaching. Parents of children with special needs were required to play the role of teacher, therapist, peer and parent while they work from home.</t>
  </si>
  <si>
    <t>THE USER GROUP whose problem I am attempting to solve are the CHILDREN WITH SPECIAL NEEDS , It covers CHILDREN with developmental delays, medical conditions, psychiatric conditions, and congenital conditions that require accommodations so children can reach their potentials. At the same time teaching learning process also involves parents and teachers as important stakeholders and thus I tried to give special importance  to the problems faced by well</t>
  </si>
  <si>
    <t>.According to census reports, there are approximately 2.68 crore persons with disabilities in India, i.e. 2.21% of the total population. Many global estimates, in fact, reveal that it is a gross underestimation, and the number could be as high as 18% of the total population. However, despite being a significant part of our population, their concerns are rarely brought to light.he State of Education Report for India 2019 states that there are 7,864,636 children with disabilities in India. Out of these, 61% aged between 5 and 19 were attending educational institutions. But when classes shifted online, logistics and mechanisms were looked at without concern about whether they are CWSN-friendly. As a result,children with special needs and their parents are finding it difficult to cope with the sudden shift to the online mode.</t>
  </si>
  <si>
    <t>Using Technology as a tool for solving this huge problem , I am in the process of making an app which connects the 2 most important stakeholders for the education of CWSN i.e. Parents of CWSN and teachers. This App will be a major boost for educating CWSN , and will be specially personalised for them keeping in mind their problems and necessary solutions. Also keeping in mind economical aspects , for CWSN belonging to Economically Weaker Sections ,  Resource Centres will act as a connection for the teachers and parents using this app (Resource centres in conjunction with special educators will support the rehabilitation and educational needs of learners - NEP 2020)
Detailed Description of The App is attached as A PPT</t>
  </si>
  <si>
    <t>Making virtual space inclusive is extremely crucial to ensure social justice, equality and equity for the future generations. This app will definitely reduce the pain and tension faced by the parents as well as teachers and help in educating the CWSN through the online mode which is actually the NEW NORMAL.
We cannot let gaps to come in the education of different children due to reasons beyond their control.</t>
  </si>
  <si>
    <t>I emphatise with CWSN , and being a school student I can relate to the problems that they might face especially during online classes. Thus while planning the layout of this app I have tried to address all these problems so that even A PANDEMIC cannot stop from the aspects of Education. Online education , which we used to call the future reality has already become a part of our lives and thus through this app we can extend the benefits of Online Education with the Children with Special Needs as well.</t>
  </si>
  <si>
    <t>https://enpower-school.com/wp-content/uploads/elementor/forms/5fff64cf7664c.pptx</t>
  </si>
  <si>
    <t>January 14, 2021, 2:53 AM</t>
  </si>
  <si>
    <t>IFT388</t>
  </si>
  <si>
    <t>bhatiayuktesh9@gmail.com</t>
  </si>
  <si>
    <t>Yuktesh</t>
  </si>
  <si>
    <t>DL DAV Model School;</t>
  </si>
  <si>
    <t>7042533515, 8860982054</t>
  </si>
  <si>
    <t>Most of the students are studying just for getting a passing certificate, the ultimate goal of the student has to get a good salary package and a settled life, he doesn’t care whether the knowledge he gained in his school life is getting applied in his job or not. For example, a student who has taken a science stream is now working in a banking sector as a cashier because he got a good salary there, so what is the use of taking the science stream.</t>
  </si>
  <si>
    <t>Our education system tests our memory, not our knowledge i.e. how much we mug up things. It should be more practical Oriented. Students do not know the working culture of a company, firm, etc. they will get to know only when they complete their graduation or further studies but suppose in future if they do not find such work interesting then it would be very difficult for them to switch their profession if they want to.</t>
  </si>
  <si>
    <t>Student from  class 9th to 12th.</t>
  </si>
  <si>
    <t>Because the problem is directly related to career of students hence need an urgent solution.</t>
  </si>
  <si>
    <t>Our education should be practically oriented which means whatever we learn in theory we can apply in our real-life so our education system should have an option for an internship in corporate after class 8th. This will help the child to gain knowledge about the profession he wants to pursue. For Example If a student has taken commerce and wants to become a Chartered Accountant so he can apply for internship in CA Firm during his school studies. Likewise students can do training in whatever field they choose.
Our idea is that we will build an app in which a student can upload their resume like how much they have scored in the last class/session and companies can shortlist the students they want and call them for a personal interview.</t>
  </si>
  <si>
    <t>Internship offer the student the chance to put what they are learning into action in real-world environment. This will help them better understand the theories they have been reading about.</t>
  </si>
  <si>
    <t>As I am also a student and facing the same issue and I think the given ideas can resolve the said problems.</t>
  </si>
  <si>
    <t>https://enpower-school.com/wp-content/uploads/elementor/forms/5fedf75230ed2.docx</t>
  </si>
  <si>
    <t>December 31, 2020, 9:37 PM</t>
  </si>
  <si>
    <t>The want to build an app that students start their internship from std 8 where students will upload the marks and if his interest for eg is in commerce section he can choose that jobs, the idea is good but how will this work havent't described.</t>
  </si>
  <si>
    <t>IFT152</t>
  </si>
  <si>
    <t>bhardwajyashila@gmail.com</t>
  </si>
  <si>
    <t>THE PROBLEM WE HAVE RAISED IS THAT HOW THE RURAL COMMUNITY STUDENTS WILL STUDY BECAUSE MOST OF THEM DOES NOT HAVE MONEY TO BUY THEIR CHILDREN A LAPTOP OR COMPUTER OR A SMARTPHONE OR EVEN THE TEACHER IN THE SAME COMMUNITY DOES NOT HAVE SMART PHONE AND ALL AND EDUCATION HAS TO REACH TO ALL CITIZEN</t>
  </si>
  <si>
    <t>to live in by knowing and respecting rights, laws, and regulations.SO,every citizen has right to get proper education but in this Covid 19 situation the education has become online, there is no problem with  this type of education system  with urban community but  what about rural community most of them don’t have enough money to buy  their children a laptops ,smart phone or desktop.so,they are not getting proper education at the same time teacher in rural setting don’t have laptops or smartphones,desktops to teach students.</t>
  </si>
  <si>
    <t>WE ARE TRYING TO SOLVE TEACHERS AND STUDENTS PROBLEMS IN THE RURAL AREAS</t>
  </si>
  <si>
    <t>WE GOAL DIGGERS WANTS TO IMPROVE THIS SITUATION,SO WE HAVE DECIDED TO COLLECT SOME OLD SMARTPHONES,LAPTOPS.COMPUTERS.TABLETS AWHICH MOSTLY PEOPLE HAVE AT THEIR HOMES AND SOME MONEY FROM DIFFERENT PEOPLE WHOSOEVER WANTS TO HELP THE POOR COMMUNITY,AND MAKE OUR COUNTRY BETTER AND SUCCESSFUL</t>
  </si>
  <si>
    <t>THIS CAN REDUCE THE PAIN AS STUDENTS CAN STUDY IN THESE HARD TIMES AND TEACHES CAN ALSO BEING GIVEN SOME SALARY FOR TEACHING THE STUDENTS</t>
  </si>
  <si>
    <t>I THINK BECAUSE AS AN STUDENT I CAN FEEL THE PAIN LIFE IS NOTHING WITHOUT EDUCATION.</t>
  </si>
  <si>
    <t>https://enpower-school.com/wp-content/uploads/elementor/forms/5fea116b83144.pptx</t>
  </si>
  <si>
    <t>December 28, 2020, 10:40 PM</t>
  </si>
  <si>
    <t>IFT086</t>
  </si>
  <si>
    <t>bbqnanny@gmail.com</t>
  </si>
  <si>
    <t>Many students have WiFi problems.  Video calling applications such as Zoom, Google Classroom, and MS Teams run on WiFi. It’s a huge problem as most of the students sometimes get disconnected from the class or don’t hear/see the other participants or the screen.</t>
  </si>
  <si>
    <t>In the COVID-19 era, life has moved to the internet, but not everyone has it. Some teachers say they’re fighting to ensure that all of their students can log into class each day. Their struggles are just one example of the consequences of the internet's failure to get all online before this uniquely internet-dependent time.</t>
  </si>
  <si>
    <t>All students and teachers.</t>
  </si>
  <si>
    <t>Because there is always one student who refrains from asking the teacher again because they get nervous. If this problem isn't solved soon, that type of students will start lagging behind.</t>
  </si>
  <si>
    <t>New video calling apps need to be created by app developers which run on no WiFi/cellular data. There are a few games on the internet, such as games made by Lunime Inc. which run on 0% of WiFi. It will be quite helpful if developers use similar methods as used by Lunime Inc. to create new updated software with which everyone can meet up without any WiFi/cellular data.</t>
  </si>
  <si>
    <t>It keeps the student confident that there will be no power cut-offs during the class and they don't need to specifically ask their teacher repeatedly.</t>
  </si>
  <si>
    <t>We think that we are the best equipped because given a chance, only then we can prove ourselves.</t>
  </si>
  <si>
    <t>https://enpower-school.com/wp-content/uploads/elementor/forms/5fe5bf726190c.docx</t>
  </si>
  <si>
    <t>December 25, 2020, 4:01 PM</t>
  </si>
  <si>
    <t>IFT555</t>
  </si>
  <si>
    <t>battu.saishanmukh@gmail.com</t>
  </si>
  <si>
    <t>Lack of quality education in schools in India is the problem that we are trying to address. This problem stands in the way of their development of both education and the students in the future.</t>
  </si>
  <si>
    <t>The problem we are trying to address is that many students are not getting quality education across India. while we have managed to bring education to most students in our country, we have not been able to ensure quality to all. Also, there is no provision in our traditional educational system to incorporate the new technologies that can make teaching a better experience. This remains the main reason why the Indian educational system lags behind other countries. Also, our system is exam oriented which leads students to tension because of which they cannot study for their exams.</t>
  </si>
  <si>
    <t>There are 472 million students in India who are studying in schools today. By our project, in one way or another, aim to impact all of them. But our main targets are the teachers as our application would making teaching much easier for them. They are almost like stuck in the past and this was clearly seen when students struggled in the covid crisis. Teachers have neither much time nor effective tools. Our project gives them both. Therefore, govt school teachers are our main targets.</t>
  </si>
  <si>
    <t>Several studies indicate that the Indian educational system is extremely flawed. We are creating a generation of students with very little actual knowledge. If India has to become a developed country, this issue must be resolved as soon as possible. A country is always judged by the quality of the students studying there. Students of India are incapable of competing in the international level. This is shown by the sheer number of students studying abroad. Our own students do not trust our own system. If our system keeps going at this rate we are not getting anywhere.</t>
  </si>
  <si>
    <t>Our solution is to make a mobile application where students can attend white board classes with teachers, have conversations, ask their doubts, and can learn efficiently. This app can track the knowledge gained by students in every step and automatically relay the info to the teachers. We have added features to help the students become more interested in studies and created a unique system in order to keep the app as accessible as possible at the same time being profitable-that is a credit recharge system. Students can recharge their accounts and as they use the app, the recharge keeps reducing. We have planned to create tie-ups with education tech providers for their tech. To reach even remote parts of India through our app. Teacher’s app will have tools that can assign assignments and track performance in addition to the above. Then this app even gives suggestions on their future careers.</t>
  </si>
  <si>
    <t>This solution is unique in the sense that it is a complete educational solution in itself and at the same time the layout makes it user friendly. This app helps students in not going astray or getting addicted mainly. This app tracks the student’s performance and lays it right in front of them. The news section that gives carrier advice brings in info about so many opportunities that the students would surely have missed without the app. In the highly competitive world of today, having constant monitoring and the world's best tools at one's finger tips will be an advantage par compare. Not only as individuals, but society as a whole will gain a distinct benefit by the large-scale use of the app. It will also help in development of India as a country. The real-world tests that we plan to launch in our schools hopefully prove the same.</t>
  </si>
  <si>
    <t>Equipment for making an idea into reality includes several things and we believe that we have all of those things. We belong to a place and atmosphere where there are several people who are ready to help us in every stage of the journey. We also have the tools needed to effectively market the application. We also have experienced and studied the problems of being a student and came to the conclusion that this is the kind of application needed to solve their problems. As per the capital, the school has an ATL lab that provides for resources and funding. We also have the very important will to help other to this project. We are also a good team that complement each other perfectly. Thus, we have the knowledge, resources and the will to make this idea a success</t>
  </si>
  <si>
    <t>https://enpower-school.com/wp-content/uploads/elementor/forms/5ff702eb82b8a.pptx</t>
  </si>
  <si>
    <t>January 7, 2021, 6:17 PM</t>
  </si>
  <si>
    <t>IFT153</t>
  </si>
  <si>
    <t>barik.sabita@dvmrajgangpur.edu.in</t>
  </si>
  <si>
    <t>1.Educational disadvantage is demonstrated in many ways, most often in poor levels of participation and achievement in the formal education system. There are other ways in which children may be disadvantaged, for example as a result of a disability, literacy difficulties, ill health, poverty etc.
2.Restriction of personal   thoughts:
Education makes people some facts to be blindly accepted, which makes people restrict their own ideas in the process of learning. Education should make us think bigger and smarter but bad educational knowledge might fail to do so.
3.Discrimination:
Education makes one of the way for discrimination. The people who has more degree or experience have thoughts that they are ahead of everyone. And also the marks or grade system will create a difference from smaller age in the children. So, it should be thought of as the subject matter and not as a competition.</t>
  </si>
  <si>
    <t>One of the biggest problems with education is that it is poisoned in the way people view school. Some common phrases among students are that school is boring, school is work… These attitudes have a direct effect on the effort that students put into their studies. One will obviously work harder when they aren’t bored with the task. There is a difference between hearing and listening and if students approach school as something that they see as boring and stressful than that student will only be hearing what the professor is saying.  School is just like a book in that if the book is well written and enjoyable than there is more incentive to read it. If school were fun, than students would strive to learn more.</t>
  </si>
  <si>
    <t>A problem is often conceptualized as a gap between a desired and actual state. That is, an educational problem exists when a health care professional lacks the knowledge, skills, and attitudes necessary for the desired performance. These are problems for which education is the solution. We're all familiar with a depressing litany of complaints about education today–disaffected students, parents abandoning the public system, teacher burn-out and turnover, poor test scores, failure to keep up with technological changes, unjust schools more than 50 years after the Brown decision, inadequate and unequal. So as the saying goes na “ PRECOTION IS MUCH BETTER THAN CURE”..
So, please just follow that..</t>
  </si>
  <si>
    <t>1.We cannot deny the fact that the Indian government and institutions have been working to reform the existing education model. However, there are still several issues which are required to be taken care of.
While we all understand how crucial education is to shape our lives, it has also been a major problem in our country. There are several issues that the Indian education system is grappled with. We cannot deny the fact that the Indian government and institutions have been working to reform the existing education model. However, there are still several issues which are required to be taken care of.
1.Rote learning
2.Evaluation system
3.Equal respect to all the subjects
4.Better training of educators
5. Introduction of technology
6.Personalize education         
7.each them the purpose of education</t>
  </si>
  <si>
    <t>If someone is not willing to learn no one can help them. But if someone is determined to learn no one can stop them. The idea for improving quality of education in some fields can be as follows: -
1. Acknowledge &amp; address over crowding.
2. make funding schools of priority.
3. Address the school-to-prison pipelines.
4. Raise standards for teachers &amp; students.
5. Put classroom-running and curriculum buildings decisions in the hands of the community.
6. Skill based learning.
     The only suggestion which I can give is " government and NGOs should take care about education of every child up to age of 18 years." Without education humans are incomplete and nothing.</t>
  </si>
  <si>
    <t>Yes, we think yours solutions gives a distinct benefit to users or reduce their pain as because sustainable development goals can reduce or decrease poverty. ( End poverty in all forms every where for all people), hunger, achieve food security and improved nutrition and promote sustainable agriculture. Gender inequality ( achieve gender equality and empower all women and girls.) it can also reduce inequalities within and among countries.
By this the world will change and improve.</t>
  </si>
  <si>
    <t>As we are in the learning stage and are in best position to experience the merits and demerits of the present education system. We can provide better ideas to improve the present education system in the country. Considering the present demand, our education system needs to follow some practical and innovative ideas to add in our education systems. This will enable the students to cope up with the demand of the present world. Taking care of the students up to certain age will help the students a lot specially the teenagers.
Hence taking ideas from the young generation like us will always be better option to improve education system in the country.</t>
  </si>
  <si>
    <t>https://enpower-school.com/wp-content/uploads/elementor/forms/5fea17d63d1f2.pdf</t>
  </si>
  <si>
    <t>December 28, 2020, 11:07 PM</t>
  </si>
  <si>
    <t>IFT487</t>
  </si>
  <si>
    <t>aviral.inbox@gmail.com</t>
  </si>
  <si>
    <t>1.) Theoritical and conceptual learning 
2.) Practical learning 
3.) Co-curricular learning 
4.) Board Examinations 
5.) 'Enjoyable' elements</t>
  </si>
  <si>
    <t>1.) Theoritical and conceptual learning needs to be more interactive and effective 
2.) More focus required on practical learning experiences 
3.) Co-curricular activities needs to be given more importance 
4.) Stress reduction for Board Examinations is necessary 
5.) Its very important to shape one's mindset for learning and make it interesting</t>
  </si>
  <si>
    <t>Trying to solve problems of students which can ruin their schooling</t>
  </si>
  <si>
    <t>I believe that these problems are in themselves the key factors which constructs the school life of every student, and as we that the construction needs to be strong in order for the building to rise.</t>
  </si>
  <si>
    <t>Please see the solutions in the attached file</t>
  </si>
  <si>
    <t>These solutions help to create a better learning experience for students, reduce their stress for Board exams and shape up their mindset to make them find learning interesting without forcing it.</t>
  </si>
  <si>
    <t>I think so because I can relate many of the situations and problems to myself and have seen people going through similar circumstances. Also, I have seen shifts in schools and up and downs in my academic journey so I think I have fair views.</t>
  </si>
  <si>
    <t>https://enpower-school.com/wp-content/uploads/elementor/forms/5fe490d3d808a.pdf</t>
  </si>
  <si>
    <t>December 24, 2020, 6:30 PM</t>
  </si>
  <si>
    <t>IFT453</t>
  </si>
  <si>
    <t>augusty778@gmail.com</t>
  </si>
  <si>
    <t>The problem I am attempting to solve is- Making online education more impactful for students and pupils.</t>
  </si>
  <si>
    <t>The main concern is that students can only learn theoretically and not practically in online education. Students are not being made available to labs, experiments, activity kits due to the situation, and so experiencing learning was discouraged. This is problem has been in existence since last year. The online education seems to fail in the terms of practical learning.</t>
  </si>
  <si>
    <t>The user group whose problem I am attempting to solve is of students and pupils, as at the end of the day these are future leaders and if there learning suffers the future will suffer.</t>
  </si>
  <si>
    <t>This problem is critical and needs an urgent solution because the current situation will not go over in a night and so will not the online classes, so we need to make the wings of online education more efficient and remove as many as loop holes possible.</t>
  </si>
  <si>
    <t>My solution is to make an Augmented Reality app which can create a Science lab environment. With all the required materials, displaying all the reactions and results and no need of safety equipment as everything is taking place virtually. Also it will be looking very much realistic due to implementation of Augumented Reality and things being displayed in 3D and can be used anywhere, anytime as it is in your phone and will be shown in your surroundings.</t>
  </si>
  <si>
    <t>My solution gives a distinct benefit to the user as other solution available in market are buying required materials, getting safety equipment available. Online solution involve videos with 3D animations, however my solution is not recorded but live and also 3D animations and visuals are displayed in surrounding and the user can change the position, size according to comfort. All this is possible due to Augmented Reality which is not implemented in other solutions.</t>
  </si>
  <si>
    <t>I think I am the best equipped person to offer this solution because I have knowledge of 1-2 programming languages like Python, etc. Also I exactly know the tools which I will need to create this  type of app like, Lens Studio, Vuforia etc. The added advantage is that I myself is a 8th standard student so can well relate to pain points of students.</t>
  </si>
  <si>
    <t>https://enpower-school.com/wp-content/uploads/elementor/forms/5ff1f3cabd1ee.pptx</t>
  </si>
  <si>
    <t>January 3, 2021, 10:11 PM</t>
  </si>
  <si>
    <t>IFT196</t>
  </si>
  <si>
    <t>atiyakumar55@gmail.com</t>
  </si>
  <si>
    <t>Dass and Brown World School</t>
  </si>
  <si>
    <t>Students don’t know how to study effectively enough to achieve a personal understanding of each subject that they can use effectively in their life’s work.</t>
  </si>
  <si>
    <t>No time, no hours, are spent on the subject of study, as a subject, from the viewpoint of the student, learning the technology of that subject, and students are basically taught nothing within the actual scope of the actual subject of study.Teachers on the other hand spend four to five years in college, say 10,000 hours or 12,000 hours with graduate school, and 180/220 plus credit hours of courses learning what is required of a teacher “to teach.” Then there is continuing education, on the subject of “teaching” (For Professional Engineers in my state this is 15 credit hours more per year, for life.) but nothing on the subject of study. For the student there might be something about having a place to study, having a quiet place, having a plan, being told “everyone learns differently,” using the library and scheduling one’s time.</t>
  </si>
  <si>
    <t>One educator, Phil Power, Bridge Magazine says that every Governor of Michigan since 1970 has pointed up this problem, and it has not been fixed. Mr Power says, “We do not know what skills will be needed in 15 years, so we can’t teach those skills.” he pointed out this the biggest problem of the world and It could be solved</t>
  </si>
  <si>
    <t>A child needs to know what is expected of a student to know, study wise, and what exactly they are to do, as a student. Not as a human-being only, just sitting in a chair, “seat time,” with the teacher and school being paid for him or her to only sit there, asleep, unconscious, or awak</t>
  </si>
  <si>
    <t>The basic element of our language is the word. For a student to understand what an author, or their teacher, says or has written they need to understand the words the author is using. A student can learn this by looking up each word that is not understood in a proper dictionary and fully defining how it is used in our culture, as well as that one specific context. If the word has a special meaning that has to be defined and understood.
Here is a basic principle from the subject of study, that might serve as an example:
The only reason a student becomes unable to learn is that they have gone past a word that was not understood.
So the idea is that a student can be “able to learn” and then become “unable to learn”. This principle says there is an exact reason for the inability to learn.</t>
  </si>
  <si>
    <t>This solution will give a huge benefit in the education system. This solution will help the students to be able to learn things.So for my research I might want to start with what a person looks like that is fully able to learn.</t>
  </si>
  <si>
    <t>I think I am best equipped to offer this solution because I have researched alot about this problem and many studies show that this solution will help students alot. Also, I have personally experienced this problem and this solution will help me understand subjects and life skills more clearly.</t>
  </si>
  <si>
    <t>December 29, 2020, 10:55 PM</t>
  </si>
  <si>
    <t>IFT079</t>
  </si>
  <si>
    <t>asmitanarute.10@gmail.com</t>
  </si>
  <si>
    <t>Asmita</t>
  </si>
  <si>
    <t>Narute</t>
  </si>
  <si>
    <t xml:space="preserve">Army Public School, Lucknow </t>
  </si>
  <si>
    <t xml:space="preserve">Lucknow </t>
  </si>
  <si>
    <t>Problem is that we put starting salaries and entrance exams on a pedestal and force a singular definition of success collectively. Is the purpose of education really to max standardised tests and rake in the cash?</t>
  </si>
  <si>
    <t>The entire ecosystem is geared towards marks and their disease of rote learning. Due to this higher order skills are almost lacking.Schools are geared towards this kind of learning because India focus heavily on testing knowledge rather than skills. I think this is the reason why there is a resistance to the changing system. Additionally standardized test do not test every field of education which makes students more inaccurate .</t>
  </si>
  <si>
    <t>This problem is of every student in Indian education system who's about to complete 10th grade or 12th. To a broader concept it draws to both adults and students as a powerful resource for the co-creation of the community.</t>
  </si>
  <si>
    <t>As we know that Technology has profoundly changed education , it has greatly expanded access to education but the schooling systems teach every single person to think the same way, but by thinking the same way we will never be able to expand our horizons Therefore to create more creative and tech-savvy  minds , this problem needs the urgent solution.</t>
  </si>
  <si>
    <t>I think success today depends primarily on cognitiveskills .Students need holistic exposure to all facets.
Their analytical abilities should be enhanced.
Emphasise should be given to  greater creativity and risk-taking ability.</t>
  </si>
  <si>
    <t>My solution will allow people to define success on their terms.
For example-If someone else is better qualified than you but you have new and exciting ways to improve the company. If you receive that successful job it will not be your education that gets you there, it will be your ability to think critically and creatively.</t>
  </si>
  <si>
    <t>I am the best equipped and  fit to offer this solution as I have received some of the experience till now from schooling , therefore I think  I am confident that this idea is effective and will definitely work.</t>
  </si>
  <si>
    <t>https://enpower-school.com/wp-content/uploads/elementor/forms/5fe4c7e8c7ae8.jpg</t>
  </si>
  <si>
    <t>December 24, 2020, 10:25 PM</t>
  </si>
  <si>
    <t>Concept is good but lacks concrete roadmap</t>
  </si>
  <si>
    <t>IFT575</t>
  </si>
  <si>
    <t>asksyedzabi@gmail.com</t>
  </si>
  <si>
    <t>Syed Zakiulla</t>
  </si>
  <si>
    <t>Hussaini</t>
  </si>
  <si>
    <t>SpringFields School Masab Tank</t>
  </si>
  <si>
    <t>Education System of India Redefined</t>
  </si>
  <si>
    <t>In PPT file</t>
  </si>
  <si>
    <t>https://enpower-school.com/wp-content/uploads/elementor/forms/5ff73bc751c9f.pptx</t>
  </si>
  <si>
    <t>January 7, 2021, 10:20 PM</t>
  </si>
  <si>
    <t>IFT433</t>
  </si>
  <si>
    <t>ashraf.aseem@gmail.com</t>
  </si>
  <si>
    <t>There are many problems regarding education in India, but rural education is the main problem these days. Many people living here do not consider it important to send their children to school. It is a blunder. They think that education has no importance in day to day life.</t>
  </si>
  <si>
    <t>In many rural areas of our country, many people living here consider education worthless and believe that sending their children to school is just a time waste. That can be because of several factors. 
Firstly, they are not given good facilities at school, so they start to think that why to send their child to school when they are not being given nice facilities. Secondly, many people don't know the importance of education and thus think it a time waste. Third, these people are not encouraged to come forward out of these beliefs and understand the importance of knowledge. Although, the Government is giving its best to help people realize that they are going in the wrong path as the kids today are the future of our country, but still they have not succeeded.</t>
  </si>
  <si>
    <t>The 'user' group whose problem I am attempting to solve is the education in rural areas. There, the preference must be given to government schools rather than private schools, so that the child from a poor family can also afford to study with good facilities. And for these children, there should be a scheme to make education free for them and the fee should be waved off for them. Secondly, more and more schools must be built so that more parents are encouraged to come forward and provide education to their wards. Likewise, the teaching standards in these schools must be increased.</t>
  </si>
  <si>
    <t>This problem is critical and requires quick action towards it because every child must study. A country’s future depends upon its children today. There are many children who are not encouraged to study, which is not a good thing. Every child must be educated. And there is also a write saying 
“the nation would prosper only if its masses are educated.” So education must not be ignored and an action should be taken towards it straightaway.</t>
  </si>
  <si>
    <t>My solution towards this problem is that, first number of schools built in a rural area must be increased and more children must be encouraged to study. To make it happen, a survey must be done on a regular basis to find out how many children are coming to school and how many are not coming. And those who are not must be encouraged to do so. Secondly, the facilities in these schools must be increased and be of a good quality. Lastly, the teaching standards must be increased and good teachers must be appointed to each class.</t>
  </si>
  <si>
    <t>My solution would benefit them as if the parents start showing interest in education, then the children will themselves be encouraged to come to school. Also if the education standard is improved, then many more people will come forward and take part in it and thus it would help many children who can’t come to school or who are not interested to come here.</t>
  </si>
  <si>
    <t>My solution can be offered because the process which I have mentioned, the Government won’t need to take much pain for it. Secondly, to encourage the people to come forward, in my way, not much funds would be required, only a survey must be done. And my ways are also not very much complicated and can be done easily.</t>
  </si>
  <si>
    <t>https://enpower-school.com/wp-content/uploads/elementor/forms/5fef5dda42cbc.docx</t>
  </si>
  <si>
    <t>January 1, 2021, 11:07 PM</t>
  </si>
  <si>
    <t>repeat of IFT193-disqualified</t>
  </si>
  <si>
    <t>IFT572</t>
  </si>
  <si>
    <t>ashazahmad34@gmail.com</t>
  </si>
  <si>
    <t>Syed Ashaz</t>
  </si>
  <si>
    <t>The are not allowed to choose subject of their choice before 11th
Children are being taught reading for languages instead of focusing on grammar</t>
  </si>
  <si>
    <t>Children are not allowed to choose the subject they want to learn. This will just waste the student's time as they would learning things that they will never use.
Literature is not an essential part of learning a language because no one cares about what type of literature we read</t>
  </si>
  <si>
    <t>We are sovling the problems of the students</t>
  </si>
  <si>
    <t>Because the children should not feel burnt out from studies but instead they should be happy to learn.</t>
  </si>
  <si>
    <t>If children are allowed to choose the subject that intrigues him/her then they would automatically start performing better.
Grammar should be given all the focus while teaching languages intesd of literature.</t>
  </si>
  <si>
    <t>It helps them learn more effectively and Happily</t>
  </si>
  <si>
    <t>Because I have been given an opportunity by this competition</t>
  </si>
  <si>
    <t>https://enpower-school.com/wp-content/uploads/elementor/forms/5ff7333376e3e.pptx</t>
  </si>
  <si>
    <t>January 7, 2021, 9:43 PM</t>
  </si>
  <si>
    <t>IFT026</t>
  </si>
  <si>
    <t>aryanshh08sri@gmail.com</t>
  </si>
  <si>
    <t>As Teen drivers aged 14-19 years are four times more likely than older drivers to crash, teens are more likely than older drivers to speed, run red lights, make illegal turns, ride with an intoxicated driver, and drive after using alcohol or drugs. Inexperience is the reason why these drivers are more likely to underestimate hazardous situations; this is why this problem has become one of the deadliest problems faced by public and the underage drivers themselves</t>
  </si>
  <si>
    <t>As the problem raises, it affects lives of many people. This problem is already one of the big concerns which affects lives of public travelling, sitting and walking near or on the road. Teen age drivers can only be educated by creating a fear in their mind. That if they drive before the age verified by the government, they themselves and their parents will be prosecuted with strict actions. One and only way to raise awareness about this topic is to minimize the underage drivers in the country.</t>
  </si>
  <si>
    <t>The user Group is Government as it enforces the laws and various schools and institutions.</t>
  </si>
  <si>
    <t>Underage driving is a serious problem in India. Many children become victim everyday owing to this menace. ... 20 children under the age of 14 die every day due to road crashes in the country. One serious road accident in the country occurs every minute and 16 people die on Indian roads every hour.</t>
  </si>
  <si>
    <t>Our idea that we envision to solve this problem is as CCTV is already installed in school premises at school gate for security reasons. Our idea is to apply an application in pre-installed CCTV’s to recognize the face, school uniform and Number plate. If any underage passes or come near the CCTV it will recognize the student and inform his/her parents about their underage driving and inform the school management too. This will create a sense of fear in the underage driver and they minimize their driving.</t>
  </si>
  <si>
    <t>We have to design this product in such a way that it focuses the number plate of two and four-wheeler and can recognize the school uniform or the face of the underage driver and then report to their parents as well as school management. And code a program for recognition using OpenCV in python and upload many images to train OpenCV to recognition of every type of vehicle including two, four-wheeler. After training it would be able to recognize different types of vehicles.</t>
  </si>
  <si>
    <t>Our Idea is innovative in such a way that we are using image recognition using OpenCV in way to profit the public as well as nation’s economy. We are using image recognition for capturing the face as well as number plate of the underage driver. At this point no other institution, company or organization has used image recognition in such a way to reduce rates of underage drivers.</t>
  </si>
  <si>
    <t>https://enpower-school.com/wp-content/uploads/elementor/forms/5fdb7b34ed004.docx</t>
  </si>
  <si>
    <t>December 17, 2020, 9:07 PM</t>
  </si>
  <si>
    <r>
      <rPr>
        <rFont val="Calibri"/>
        <b/>
        <color rgb="FF1155CC"/>
        <sz val="11.0"/>
        <u/>
      </rPr>
      <t xml:space="preserve">DISQUALIFIED- This is not a unique idea, this is already implemented have found it in google, attaching the link.
</t>
    </r>
    <r>
      <rPr>
        <rFont val="Calibri"/>
        <b/>
        <color rgb="FF1155CC"/>
        <sz val="11.0"/>
        <u/>
      </rPr>
      <t>https://mail.google.com/mail/u/0?ui=2&amp;ik=230b59cf98&amp;attid=0.1&amp;permmsgid=msg-a:r-6323938836454073925&amp;th=176cc6a61d5eb826&amp;view=att&amp;disp=inline&amp;realattid=176cc6a0639c18c36321</t>
    </r>
  </si>
  <si>
    <t>IFT147</t>
  </si>
  <si>
    <t>aryankar14356@cambridgefoundationschool.com</t>
  </si>
  <si>
    <t>Kar</t>
  </si>
  <si>
    <t xml:space="preserve">11th grade </t>
  </si>
  <si>
    <t>Reuse of materials is an efficient way to reduce the use of energy intensive materials. Instead of discarding tonnes and tonnes of wastes from the factories and homes, some part of it could be used for creative construction. This will help in achieving “Waste reduction” and help us move one step forward towards the sustainable environment.
Our prime goal is to, “Sustain the Sustainable”.
I would like to share some examples that I came across while conducting a research on the Utilization of Waste Materials for Innovative constructions.
Construction of Bottle Houses:
Bottle houses sounds weird, isn’t it? When I read about the construction of Bottle Houses, i was really amazed with the thought of utilising discarded glass bottles for such an innovative purpose. A new distinct style of constructing walls with glass bottles of 1L capacity as masonry units and uses cement, stucco, plaster, adobe for the binding purposes resulting in the construction of beautiful stained glass like wall.
Construction of Compound walls using Rubber tires:
The compound walls have been constructed using discarded rubber tires of the cars. The grooves in the tyres provide the necessary adhesion. In this case, the rubber tires serve as masonry units and cement and adobe are used for the binding purposes.
In this case, aesthetic factor is a little neglected but I would say, the tire compound wall itself would look so ornamented and out of the world.
Chandigarh is a beautifully planned city by Le Corbusier. The Rock Garden in Chandigarh has been designed by using natural and recycled or waste materials.
Various shapes and sizes of the rocks have been used for the steps and the walls. The defective sockets and switchboards that have been discarded from the factory have been used for cladding purposes.
Stone cladding and broken tile cladding
Broken tiles have been used for the cladding of floors and side walls.</t>
  </si>
  <si>
    <t>https://enpower-school.com/wp-content/uploads/elementor/forms/5fe9e569559a7.docx</t>
  </si>
  <si>
    <t>December 28, 2020, 7:32 PM</t>
  </si>
  <si>
    <t>IFT373</t>
  </si>
  <si>
    <t>aryan.ravuri@outlook.com</t>
  </si>
  <si>
    <t>Due to lack of discipline in students, at least 1/3rd of class time is wasted. Due to this teachers waste a lot of time that can be utilised for learning. This impacts children also and the people near them. Due to lack of discipline children can grow to be unsympathetic, unpleasant and just no good people.</t>
  </si>
  <si>
    <t>Lack of discipline is something that affects every school and also every child at one point of time. With constant exposure to lack of discipline children may become selfish may commit unethical acts such as ragging, cheating and having disrespect towards teachers. People may stop being around children due to them being bad people.</t>
  </si>
  <si>
    <t>The user groups problem we are attempting to solve are the children’s as they are the future of this world and to ensure we humans as a species survive we need to have good people as a whole.</t>
  </si>
  <si>
    <t>This problem is critical as it affects every school. Lack of discipline is something that can be extremely contagious. For example when a bully bullies a student they develop anger and slowly start expressing that by having a lack of discipline. Slowly they would turn into a bully themselves mainly due to resented anger.</t>
  </si>
  <si>
    <t>Our solution is to enact a points/ currency system where the student gets access to premium food, extra classes, enrolment into competitions free of cost, and extra PE time via cashing a certain number of points. They only get these points if they behave properly or get good grades in their subjects. Teachers can assign these points through an app provided by our company.</t>
  </si>
  <si>
    <t>The distinct benefit is the fact that they get access to a variety of features that they couldn’t have before. It also reduces the pain of lack of discipline</t>
  </si>
  <si>
    <t>We think we are best equipped to offer this solution as we are children ourselves. This gives us a major lead as we know what we want. With having this form of data we can immediately provide offers that children can’t resist</t>
  </si>
  <si>
    <t>December 31, 2020, 8:06 PM</t>
  </si>
  <si>
    <t>The idea is good to give g0od conduct points to students and the students can encash it for free extra courses, food etc. They haven't much explained how ill it work, can look into the idea if they have better explanation</t>
  </si>
  <si>
    <t>IFT120</t>
  </si>
  <si>
    <t>aryaman0708@gmail.com</t>
  </si>
  <si>
    <t>Problems and challenges in our education system and how does it impact overall learning 
course of a student.</t>
  </si>
  <si>
    <t>Our education system is not oriented towards overall development of the Students. Its main objective has always been to get good grades and qualify for the exams to move onto next session or class. There is not practical learning about how to use ones own interest and cultivate it to make a successful living.  While our education system imparts knowledge and information it doesn't get us ready for the real world challenges that requires skills and experiences.</t>
  </si>
  <si>
    <t>This solution is to help student and teaches community who together makes foundation of the educations system. Then there are educations boards who governs the policies related to syllabus and learning path  who needs to be told about the changing scenarios in education system world wide.</t>
  </si>
  <si>
    <t>Education is outmost import thing in persons life that decides the growth and well being. This is not just about collecting information and making ones career but its about making the contribution to the development of whole nation. Good education can give us good leaders who can further define the fate of societies.</t>
  </si>
  <si>
    <t>Below are the best thought solutions from students diary:
Reduce the school bag weight.
Include  practical training that suits students talent and interest.
Expose students to industry working culture and experience.
Provide technology platforms to enable students and teaches to share information and learning across geographies.</t>
  </si>
  <si>
    <t>The solution provides framework to enhance the education system that in turn provides a platform for students to achieve practical experience to sustain in there carrier. 
More educated community develops greater opportunities and development for the society. Rightly educated people can be well educated not just to sustain there own aspirations but also to contribute for development of nation.</t>
  </si>
  <si>
    <t>Well being a student I'm part of the education system and have been exposed to various dynamics of its nature. As a student I know what it will require for me to be a successful citizen and explore my talent which is beyond just getting a lucrative job. I want to explore and contribute using my talent and passion and hence I thought to give the ideas about changes that  we need to bring in our educations system.</t>
  </si>
  <si>
    <t>https://enpower-school.com/wp-content/uploads/elementor/forms/5fe85c1344bea.pptx</t>
  </si>
  <si>
    <t>December 27, 2020, 3:34 PM</t>
  </si>
  <si>
    <t>IFT511</t>
  </si>
  <si>
    <t>arushidhiman5774@gmail.com</t>
  </si>
  <si>
    <t>Every problem has in it the seeds of its solution as we all are aware with the problems faced by both students and teachers during this covid period the both are struggling hard there are many problems faced by them some of those are discussed below the major problems are depending upon the Technology for the sake of study pain of teachers lack of broadband connection and power cuts students are missing the extra co curricular activities many teacher and student are facing health issues due to these online studies isolation misusing Technology</t>
  </si>
  <si>
    <t>The problem of online study is based on different levels differently primary level elementary level secondary level Senior Secondary Level the students under primary and elementary level face the problem of lack of attentiveness because of which they are missing their homework for them this Corona is a fun time in which they are enjoying holidays that are endless they get bored by sitting in front of screen without any physical activity to make it enjoyable this which of the camera mute the microphones and start roaming in the house from primary level to secondary level these are the base of higher studies if the child was even a single class they are losing a lot for the students need proper attention from the teacher to excel in these classes</t>
  </si>
  <si>
    <t>Problems faced on four different levels that are primary level elementary level and secondary and senior secondary I will be going to discuss about the problems faced by Special children and student of primary level for special children this time is really very hard for them studying online is somehow impossible for blind and deaf studying online is difficult according to me this is the first time when they are feeling depressed because of their physical situation for primary level students this Corona period is somehow a fun time they are feeling that they don't have to study as no one is asking for homework they are least attentive and irresponsible they are losing their writing habits</t>
  </si>
  <si>
    <t>This problem is very serious and need a advent solution at the unknown if the basement of the building is not strong then the building will definitely follow these class is a base for future studies if they will not study properly and they will not be able to understand further concepts which is not good for their future studies and for special ability children it is very difficult to study in normal conditions but now in Corona situation for them studying is somehow impossible they are the one who are suffering the most they are facing a depressed situation so I think this problem need to be solved</t>
  </si>
  <si>
    <t>For primary level guidelines to parents should be given children under this age group at least attentive special to but the study so conduct in online classes for them is used as the parent should be guided to help out a children in studies teaching through online games such as mind games Sudoku at 17 which can enhance their creativity thinking and reasoning generating reading habit by encouraging library online book reading at 17 by providing positive reinforcement children can be encouraged on the good response and proper homework by providing them positive reinforcement such as certificate prices what special ability students for visually impaired children Centre should be made via a teacher can come and teach them with proper precautions and less population and use of Braille Script should be encouraged use of television for the sake of study should we encourage for ones who all are living highly remote areas by making use of DTH making proper safe place like Asha schools for these children who wanted to continue their studies during this covid like situation like other normal students launching new apps or software for the students making them Technology friendly to help them out to run with the world</t>
  </si>
  <si>
    <t>Struggler I can easily predict that how my problem during this covid period can be solved the things and the facilities I mentioned above are needed to each and every child during this covid-19 the students will not enjoyed these studies that they will not take interest online studies they will take it like burden on them if they will not take it as a bird in and take it as a fun they will learn more and are main motive is this only that how we can make these online studies more effective and enjoyable I think every child like to play games include games in study that the child will take it as fun not a burden on them God for bid if Corona will not end and we have to study online only in virtual world then a proper and a beneficial solution should be taken out</t>
  </si>
  <si>
    <t>An empathetic person is a good listener patient understanding and kind as a student who is struggling hard during this covid-19 I can understand and best IQ paid or to offer these solutions as mentioned above I am also attending online classes and facing many problems and because of them frustration me has increased many times when I missed an important lecture for topic due to technical issue it became a big hurting and stress giving topic for me and doing self study is not that much effective and useful as it used to be when our teachers used to tortoise in Real world being a physically fit and fine student I faced a lot of challenges what about those who are handicapped or physically unfit so because of these reasons I can be best acquired over the solutions to help out the school going children to take all the problems faced in online studies</t>
  </si>
  <si>
    <t>https://enpower-school.com/wp-content/uploads/elementor/forms/5ff59a794c911.pptx</t>
  </si>
  <si>
    <t>January 6, 2021, 4:39 PM</t>
  </si>
  <si>
    <t>IFT375</t>
  </si>
  <si>
    <t>arushiagarwal2003@gmail.com</t>
  </si>
  <si>
    <t>There is a lack of opportunities in rural areas, and the sincerity of urban students is diminishing, and online classes have caused problems for the teachers. Crucial skillsets of professionals are being left unnoticed.</t>
  </si>
  <si>
    <t>Unavailability of electronic media in rural areas is the first and most imperative stumbling block of ours. There is a significant lack of curiosity in students. Hemmed in by the shadows and limitations of online classes, even the students in urban areas not taking their studies seriously. There have been cases where the students seen taking leverage of this new system since there is a lack of assessment. It is difficult for the teachers to be keeping track of the aforementioned too. Ideas for sustainable development being overshadowed by the electronic world is another one of our concerns</t>
  </si>
  <si>
    <t>We are attempting to solve rural students' and teachers' problems as they are deprived of the required knowledge, and the teachers do not have many methods or ideas to help them. We are working on urban teachers and students' issues by designing a platform to learn something new and improve the teachers and students' understanding. Housewives, seniors and retired professionals are provided with a program to share their skills and expertise.</t>
  </si>
  <si>
    <t>There has been an earnest backlog in the education field due to the pandemic. A large group of students, especially those in the more rural areas, cannot access education. Providing ready hardcopy of notes, while keeping in mind the environmental factor is the primary forte of our project.  Not to forget, a large number of skills are being left unnoticed, and skill development is more often than not, ignored. Our hobby classes pave the way to the solution of this muddle while providing employment to the housewives and retired professionals who may have knowledge that can be useful when shared</t>
  </si>
  <si>
    <t>Students from urban schools will be expected to make notes of the main subjects and will be sent by the school at the end of every month for the rural students. Small video bites will be made to include questions asked anonymously by the students, which will be addressed online. Our website will consist of a thrift store where you can sell any book/educational material in the pdf form. Anyone interested can download it at the convenient cost. Our website also offers hobby classes where students will have to subscribe at a very minimal price, and then they can download and schedule meetings with our team members and volunteers that include housewives and retired professionals. Students who participated in making the notes will get a discount on their hobby classes. You will also find a portal to facilitate teachers by knowing anonymous feedback from students in response to the new teaching style and introduced to project ideas.</t>
  </si>
  <si>
    <t>This is a small eco-friendly project. The notes will be collected and compiled by students, helping the teachers assess how academically strong the student is and giving them practical marks. Anonymously asking the questions will help the students to clear their concepts without fearing to ask any question. Here, at FirstMind, we promise you great deals with complimentary great deeds. A community chat, which will be accessible to all, will be available for teachers, professionals or any other person to discuss new ideas or facts that they have discovered that they may want to share. Housewives, seniors and retired professionals will have a platform to share their skills and knowledge without fear. Students can also ask for any other course which our site does not provide. The professionals will also assign specific tasks to the students to keep them active during their stay at home. Teachers will also be introduced to exciting projects to increase student-teacher interaction here.</t>
  </si>
  <si>
    <t>We, as students, can provide a first-hand account of how studies are like online. We were able to understand others' view via a survey conducted by us and form the opinions into an idea. We were able to understand teachers' problem and how difficult it is for them to teach online, make sure that the students understand the lessons, and come up with new ideas to make the studies more interesting. We know housewives, seniors and retired professionals who are very talented but lack the courage to show their talent or do not have a platform to share the skills. 50% of the selling price from the thrift store and hobby classes will be given to publication houses to print small handy notes using recycling papers, 20% to FirstMind for running the platform and 30% to the sellers and professionals.</t>
  </si>
  <si>
    <t>https://enpower-school.com/wp-content/uploads/elementor/forms/5fede46bf0e96.mp4 , https://enpower-school.com/wp-content/uploads/elementor/forms/5fede46c31852.docx</t>
  </si>
  <si>
    <t>December 31, 2020, 8:17 PM</t>
  </si>
  <si>
    <t>Brilliant concept which will help urban and rural students, teachers, housewives, retired person.... this is superb idea</t>
  </si>
  <si>
    <t>IFT167</t>
  </si>
  <si>
    <t>arushi.world@gmail.com</t>
  </si>
  <si>
    <t>Lack of practical knowledge and relevant skills such as leadership, social skills, financial literacy, career planning, imparted to students through the current school curriculum.</t>
  </si>
  <si>
    <t>Students today are given ample theory and facts through various textbooks and are expected to mug them up or rote learn them. In the exams too they are asked straightforward theory questions which they usually answer by recalling what they have learnt a few days ago rather than using analytical thinking. Most schools do not impart relevant 21st century skills that will help us students later in life, while looking for jobs and career paths. They are not taught practical skills like presentation of ideas, ability to work in a group, cooperation, thinking on their feet, stress management and focus.</t>
  </si>
  <si>
    <t>The targeted user group is students. Many students begin preparing for the exams 3 or 4 years prior to the time of giving it. While they do prepare for the theoretical part of it, reading and learning textbooks and solving the previous year's papers, they don't think about how they will deal with the stress, or how they will answer the questions posed by the interviewer or how they will focus. While in group projects they want to get good grades but don't think of it as a way to develop cooperation or leadership abilities.</t>
  </si>
  <si>
    <t>Nowadays in the 21st century there is fierce competition for everything, be it a coveted job, a seat in the college of your choice or even a chance to study in the best school in your locality. Students are more aware of the hardships they will have to face in order to continue on the path they want to follow. They are so focused in gaining good marks and good grades that they don't learn life skills like financial planning, diet and nutrition, retention and focus, stress management among other things that will help them tackle life as an adult.</t>
  </si>
  <si>
    <t>Along with the theory, students should be taught these skills in school as part of the curriculum. Leadership skills should be cultivated in them by maybe allowing each child to monitor the class every week or alternatively letting each child get a chance to lead a team in different projects.  Social and communicating skills, eradication of stage fear, presentation of ideas and working in groups can be taught by giving students more action research projects to work on and later present to the class. Thinking on their feet can be taught through debates. Financial literacy and career planning can be taught as separate courses along with retention and focus, stress management, diet and nutrition. Caring for the environment, fitness should be given more priority in the curriculum. Students can study successful business [byju’s, flipkart and oyo] in the field of their choice for exposure to various jobs.</t>
  </si>
  <si>
    <t>This solution benefits us students as it instils practical skills in us. It will help us become more responsible, confident adults who are aware of and can take control of our surroundings. It helps us cooperate with others and become better human beings. It will help us make the most of our knowledge and abilities. As rightly said “Knowledge is knowing what to say, Wisdom is knowing when to say it.” All of us have knowledge, this solution will help us gain wisdom. It will make us curious, more open to the world &amp; its constant changes and understanding to each-other. I truly believe this will help us in the long run. Courses like financial planning have become an necessity because as wonderfully shown by this pandemic, we can never know what the future holds and we have to manage our assets in a proper manner to say the least.</t>
  </si>
  <si>
    <t>When I saw the premise of the competition, I asked myself “If I could change one thing about the schooling system, what would it be?” and this is what I came up with. This is the change I want to see for our generation. Because I fear that even though we are all versed in the theory of the fields we want to pursue, we lack the skills to survive in the real world. I fear that we can’t turn our theoretical knowledge into a practical asset. I don’t want to see the day when someone has an idea for a change they want to see in this world, all planned out, but somewhere in between their lack of practical skills fails them and they can’t execute the idea. Maybe they can’t present their idea properly or maybe they don’t have leadership skills. But I can't to see them fail.</t>
  </si>
  <si>
    <t>December 29, 2020, 3:56 PM</t>
  </si>
  <si>
    <t xml:space="preserve">They are giving suggestion of 21 century skills to be taught in the school and more of practical rather than theoritical. The idea is good but how will they implement it not mentioned. </t>
  </si>
  <si>
    <t>IFT558</t>
  </si>
  <si>
    <t>arti1979goyal@gmail.com</t>
  </si>
  <si>
    <t>Redefine Education</t>
  </si>
  <si>
    <t>We can solve by using mordern technology to study and we use apps to study</t>
  </si>
  <si>
    <t>India's future tycoon</t>
  </si>
  <si>
    <t>We believe in redefine education because we use modern technology to study</t>
  </si>
  <si>
    <t>We use app for study and the class is going on online</t>
  </si>
  <si>
    <t>It is benefit because in this the Corona virus has come so the class is not in school but the class is going online so we are taking classes in our house and we are safe</t>
  </si>
  <si>
    <t>Because  to take classes at home is safest  to go in school to attent the class because at home we are      not taking or touching any one so we are safe from Corona virus</t>
  </si>
  <si>
    <t>https://enpower-school.com/wp-content/uploads/elementor/forms/5ff70dce013d8.pdf</t>
  </si>
  <si>
    <t>January 7, 2021, 7:04 PM</t>
  </si>
  <si>
    <t>IFT577</t>
  </si>
  <si>
    <t>arnavbhanushali1505@gmail.com</t>
  </si>
  <si>
    <t>The problem is that there are apps to educate ,train and help the students but there are less apps which assist the teacher and help their day to day teaching problems.</t>
  </si>
  <si>
    <t>The teachers sometimes feel that since the child has scored good in the test, he is a good student but that is not the case everytime as the student may later forget the content which he had learned for the test.The teacher doesn't realise this and continues the prevailing method of teaching.</t>
  </si>
  <si>
    <t>Teachers are the user group of my app , they are hardworking and have a lot of potential but sometimes they fail to teach in a manner which students remember for life.</t>
  </si>
  <si>
    <t>This problem if solved will directly affect the teachers and students mindset and understanding of the problem and indirectly affect the country and its literacy rate.</t>
  </si>
  <si>
    <t>My solution is to bring forth an app which assists the teacher and solves every one of his/her problems.This app will provide study material, projects, sample test papers, expert advice and workshops which will train the teacher to teach her students in the most skilled and perfect way there.</t>
  </si>
  <si>
    <t>My solution assists teachers and not students.Instead of directing students to the right path ,it directs the teachers to the right path who in turn direct the students to the right path.</t>
  </si>
  <si>
    <t>I  was capable of developing this idea which is why i think i will be the best equiped to offer this solution.Also my father is a BIOLOGY professor which helps me a lot.He can share what problems he faces during teaching.</t>
  </si>
  <si>
    <t>https://enpower-school.com/wp-content/uploads/elementor/forms/5ff73c77dc51c.pdf</t>
  </si>
  <si>
    <t>January 7, 2021, 10:23 PM</t>
  </si>
  <si>
    <t>IFT620</t>
  </si>
  <si>
    <t>armandevilk282004@gmail.com</t>
  </si>
  <si>
    <t>The COVID period was not easy for anyone on this planet. With the end of the year, most of the things have gained their normal pace but education has undergone a revolution. But this change was most difficult to be adopted by a teacher. 
And even when a traditional teacher shifts her mode and knowledge online, then also she is unable to monitor students during the class as well as the exams. So being students, it's very important that we help our teachers to fit in this wave of change and help them overcome their pain from “work from home - work from online”.</t>
  </si>
  <si>
    <t>Students are ones that are most connected to teachers. So we can understand what issues our teachers are facing. We are Science stream students which enable us to understand technical terms and follow them. Our scientific aptitude allows us to develop our app on our own and in future operate it as a startup.Our parents are teachers which help us to realise the real time problems of teachers and think of the most feasible and appropriate solution for that.
So all this enables us to provide this solution.</t>
  </si>
  <si>
    <t>https://enpower-school.com/wp-content/uploads/elementor/forms/5ffb02347947c.mp4</t>
  </si>
  <si>
    <t>January 10, 2021, 7:03 PM</t>
  </si>
  <si>
    <t>IFT102</t>
  </si>
  <si>
    <t>araafpro2@gmail.com</t>
  </si>
  <si>
    <t>Helping children's communication and revision.</t>
  </si>
  <si>
    <t>Many children lack in paying attention in class, the children are shy and have low confidence in them.</t>
  </si>
  <si>
    <t>School students</t>
  </si>
  <si>
    <t>This needs an urgent action because in online classes all students do not open their camera because they are shy and they not unmute because they forgot what was told earlier.</t>
  </si>
  <si>
    <t>Our solution is i need every student to pay attention and what mam taught one day before to others student the same what teacher taught one day before.</t>
  </si>
  <si>
    <t>It helps them to revise, build confidence and not to be shy in todays life student are very shy in online classes they don't unmute and not start their camera.</t>
  </si>
  <si>
    <t>Being students ourselves.</t>
  </si>
  <si>
    <t>https://enpower-school.com/wp-content/uploads/elementor/forms/5fe705fcc4d66.docx</t>
  </si>
  <si>
    <t>December 26, 2020, 3:14 PM</t>
  </si>
  <si>
    <t>IFT030</t>
  </si>
  <si>
    <t>aparnatmr@gmail.com</t>
  </si>
  <si>
    <t>Arul</t>
  </si>
  <si>
    <t>These days, children are facing problems and so are teachers. The load of work of teachers have been increased due to these virtual classes. Teachers are having ton more problem than the students as the teachers have to make the concept clear of a student which is only possible by making presentations and documents which can only be created by the hardwork and giving it a lot of time, throughout the day.</t>
  </si>
  <si>
    <t>Teachers face a lot of problems and some of them are:
	Very few students are active in the class which disheartens the teacher as she has spent the past day preparing for the class and now very less students respond.
	Because the classes are online the teachers cannot force the students to open their video’s or unmute them to ask for an answer.
	As this is the case there is limited amount of classes as we have to reduce excess screen time and it is difficult for the teachers to complete the necessary syllabus in very less time</t>
  </si>
  <si>
    <t>The group to which we are trying to address the problem is teachers. They are the one who are having most problems in this pandemic.</t>
  </si>
  <si>
    <t>https://enpower-school.com/wp-content/uploads/elementor/forms/5fdddf22396d0.pptx</t>
  </si>
  <si>
    <t>December 19, 2020, 4:38 PM</t>
  </si>
  <si>
    <t>The idea is good but the solution is not convincing as they are specifying on survey and experiments by students at home, they haven't clearly explained their idea how will this happen also the PPT attached is blank.</t>
  </si>
  <si>
    <t>IFT401</t>
  </si>
  <si>
    <t>aparnasaha484@gmail.com</t>
  </si>
  <si>
    <t>West Bengal</t>
  </si>
  <si>
    <t>Problems are usually very obvious and clear. One should not assume the problem in evident and jumped right to solve it . Because ill defined problems lead to ill defined solution it always better if we give more time defining the problem and less time finding the solution . Sometime solution is hidden within the problem and that solution is usually appears and straight forward by defining problem properly we make them easier to solve which means saving time money and resources . We need to make sure we are identifying the true underlying problem causing the public health moreover, its better to define the problem in term of need and not solution if we define the problem in term of possible solution we are closing the door to other possibly more effective solution and we might be wasting our time so is it often I said that "be more in love with the problem then the solution".ve</t>
  </si>
  <si>
    <t>Covid-19 pandemic has disturb the education system . In the pandemic online learning has taken place all over the country. Throughout online platform but all the student to access this closure of school college and institute has affected billion learners all over the country . Lack of self motivation among students continue to be one of the primary resources why student failed to complete online courses online . Student can cheat on assignment and easily as they take assessment in their own environment. There is lack of face to face communication with the teacher and this led to lack of study pressure student abandoned their studies.</t>
  </si>
  <si>
    <t>Rural pupils, urban students and NGO's</t>
  </si>
  <si>
    <t>This problem is critical and needs an argument solution because it is a novel practice from we have never seen before so all are puzzled and finding way out it won't solve soon. It has affected different people in different ways student continue to grapple with the education fall out of the pandemic there is a class divide in place with the impoverished student of India having the least access of internet there is uncertainty about how how school closures last impacted student achievement as well as how the Rapid conversion of most introduction to an online platform this academic year will continue to affect achievement School closure in Spring 2020 likely had negative effect on student learning</t>
  </si>
  <si>
    <t>Problem of inaccessibility to online classes can be sorted out if various Agencies are set up in remote areas there are many NGOs who wants to help such people to expand Global support for action. On education at this time so this problem gives opportunity to the NGOs as they can help children. where as a student can also avoid this education facility that is they are not have to give Edward the disadvantages of online classes student have plenty of time at their home so they can utilise this time for their father education they can give a boost to their career by doing online classes on career ended up like white hat junior app building strong self motivation is key to succeed in an online learning environment and the cheating measures like exam exam it must be put in place by any online education institution online lecturer which required communication must be used during online learning</t>
  </si>
  <si>
    <t>My solution is the result of well organised homework experiment and anecdote oriented locally I tried these steps are solution among my friend circle there to be benefited and boost up with that positive revisions my friend are also including themselves by doing classes on carrier oriented app</t>
  </si>
  <si>
    <t>I face the problem along with others so I have first experience to deal with it, moreover I have done my homework during quarantined and that how should we overcome this problem. As a student I have faced many technical issues during online courses moreover time management is a difficult task for E-learners as online courses required a lot of time . I have got my research on this form internet and article alone is good but at its initial stage it poses certain Threads to students and has even I have gone through this problem so I think my best equipped to offer the solution.</t>
  </si>
  <si>
    <t>December 31, 2020, 10:45 PM</t>
  </si>
  <si>
    <t>Not explained the ida clearly</t>
  </si>
  <si>
    <t>IFT545</t>
  </si>
  <si>
    <t>aparnadas4262@gmail.com</t>
  </si>
  <si>
    <t>Sohan</t>
  </si>
  <si>
    <t>The problem is that students would find difficulties in complete offline studies as they are now in a habit of studying with laptops and mobiles.  If students are exposed to blackboard education immediately, they might find it boring and their interest in studies also may get down.</t>
  </si>
  <si>
    <t>The problem would make the student a bird which wants to fly but is trapped in a cage. He cannot do things which he is interested in and he would be forced to do things in which he is not interested. He/she  would get frustrated and depressed as he would not be able to do all the extra activities in which he is interested and he have to spend most of his time in learning books.</t>
  </si>
  <si>
    <t>The user group who would be facing most problems would be teenagers as they have the want to grow and do extra things but cannot do all at the same time. This would affect their growth and health.</t>
  </si>
  <si>
    <t>There is an urgent need for a solution as the country is in its unlock stage. Soon schools and colleges will open and there will be no time to fix this problem as students would soon continue to go to school in a routine way.</t>
  </si>
  <si>
    <t>My solution is that students should be educated in a combination of online and offline study. Students should go to school to learn, not to note everything in their copies which means schools should call the students for practical classes only and continue with the theory lectures online or another possibility is that half of the students should be called to school on one day and half of the students the next day and when half students are attending classes in school half of the students should attend classes online as this would lead to good health of the students as well as maintain the interest of the students in studies and this surely should enhance the interest of the students and they would learn in a better way and as the world is heading for a digital era, this way schools may produce significant leaders of tomorrow.</t>
  </si>
  <si>
    <t>This would reduce the load on students as well as they would get ample of time to do extra things in their life. They would get time to learn extra things and to maintain their health and mind and this would definitely increase their interest in studies and would learn in a better way.</t>
  </si>
  <si>
    <t>I think that my idea is the best because I am also a student and I know the best about myself and other students of my age.</t>
  </si>
  <si>
    <t>January 7, 2021, 1:23 PM</t>
  </si>
  <si>
    <t>IFT203</t>
  </si>
  <si>
    <t>aparajitasharma1210@gmail.com</t>
  </si>
  <si>
    <t>Though online education is better idea but that gives people a lot of problems also . As everyone does not have proper network connection, unavailability of needed devices(tabs, smart phones) due to financial problems . And also many students out there are not taking these classes seriously .</t>
  </si>
  <si>
    <t>Many people , especially people of rural areas are not getting proper network connection and the required devices as those areas are not very much developed . Even some areas are not at all developed . so how can they attend the classes ? And many students (from all areas including urban areas)are not taking these online classes seriously . They perceive this situation as an holiday breaks which is not at all good , neither for them nor for their studies .</t>
  </si>
  <si>
    <t>The user group whose problem we are attempting to solve is basically students of all areas only . As online classes has to be attend  by them , so they know and face a lot of problems . Like students of rural areas are not getting required facilities and requirements . And students of urban areas are getting what they require , but the problem is that they are not taking it seriously , they are taking it in a normal way , which is not at all normal .</t>
  </si>
  <si>
    <t>We believe that these problem is critical because these problems are related to education and education can not be ignored at any cost . Yes while attending online classes we face problems which make us feel that offline classes were better . But our present circumstances are such that we can't have offline classes . So online classes is the only solution . Ss no one knows when this pandemic will come to an end , solution to these problems is a must .</t>
  </si>
  <si>
    <t>For that two problems we have thought of two respective solutions . first , BYJU'S is collecting unused devices (tabs, smart phones) from the people who are willing to give that . Then they are upgrading it with learning application and they are giving those devices to the students who are really in need . So yes it is a good idea . But what about network ? So for that we have thought that they should first analyze those areas , and should check the availability of network towers (cell sites) . And if there is the requirement of cell site then they should ask govt. or network companies for that and should first make that areas developed . And second , there should be educational based advertisements instead of those ads. which are invalid for children , that would promote education and make students aware of that . As ads. makes a faster place in their mind it would really work .</t>
  </si>
  <si>
    <t>Our solution will definitely give benefit to them as our solution is all based on the development and improvement .We have thought of their benefit . and if they will get , what they have wanted , then for sure their pain would be reduced . Like if there would be development in those areas , where there is a need of development , then there would be availability of the needed things . Like development of cell sites would be really helpful for the people living in those areas . And the educational ads. will encourage students , which would be really great .</t>
  </si>
  <si>
    <t>We think that we are the best equipped to offer this solution as we are also students , we also face many difficulties while attending online classes . And a student can better understand the problems that are being faced . As we also sometimes do not take the online classes seriously . And about the rural areas, we have heard about it from many people , for example , the aunt who use to come to our house for work is also from an rural area which is not developed . She shared her and her daughters experience about the problems , that they are not getting proper education . And then we have also read about it from the news . So we can understand these problems that are being faced . so yes we are the best equipped to offer these solutions .</t>
  </si>
  <si>
    <t>https://enpower-school.com/wp-content/uploads/elementor/forms/5febbcdb00a90.pptx</t>
  </si>
  <si>
    <t>December 30, 2020, 5:03 AM</t>
  </si>
  <si>
    <t>IFT301</t>
  </si>
  <si>
    <t>anushkaramesh024@gmail.com</t>
  </si>
  <si>
    <t>https://enpower-school.com/wp-content/uploads/elementor/forms/5feccc9678c67.mp4 , https://enpower-school.com/wp-content/uploads/elementor/forms/5feccc967e187.docx</t>
  </si>
  <si>
    <t>December 31, 2020, 12:23 AM</t>
  </si>
  <si>
    <t>IFT205</t>
  </si>
  <si>
    <t>antriksh.shiva12d@maxfortdwarka.com</t>
  </si>
  <si>
    <t>The best business to start would be Recycling fashion waste. It is a lucrative business especially if operated from a third world country. The global waste trade is a huge market. The potential market is too huge it may appear small on the surface, but it is HUGE, and the market is ever growing. Each year we add more to the pile of pre-existing waste. Almost 10% of the global carbon emissions are from the fashion industry. The value that we can provide not just to our shareholders, partners and environment can be immense and people love that, they want a piece of the dream. Now I understand a lot of R&amp;D goes into developing efficient solutions for waste management so the business should start with recycling or obtaining cloth waste. It’s a lot easier field to operate in. The clothing line which being a labor-intensive task requires unskilled workforce. Can really help us as India has a huge labor force, which can be used to our advantage. Environment protection Agency (EPA) said “The recycling rate for all textiles was 15.2 percent in 2017, with 2.6 million tons recycled. Within this figure, EPA estimated that the recycling rate for textiles in clothing and footwear was 13.6 percent based on information from the American Textile Recycling Service.”
Now that is a huge opportunity just lying there in our landfills, similarly around the globe the situation is same if not worse.</t>
  </si>
  <si>
    <t>Too much fashion waste exists in the developed economies and the developing economies are also starting to face the same problem.</t>
  </si>
  <si>
    <t>Rich countries and developed worlds problems for the time being future clientage may vary as humans have a tendency to consume more and use resources more than necessary.</t>
  </si>
  <si>
    <t>Environment protection Agency (EPA) said “The recycling rate for all textiles was 15.2 percent in 2017, with 2.6 million tons recycled. Within this figure, EPA estimated that the recycling rate for textiles in clothing and footwear was 13.6 percent based on information from the American Textile Recycling Service.” The data provided clearly highlights how bad the situation is.</t>
  </si>
  <si>
    <t>recycling the clothing material from the pile, we can get our clothes hand stitched by weavers in India. These can be later sold back in various countries. We will put a complete description of the weaver’s journey and how this product not only helps him but also the environment. Our aim would be to choose the most underdeveloped societies across countries and help them make these products. It will impact the society in a positive way and bring the change needed to move towards a more sustainable and better future.</t>
  </si>
  <si>
    <t>I think I am the best equipped for this problem as I have a great plan , mental aptitude and the financial knowledge required to carry out the task . This business is only sustainable as long as there is profit the moment your profit making falls the whole model collapses that's why you need someone who understands the model and can run it.</t>
  </si>
  <si>
    <t>December 30, 2020, 10:56 AM</t>
  </si>
  <si>
    <t>The idea does not match the theme of the event. Could it be explored if the student is asked to focus  school uniform recycling</t>
  </si>
  <si>
    <t>IFT631</t>
  </si>
  <si>
    <t>anshulraj48@gmail.com</t>
  </si>
  <si>
    <t>1. Immature students using abusive language in class(even with teachers!).
2. Playing songs in the class by the same great people.
3. Time getting wasted in-
(a) Joining class by putting ID and then Password
(b) Teacher manually taking attendance. (in some cases, up to 30mins are wasted!)
4. (Most of the) Teachers not having enough knowledge to make slides and notes digitally.
5. Students leaving the class after attendance is taken. (How ingeniously stupid!)
So, how can teachers conduct quizzes if students keep filling junk in the chat?
How can students enjoy the class if the problems mentioned above persist?</t>
  </si>
  <si>
    <t>Ex 1 - Once in Biology class, the teacher was asking questions. Students had to raise hand, then they were unmuted by the teacher. If someone mutes again, the whole process had to be repeated.
Ex 2 - Students have to join the classes by entering the password every day, which is time-consuming.
Ex 3 - Teachers have to disable the chat and audio too. (in order to main the decorum of the class)
Ex 4 - School has to send messages about the classes and students have to view them to get the password and details. (Everyday!)
Ex 5 - Online classes are not 'fun'. (according to some students).
Ex 6 - My maternal aunt has to sit with her daughter all the time during class. (Because my sister is studying in junior classes.
These are just a few examples. But, I suppose the problem is quite clear. Isn't it?</t>
  </si>
  <si>
    <t>Yeah, sure. Most of the consumers would be students, teachers, and educational institutes. (Companies as well if they need a modified version of this for professional use).
There will be a simpler version of this app for younger students whose parents need to sit with them during classes.
Our market will be the education industry spanning from schools, coaching institutions, private tuitions, to online courses, and colleges.</t>
  </si>
  <si>
    <t>Interferences with online class can be tolerated if they happen very rarely. But this has become a daily problem. Imagine being a student and spending 5 minutes just to join a single class. Imagine being a teacher and spending 10 - 15 minutes just admitting the students and taking attendance. And Imagine being a mother and sitting with your daughter for 3 hours just making sure that she's taking the class. 
Doesn't seem much? Imagine doing this 6 times a week for 1 year. And congrats, you have successfully wasted between 28 Hours to 6 WEEKS of your life doing nothing!
That is exactly why this problem is absolutely critical and needs an efficient solution ASAP! We are humans after all and we are not made to do things which a machine can do for us.</t>
  </si>
  <si>
    <t>Simply put, I want to make an App + Web App which uses AI to filter out offensive and abusive messages from the chat and report the school about the student who did it. 
* The students/teachers/users have to log on and their schedule will appear they simply need to click one button to join the class. 
* The students can monitor their class performance at whole new level.
* The classes will be recorded as per the wish of the institution. (for student's)
* Automatic attendance will be taken
* Easy and friendly mode for junior students
* And everything else one might need (like notes, quizzes)
Important - 
* There will be a reminder after sometime to ensure that the student is actively taking the class (like You Tube)
* Personal / Group battle front for students (battle of knowledge of course! through quizzes, problems, any thing else people can come up with). [ I'm trying to gamify the process of online learning so it is much more likeable ] 
Future - 
* Virtual science labs for students who can't access the materials required to perform experiments.
This all can be used with physical classes. Suppose you are a student and you go to school for 2-3 hours only and at that time, you do practical work and learn something new. Every day would be so much fun...!</t>
  </si>
  <si>
    <t>There are many solutions out there but, none is like this one. I have tried my best to identify the problems of a variety of people and tried to solve all of them with a single app. The fact that ME BEING A STUDENT is also vital for the possible success of the service. Because I can explore and understand the problems better than other people. Also, it is quite tempting as well. Because you can save a lot of time with this. 
More importantly though, if you closely analyse the intent behind me doing this and some MNC doing this, you can quickly see the bigger picture. 
My intent - Earn fame and recognition so that I can go to my college of choice i.e. MIT and have a good future. 
MNC's intent - Earn money by hook or crook. (For example the current situation of WhatsApp)
That's all I had to say on this topic, the rest is up to you.</t>
  </si>
  <si>
    <t>Can you identify the difference between the food your mother mother made and street/restaurant  food? Why did mother's food was at another level even when compared to the costliest hotels? That's  because the passion behind it. 
Just like that, I'm truly passionate about this project and enjoy every bit of it. This helps me get a super good night sleep. 
As I mentioned earlier as well, I can better understand and 'feel' the situation when compared to someone from the outside. Also, I have no desire to steal people's data and earn money.
I'm still learning to make an app. But the backend part, the AI one is just near my reach. I need to work really hard though. For backend I'll use Python and for frontend, I'll use Flutter with which, we can me apps for Android/iOS/Web from the single codebase.
I'm sharing some screenshots. Although no one is about the actual thing (the AI filter) I'll need extra month or so to build it. But I tried my best. Thank you so much for reading all this.</t>
  </si>
  <si>
    <t>https://enpower-school.com/wp-content/uploads/elementor/forms/5ffb45c3f310a.mp4 , https://enpower-school.com/wp-content/uploads/elementor/forms/5ffb45c4e15a0.mp4 , https://enpower-school.com/wp-content/uploads/elementor/forms/5ffb45c566154.pdf , https://enpower-school.com/wp-content/uploads/elementor/forms/5ffb45c57b1d1.pdf , https://enpower-school.com/wp-content/uploads/elementor/forms/5ffb45c57bcde.pdf , https://enpower-school.com/wp-content/uploads/elementor/forms/5ffb45c57c792.png</t>
  </si>
  <si>
    <t>January 10, 2021, 11:52 PM</t>
  </si>
  <si>
    <t>IFT602</t>
  </si>
  <si>
    <t>anshul348567@gmail.com</t>
  </si>
  <si>
    <t>DLF Public School</t>
  </si>
  <si>
    <t>helping in preventing mental illness by AI , using of face recognition and voice recognition models</t>
  </si>
  <si>
    <t>Our project uses the AI to help people tackle and reduce the mental illness, anxiety , and depression present in the society. Our project will be built in software Python , chaquopy and kivy, our application   will be a cross platform application. There will also be a chatbot that will prevent mental illness by talking to the person.Our  Ai will   try to prevent the mental illness in society . Our application will study about the user with different mood swing and detects the level of illness then it try to help user with the solution(our Amita will be train with problem , solution dataset) if no solution app tells the basic medicine to user and inform user close ones , If user is Feeling low then Amita try to make the user happy by sharing some amazing quotes and video of  user interest and if that don't work user close ones are informed about it (close one list can be edited by user).</t>
  </si>
  <si>
    <t>to solve teen age</t>
  </si>
  <si>
    <t>as in recent years there has been increase in mental illness in teen age group, students kill themselves sometimes because of mental illness , and everyone is shy about telling they have mental illness so it need urgent and personal solution so everyone can get cure with our application</t>
  </si>
  <si>
    <t>our solution is to build the the application in for phone which can check user emotion and the kind of word they use and even what they are searching on google . face/voice emotion recognition can be done with AI , which we have already build  and currently upgrading it for more advance version of it. when our bot detects the user can go in mental breakdown or is going through  then it can contact his close ones if user wants or give him advice . and consult a doctor for him</t>
  </si>
  <si>
    <t>our solution will help user to tackle the mental illness , and help in preventing it. as per study  gaming helps to prevent mental illness these all feature we can include in our app so user is always interacted with it</t>
  </si>
  <si>
    <t>i think its best solution because it help user to stable his/her mind and tackle them mental illness and will also give a  test report on the way he/she acted for a weeks. our idea will help them to tackle mental illness soon</t>
  </si>
  <si>
    <t>https://enpower-school.com/wp-content/uploads/elementor/forms/5ff8e894e6f79.pptx</t>
  </si>
  <si>
    <t>January 9, 2021, 4:49 AM</t>
  </si>
  <si>
    <t>IFT074</t>
  </si>
  <si>
    <t>anoushakumar.shrivastava@gmail.com</t>
  </si>
  <si>
    <t>CBSE/ICSE</t>
  </si>
  <si>
    <t>There is a wide disparity between the rich and the poor in the country and an equal level of disparity in terms of access to the elite education services. Quality education can be accessed by the people the only few people who can afford it. Although the government provides free education to the students at the primary level the quality is very poor, unlike the developed countries where educational quality at public schools is very good. At least 35 million children aged 6 - 14 years do not attend school. Our education system is more inclined towards rote learning instead of practical applications and analytical skill development. The quality of teachers recruited at low-income schools, government schools, and mid-income schools is not up to the mark. They do not possess good communication skills and a thorough knowledge of the subject. Moreover language barriers have been increasing in our country due to its diversity too.</t>
  </si>
  <si>
    <t>Only 18.3% of engineers that pass every year are employable in India. It is high time we encourage students to quit mugging up and help them gain some practical knowledge! Lack of good teaching professionals is that it is not a very lucrative profession. Teachers are not incentivised enough to perform better in their jobs. There is no motivation available to them. The pressure of getting marks better than other kids have become symbol status for people. Societal pressure to get into good schools is not only for educational aspects but also for marriage prospects.</t>
  </si>
  <si>
    <t>Illiteracy becomes a vicious cycle affecting the social and economic development of India. 35 million children aged 6 - 14 years do not attend school. Due to this issue the user group we will be targeting are children from 1st-6th grade. To help them with their basic education like knowing how to read, write, solve and contribute to the country.</t>
  </si>
  <si>
    <t>This problem is severely critical as India’s whole labour force is developed through the upcoming generation and if 35 million are not contributing to it then the economy suffers. Any child or adult deserves a right to education and some one has to take a step and initiate the process in order for them to be literate citizens of our country.</t>
  </si>
  <si>
    <t>Our solution is a platform where students can learn with their convenience any time of the day wherever they want, whenever they want wherein students will be guided with the study material and proper YouTube videos on topics and the portion for each grade. We will be connecting them with proper teachers. Students will be tested upon their knowledge after every topic too. This will be provided in 2 different languages so that children who won’t be able to comprehend English can switch and use Hindi. Moreover children will be studying three basic subjects where in they can study at their own pace. The website will be accessible and free of cost for these low income groups. The technology will be simplified to be used by children of those ages.</t>
  </si>
  <si>
    <t>Our solution will help them learn at their own pace in addition it will be free of cost unlike byjus and cousera wherein they charge high amounts of money. Moreover multiple children can access one account developed on our site so if there are multiple children in one household, all of them will be gaining knowledge. The site can be accessed on any device therefore it is also convenient for one. In this pandemic it is necessary for these children to also be learning online like us hence this website will be helping them at least get basic education.</t>
  </si>
  <si>
    <t>I am equipped because I have faced an issue of “how to study” previously and as a student I believe I know how to solve such an issue. Moreover I have seen and helped these underprivileged children before so I think I will be having a better perspective than an adult in these issues.</t>
  </si>
  <si>
    <t>December 24, 2020, 6:45 PM</t>
  </si>
  <si>
    <t>IFT482</t>
  </si>
  <si>
    <t>annikasaraswat@dldavppcbsei.com</t>
  </si>
  <si>
    <t>Studies and exams can be important for several reasons. ... The exam becomes the student's opportunity to bring all of the material they have learned together and process that information to combine all their knowledge on the subject into some sort of meaningful response, like an essay or research based test.</t>
  </si>
  <si>
    <t>Stress  who are overwhelmed balancing multiple classes with work schedules and extra activities. Studying proves another monster conducive to stress.</t>
  </si>
  <si>
    <t>Stress occurs naturally in  students, who are overwhelmed balancing multiple classes with work schedules and extra activities. While learning new things is always exciting, when you're doing a course you have the pressure of needing to get a certain mark to pass. This means that studying and doing assignments can be stressful. Studying also takes a lot of time, and it can be hard to balance it with your other life commitments.</t>
  </si>
  <si>
    <t>Fun Meet
It is an kid safe application which allows kids innovate and learn in an interesting way of quiz, games and fun learning stuff.{compatible for NCERT and CBSE }.this will give relief from cheating because the app will allow everything according to teacher accept camera. Includes kid safe browser.</t>
  </si>
  <si>
    <t>I am the best equipped to offer this solution as I think both wise as a child’s innovative idea and the programming wise too as it has everything possible inside the application and in additional Fun meet also comprise of different browser for kid safet.</t>
  </si>
  <si>
    <t>https://enpower-school.com/wp-content/uploads/elementor/forms/5ff45bedad24a.pptx</t>
  </si>
  <si>
    <t>January 5, 2021, 6:00 PM</t>
  </si>
  <si>
    <t>IFT085</t>
  </si>
  <si>
    <t>anish.goel.2709@podarinternationalschool.com</t>
  </si>
  <si>
    <t>The earth is dying due to the harmful use of earth's limited resources. Everyday millions of square feet are taken in parking of cars that pollute the environment, unhealthy pollution is released because of the burning of fossil fuels.</t>
  </si>
  <si>
    <t>From the burning of fossil fuels cars release unhealthy pollutants that can harm the environment and badly affect the human health.  Parking space is a big problem as many fights take place due to these problems and lots of money is wasted in parking projects, other than this parking takes a lot of space .</t>
  </si>
  <si>
    <t>Our user is every human being that drives a car or has a authorized driver's license.</t>
  </si>
  <si>
    <t>Day by day our world's resources deplete as we humans use them. We need to make a change as even if we go to mars but continue the same habits then our species will go extinct. The toxic fumes and pollutants harm the environment and damage the ozone layer which protecting us all. we have to act now because if we don't then say goodbye to your precious home.</t>
  </si>
  <si>
    <t>Our solution is the Foldable Solar-Powered Car. This car can fold to as small as an Tesla key and grow back to its normal size using nanotechnology. The feature of folding eliminates parking problems and creates more space and solar powered prevents it to release any harmful fumes or pollutants. It can be unlocked from an app in your phone which uses any type of security you want, like bio metrics or pattern. The folded car will also have a backup security system to unlock it.</t>
  </si>
  <si>
    <t>Benefits are:
From the space we can build homes for the homeless and grow more trees. The car would also enable to reduce fights as many fights happen per day  for parking space .The solar powered fuel would enable it to work without any damage to the environment.</t>
  </si>
  <si>
    <t>Nobody has ever thought of parking affecting the environment , where as if parking space is removed then there is enough space to give everybody a home and grow more trees or create a wildlife sanctuary. Humans change slowly that is why we start to improve the basic polluter of the environment , a car.</t>
  </si>
  <si>
    <t>https://enpower-school.com/wp-content/uploads/elementor/forms/5fe5b24b2856e.jpg</t>
  </si>
  <si>
    <t>December 25, 2020, 3:05 PM</t>
  </si>
  <si>
    <t xml:space="preserve">Repeated, same as IFT 084. Marks are given just in case if the idea is promising and could be brought under the theme if the parking plots are for the school buses instead of cars. </t>
  </si>
  <si>
    <t>IFT612</t>
  </si>
  <si>
    <t>aneesha0408@gmail.com</t>
  </si>
  <si>
    <t>How can more inclusive educational environments be facilitated, to promote viable and resourceful sex-education?</t>
  </si>
  <si>
    <t>Within menstrual hygiene education curriculums in BMC operated Municipal School, 1) awareness about pros/cons and economic benefits of sustainable menstruation options available 2) bursting period myths and talking about the societal menstrual taboo and 3) a study of waste disposal methods for menstrual waste, are often missing in Mumbai. Around 80% of teachers believe that menstrual blood is impure and this belief is perpetuated within students. Proper and non-stigmatised education on the three points must be mandated in the curriculum since these are essential issues. Menstrual  education should be beyond the 'biology' of menstruation and taught to all sexes.</t>
  </si>
  <si>
    <t>Students in Brihanmumbai Municipal Corporation municipal schools of Mumbai are often not provided with suitable education on menstruation and further, do not include any education on queer and LGBTQIA+ menstruators. Almost 30, 000 people go to BMC schools, and the lack of proper menstrual health management education leads to them dropping out of school by the age of their first period. We attempt to solve the lack of education and access to menstrual products for menstruators in BMC schools. They make up a large part of Mumbai's population but have no inclusive and comprehensive resources.</t>
  </si>
  <si>
    <t>If we provide education to one girl positively, we impact a country progressively. In a country where daughters are 'gifts', why is it that education to menstruation is a privilege and not a right? It is necessary for students to have these topics covered in their curriculum. The lack of education menstruation is a dilemma and issue for everybody. The basic biological phenomena is regarded negatively, causing embarrassed and awkward classroom lessons- something no menstruator should be ashamed about. Awareness and access to menstrual products will benefit a girl’s overall education. Periods end sentences, not a girl's right to education.</t>
  </si>
  <si>
    <t>The Period Society Mumbai which aims towards reforming menstrual health education and policies. These three issues are often missing in the biology focused curriculum at these schools despite the fact that menstrual health is an intersectional issue. To change these social attitudes and impact other issues surrounding periods it is necessary for students to have these topics covered in their curriculum. We propose and have already executed some of the options for these to be included such as but not limited to having a one day workshop, including them in state board textbooks, or asking teachers to go over them with a pamphlet. We target BMC schools and localities by providing them with basic education on the usage of, disposal of and consumption of menstrual products, along with providing menstruators with sustainable products like biodegradable pads and menstrual cups.</t>
  </si>
  <si>
    <t>The Period Society is a distinct solution because we practice what we preach. We address people from different socio-economic backgrounds and provide them with the necessary resources. More importantly, we are entirely youth-led and mainly Generation Z, which means we can come up and provide some extremely important and relatable information and solutions to menstruators. We promote young menstruators of different identities: trans, disabled, poor- with no judgement. We want to have this critical conversation which will motivate multitudes to normalize talking about periods openly and make India (and the world) a period positive society. We work within schools and alongside district officials in places across Mumbai. To end with, we focus on environmental sustainability and conscious branding, ensuring that all products we distribute are biodegradable, providing our care to beyond just menstruators, but also the environment. We believe that periods end sentences, not a girls right to education.</t>
  </si>
  <si>
    <t>I am privileged enough to have access to a good education and can provide the less-fortunate with the necessary resources to have a hassle-free, no-restrictions period and am accessible to good sex-education within my school. Moreover, I do know how to empathise and I am a menstruator myself: which provides me with an upper-hand when trying to convince and educate other menstruators to use menstrual products. I believe that I can be an agent for change because of my belief in the importance of smashing the stigma around menstruation and understand how to educate young girls. I have worked on eradicating the stigma in my home and my classes, and believe that I am equipped to solve this issue simply because I am privileged and driven; ready to make a change, whatever it takes.</t>
  </si>
  <si>
    <t>https://enpower-school.com/wp-content/uploads/elementor/forms/5ff9ee1413c43.mp4 , https://enpower-school.com/wp-content/uploads/elementor/forms/5ff9ee143125d.mov , https://enpower-school.com/wp-content/uploads/elementor/forms/5ff9ee1491669.mov , https://enpower-school.com/wp-content/uploads/elementor/forms/5ff9ee2388c7c.jpeg , https://enpower-school.com/wp-content/uploads/elementor/forms/5ff9ee238a4b5.jpeg , https://enpower-school.com/wp-content/uploads/elementor/forms/5ff9ee238bad8.jpeg , https://enpower-school.com/wp-content/uploads/elementor/forms/5ff9ee238c0a5.jpeg , https://enpower-school.com/wp-content/uploads/elementor/forms/5ff9ee238c5c4.jpeg , https://enpower-school.com/wp-content/uploads/elementor/forms/5ff9ee23a205c.jpeg , https://enpower-school.com/wp-content/uploads/elementor/forms/5ff9ee23a2499.jpeg , https://enpower-school.com/wp-content/uploads/elementor/forms/5ff9ee23a28c0.jpeg , https://enpower-school.com/wp-content/uploads/elementor/forms/5ff9ee23a2cf9.mov</t>
  </si>
  <si>
    <t>January 9, 2021, 11:25 PM</t>
  </si>
  <si>
    <t>IFT297</t>
  </si>
  <si>
    <t>anat.bogomolov@gmail.com</t>
  </si>
  <si>
    <t>Distance teaching often harms the learning process: the learning is very passive; students lose the motivation to learn; there is a bad communication between the teacher and the class.</t>
  </si>
  <si>
    <t>Distance teaching causes the following problems: 1) because of passive learning, students are not concentrated, they lose interest and motivation to learn, 2) students feel lonely, they do not have a good communication with their classmates and with the teacher, 3) the teacher has no way of getting real-time feedback from the students, and cannot assess well the level of understanding that the class has. These problems harm seriously the learning process.</t>
  </si>
  <si>
    <t>All the students around the world who study in middle school and high school.</t>
  </si>
  <si>
    <t>I believe this problem is critical because a lack of motivation during the pandemic period may lead to a decline in student achievements. Individual students may feel that there is a gap between their level and the class level, and this may even lead to depression. During the pandemic period it is especially important to maintain mental health of the students, and this requires being constantly in touch with their friends, setting goals and achieving them, and especially feeling that they matter.</t>
  </si>
  <si>
    <t>My solution is learning in small groups of 5-6 children, with each group learning independently the material the teacher has given. Each of the students in the group will lead the group in a particular subject, the subject in which he/she is the strongest. The group will learn the material together, and the teacher will meet with each group frequently in order to check its progress and maintain continuous learning. Within the group, the students will help each other understand the material, will support each other and will push each other forward. In distance learning mode the groups can meet via Zoom. It is possible to hold competitions between the teams, for example based on average exam grade of each team. This will give a lot of personal responsibility to each student and motivation to do his/her best while learning.</t>
  </si>
  <si>
    <t>Learning groups can help in a lot of ways. The fact that they are small and consist only of students helps students feel free to talk about their difficulties, so that other students can help them. This comes in contrast to a big class group where the student may be embarrassed to share his/her difficulties. In addition, having subject leaders in each group will give leaders a sense that they are important and that they can help others, and this will help them feel well and be mentally healthy. Independent learning will provide students with tools for their lives in which they will often encounter independent learning. In addition, in small groups there are lots of options for things that cannot be done in a large group, such as learning by means of a game, and in conditions that are comfortable for as many people as possible.</t>
  </si>
  <si>
    <t>I think I can offer this solution because I personally experience these problems. In addition to that I meet many kids in different age groups, and find that many kids experience such problems.</t>
  </si>
  <si>
    <t>https://enpower-school.com/wp-content/uploads/elementor/forms/5fecb76dc72b6.pptx</t>
  </si>
  <si>
    <t>December 30, 2020, 10:52 PM</t>
  </si>
  <si>
    <t>suggestions for small learning droup in classroom. no concrete idea</t>
  </si>
  <si>
    <t>IFT592</t>
  </si>
  <si>
    <t>amudhababu2003@gmail.com</t>
  </si>
  <si>
    <t>“Education is the most powerful weapon which you can use to change the world” – Nelson Mandela. Education is such an important thing. But there are many problems in education such as online distractions, non-availability of content to students to their understanding levels, low number of attendance in online class, improper homework submission etc..</t>
  </si>
  <si>
    <t>DETAIL DISCRIPTION OF THE PROBLEM
ONLINE DISTRACTIONS: During online classes students get distracted in social Medias and others. They may connect the classes and may do any other unwanted works in the mobile or PC, as we use apps on electronic gadgets to attend classes.
POOR ATTANDANCE: Since the class on online is not effective, schools encounter a low attendance compared to live classes. Many students are not telling them to their parents hence not attending classes. 
INADQUATE MATERIALS: Both during live and online students are not getting relevant topic to their understanding levels and their expertise. They want their topics to be learnt where, when and how they want. And they don’t want education just by memorizing the textbooks.
HOMEWORK: During these online classes the teachers are trying hard to keep students in touch with studies. So they are giving homework regularly. But the students are not bothering about them.
These are the major problems faced during online classes</t>
  </si>
  <si>
    <t>At first we conducted a Google form survey to teachers to know their views and pain points in online classes.  We asked many questions about the response in the classes and about the examination. We received 56 responses. We felt their pains. We also took interview with a students and a teachers to understand their problems. And now with their help we have come up with some ideas to solve the problems of students as well as teachers.</t>
  </si>
  <si>
    <t>Our education is based on student’s intelligence and learning but not on memorizing power. Since Students need their content to their individual expertise. And the distractions may lead to the spoilage of their life. It should be cut off at the initial stage itself. The teachers give us homework to make us better. This is the age to learn. If not now then it is not possible at any time. Now we though have moved to virtual reality classes we encounter many problems as said above, so these problems need an urgent solution before we move again to live classes.</t>
  </si>
  <si>
    <t>OUR SOLUTIONS:
AVOID DISTRACTIONS: To avoid distractions we will offer locked virtual classes so that they can’t come out of online class app. If they switch tabs it will be indicated to their school so that the teachers can guide them properly. 
ATTANDANCE SYSTEM: Attendance will be made compulsory. Only the student will be allowed in the class if the camera is switched on. Artificial Intelligence will be coded, so that the organizing system will have an image of the student. If it matches then they will be allowed to attend the class.
MATERIAL GUIDENCE:  We can also create software that gives relevant content to students to their own understanding levels. We can build tutors with metrics on how they behave during solving a problem and in accordance to their expertise. We can also bring Augmented Reality in a wide project to make education more fun and better understandable.</t>
  </si>
  <si>
    <t>Distinct benefit:
With strict rules teachers can give more attention to each and every student. Students also may learn without any distractions. They can learn on their own expertise by intelligent tutors who also understands our expertise. Teacher’s pain points can be solved by giving them the student view through camera and effective tests. Students may not be misguided due to the distractions. If the home work is compulsory, then they will finish properly which helps them to fly high.</t>
  </si>
  <si>
    <t>We are the best equipped:
We have the wonderful ideas to implement to make online education better. We have conducted the interview to the teachers and the students. We also created a survey a gathered points. This made us know the pain points of the students clearly.  We even did brain writing with a huge number of problems and chose which problem requires an immediate solution.  So we know clearly that what the teachers as well as students need and we have planned to solve the major problems with innovative ideas. We also have ideas to implement easily to Redefine Education! These works shows that we are the best to offer this solution.</t>
  </si>
  <si>
    <t>https://enpower-school.com/wp-content/uploads/elementor/forms/5ff7541e85638.pptx</t>
  </si>
  <si>
    <t>January 8, 2021, 12:04 AM</t>
  </si>
  <si>
    <t>IFT607</t>
  </si>
  <si>
    <t>alhuda.info@gmail.com</t>
  </si>
  <si>
    <t xml:space="preserve">10th grade </t>
  </si>
  <si>
    <t>Giving time for emotional health and wellness as a way to
better academic and social performance and develop
confident individuals.</t>
  </si>
  <si>
    <t>Schools today, even alternative schools have become grade
factories with little focus on the all round development of
students. For many the pressure of academic performance
causes many emotional issues like stress, depression and
fear. In addition teenagers face many interpersonal
problems in their peer groups which they have no way to
resolve. Peers may not have good advice and there is a
barrier tocommunicating with adults like teachers and
parents</t>
  </si>
  <si>
    <t>The users of our idea are the school going students
who are going through any kind of emotional or mental
problems who are uncomfortable with
the existing teaching and learning format. Our users are also
class teachers who are struggling with underperforming or
emotionally fragile students.</t>
  </si>
  <si>
    <t>We need to recognise that the holistic development of a
child must consider their emotional as well as academic
growth. Confident and well adjusted adults are created from
empathetic schooling. Teachers are also unable to manage
students who have emotional issues. In addition the number
of student suicides shows us that this is urgent.</t>
  </si>
  <si>
    <t>Circle Time it is also called as group time mostly it is a
sitting together for an activity that includes everyone .Circle Time is an important time given part for social interactions among students as well as teachers this process and special time will allow for better understanding among classmates as well as develop compassion for others.</t>
  </si>
  <si>
    <t>Circle Time is beneficial in many ways the whole class
along with the teacher get to discuss their emotional life.
Each person gets some amount of time their friends
and classmates get knowledge and strength as well</t>
  </si>
  <si>
    <t>Our team took the topic Emotional Health &amp; Class
Format. Thought of making a time for the improvement of
emotional health and changing the class format to include
this time that we usually ignore or think unimportant
As students we have faced this as well as seen our
schoolmates and friends going through the torture of
lonliness or not being understood.</t>
  </si>
  <si>
    <t>https://enpower-school.com/wp-content/uploads/elementor/forms/5ff9bdedf2138.pdf</t>
  </si>
  <si>
    <t>January 9, 2021, 8:00 PM</t>
  </si>
  <si>
    <t>IFT075</t>
  </si>
  <si>
    <t>alainagoel@gmail.com</t>
  </si>
  <si>
    <t>The battle we have decided to fight is for the ones who would be deprived of education either due to being unable to attend schools or get online education.</t>
  </si>
  <si>
    <t>There is a lot we will have to achieve post pandemic. One of the major issues would be to cover the gap that is there in the education of the underprivileged and the other students. Our solution to this issue would also indirectly provide a way to combat some other problems as well, such as - increasing number of educated unemployed , small education providing organizations who even after fulfilling the criteria of quality education end up falling, and little or no education in some childcare NGOs.</t>
  </si>
  <si>
    <t>The ‘user’ group whose problem we are attempting to solve are the ones who are deprived of education. More particularly , the children in childcare NGOs where education is not provided, children who have an availability of devices but won’t be able to attend offline schools, and the children who get a bare education which may not be enough. Moreover, those who are not able to afford education. Though in the starting of our solution, we would be targeting those who are younger than us ninth graders. We would start our solution with students from class 1 to class 6.</t>
  </si>
  <si>
    <t>The students of today would make the future of tomorrow. Whether the future would be bright or dark depends on the abilities and knowledge of the children of today. But, how can the future of our country be bright if only a handful of our country’s children get education? This problem is critical and needs an urgent solution because the only way our country and its citizens can grow is through education. New doors are opened for the person as he walks the path of education. If life is a pen, education is the ink. If life is a tree, education is its leaves.</t>
  </si>
  <si>
    <t>Our solution branches into two – online education and offline education. 
Online solution-
For those children who have the availability of devices but won’t be able to attend schools or continue with education due to various reasons, our app- LearnIQ  will provide the students links for understanding topics of CBSE syllabus. These links would include YouTube URLs, website URLs and free apps, handpicked by us students who have cleared those grades. But, the links would be of those small online education providers (with whom we would partner) who have a good quality content. This would help them grow. We would ask them for a small percentage of their profit so that we could continue with such solutions. 
Offline solution-
We would partner with childcare NGOs who are unable to provide education. For the post of teaching, we would advertise the job among the educated unemployed. They would then be evaluated using the help of our school teachers and others who are experienced in the post of teaching. If approved by them, they would be appointed as teachers in the NGOs. We would also contact education funding organization to manage the salary of the teachers.</t>
  </si>
  <si>
    <t>For our online education solution, the children would be able to get required knowledge needed at their age at free of cost. Our app would be free and very user friendly. This would not only benefit the ones who have an availability of devices but also those who may be getting bare education. Even if there is one smart phone among five friends, all would benefit from this. At most, only a notebook and a pen would be required with the usage of app. This way, education deprived children would be able to exercise their right to education. Also, the small education providers would get benefited and they would grow without spending too much money for sometimes small organizations are better than the bigger ones but are not able to grow due to financial issues. 
For our offline education solution, the children of childcare NGOs would be able to get education by going no where else or needing anything new. The childcare NGOs may not be able to afford the education of the children, there we can help. The educated unemployed are also being benefited from this solution.  
We are redefining education by expanding the range of education opportunities.   
The profits we earn, would be spent back on social welfare.</t>
  </si>
  <si>
    <t>We think we are the best equipped to offer this solution because in case of our online solution ,we ourselves are students and since we have cleared grades 1-6, we ninth graders have an idea for what would be the best for the students of those grades. Messiah fellowship understands the importance of education and know what is true learning – it is not just memorizing facts but understanding them. Keeping that in mind, the links chosen would provide an interesting way for the students to learn that would help them understand the concept. 
In case of our offline solution, we can be the means by which many educated unemployed can get jobs. The children of the NGOs would be educated with our help for the NGO would not have to spend on their education. Through many social work clubs also, we can help the children of the NGOs.</t>
  </si>
  <si>
    <t>https://enpower-school.com/wp-content/uploads/elementor/forms/5fe4a4e00ef13.mp4</t>
  </si>
  <si>
    <t>December 24, 2020, 7:55 PM</t>
  </si>
  <si>
    <t>IFT588</t>
  </si>
  <si>
    <t>akshatsankrit@gmail.com</t>
  </si>
  <si>
    <t>Students are not allowed to select a subject of their choice right from classVIII</t>
  </si>
  <si>
    <t>As a student of class IX I feel I should have had the freedom to select what subject I want to study from class VIII. If I wanted to study maths along with history and computers then I should be allowed. I should not be bound to study all the traditional subjects as we have now.</t>
  </si>
  <si>
    <t>I'm talking about my peers from the secondary schools</t>
  </si>
  <si>
    <t>In the traditional way of learning with the set subjects it becomes very stressful for us to perform as we do not understand a few of the subject maybe because we do not like them.</t>
  </si>
  <si>
    <t>Schools should allow the students to take multidisciplinary subjects ie they have the freedom to select any subject from science humanities or commerce as their choice of subject from class VIII</t>
  </si>
  <si>
    <t>My solution will reduce stress amongst students and make them perform better.</t>
  </si>
  <si>
    <t>I'm the best equipped as I'm going through the same being a student of class IX</t>
  </si>
  <si>
    <t>January 7, 2021, 11:41 PM</t>
  </si>
  <si>
    <t>IFT174</t>
  </si>
  <si>
    <t>akhtersahina659@gmail.com</t>
  </si>
  <si>
    <t>Kendriya Vidyalaya Mysore</t>
  </si>
  <si>
    <t>In simple word we can define the problem as " it is a universal problem which is faced by students or children in the home by their parents as when ever children go for playing , seeing tv etc. Parents tell them that don't waste there time by playing , seeing tv etc. It is your time to study. If children seen by parents free then they say that you are wasting your time , if student failed the exam then parents say them you are wasting your time in playing video games , seeing tv,simply time passing etc but you are not reading . This is the problem every time parents pressurise children don't be free , not play video games , not see tv etc. It is the universal problem in every home where children live . This is the problem which we are going to solve.</t>
  </si>
  <si>
    <t>As I explain you the statement of the problem is so necessary and important with detail of the problem . As I told you it is a universal problem  which is faced by each an every child at home by parents. If student get less mark in test than parents not allow them to play games , watching TV and relaxing . Parents only tell children to study study study.... Till they get good marks in test . By pressure of parents students brings good marks but then also it doesn't mean any thing because children doesn't bring the marks by     learning it , getting understanding the concept . These is the problem because of which student cannot learn by understanding as its parents pressurise him to get good marks. So, many students follow the wrong way to getting good marks it is the way memorising the content of chapter,concept etc. Through which they get good marks but the student doesn't get the knowledge because knowledge will only get when student understand the content and concept of the chapter .why student follow this way as parents force them to bring good marks. So, they do it . Parents doesn't leave their child to play game just event 10min to 20min . These is our problem in detailed manner.</t>
  </si>
  <si>
    <t>The user group whose problem we are attempting to solve is student because students should learn by their own then their will be use of their study. If they memories for getting marks then their will be no use. Student memories because their parents forced them to bring excellent marks. They also tell them to be the topper of the class but parents should understand that marks doesn't matter any more any thing that matter is knowledge. Parents should tell their children to learn get knowledge. If student get knowledge automatically he or she pass the exam . So, this is the user group whose problem we are attempting.</t>
  </si>
  <si>
    <t>I believe that this problem is critical and needs an urgent solution because if a student learn with out understanding for the shake of getting good marks than he or she doesn't have any knowledge as they memories the content . In our world student are next generation so, we should solve this universal problem as fast as we can do . Therefore this problem is critical and needs an urgent solution.</t>
  </si>
  <si>
    <t>Solution to this problem is from our side is Educational experience based game . The Educational experience based game (edu-e-b game ). It is learning game for from class 4 to 12. Why this  is the only solution to the problem because student have more consecration in game then studies. So , this game is more help ful to the student to explain their chapter concept in game version. This game is present type of game like asphalt nitro , pubg , cash of clan etc. If the student play this game then he or she will learn at the same time he or she also play at the same time . So, earlier they were learning  5hrs and playing game maximum 5hr . Now by this game student learn, got knowledge with out memories and also they become topper of the class . This Educational experience based game is our solution to the problem.</t>
  </si>
  <si>
    <t>My solution as you know " Educational experience based game " will give distinct benifit to the user . Here user is student . Student get more time to read and play by this game . They can relax. They will be mastered in the concept with the help of this game their parents also not forced them not to do this , not to do that. They gain excellent knowledge of their chapter content and concept. By this solution their problem will be solved , they get benefits and their pain will be fully reduced.</t>
  </si>
  <si>
    <t>We think we are the best to equipped to offer this solution because we are also student . We have also suffer from this problem . So this is our problem . I think that the person who suffers from the problem he can only detect the best solution for it . There fore I think that we are best equipped to offer this solution.</t>
  </si>
  <si>
    <t>December 29, 2020, 6:12 PM</t>
  </si>
  <si>
    <t>IFT576</t>
  </si>
  <si>
    <t>akashp20064@gmail.com</t>
  </si>
  <si>
    <t xml:space="preserve">Akash </t>
  </si>
  <si>
    <t>P</t>
  </si>
  <si>
    <t>Florence High School</t>
  </si>
  <si>
    <t>In many schools students are not interacting with teachers and students  this leading to lack of communicational skills development in online students</t>
  </si>
  <si>
    <t>Some students aren't completing regular assessment and also the notes which are given during the online classes . There is no assurance that students are not cheating during online tests and exams .
Some students have a lot of net issues and some students don't attend online classes and the students strength is very low . Some students even play mobile games during online classes</t>
  </si>
  <si>
    <t>I am just trying to solve the problem of both teacher and students because the interaction issue ,net issue and students not giving concentration on online classes is giving problem both for teachers and students</t>
  </si>
  <si>
    <t>If students can't access to online classes or can't give concentration on online classes for 1 year many  portions will be left incomplete to students and it will have  a big impact on education .</t>
  </si>
  <si>
    <t>We should make an app 
where teachers can post class work and assignments that can be downloaded by students and complete there CW and assignment. Students should be also able to post their photos of home work in the online classes . The app should also remind the students about the online classes before 5 minutes of the start of online classes. As the students enter online classes students shouldn't be able to keep the online class in the background screen and they can't leave the online classes until the break and end of online class . From this the student have to give concentration on online classes and in the online classes students should be said to post their homework in the app of online classes. In the online class app the teachers should post the exam papers and students should fill it but during online exam the students can't open any browser for answers and it should be mandatory to turn on video of the students. And for the students who have lot of net issue should be provided wifi routers by schools at low cost .</t>
  </si>
  <si>
    <t>The teachers will have more interactive students and students will be concentrating on online classes at their full potential .</t>
  </si>
  <si>
    <t>I am not so equipped but i need some support but i have ideas</t>
  </si>
  <si>
    <t>January 7, 2021, 10:22 PM</t>
  </si>
  <si>
    <t>IFT614</t>
  </si>
  <si>
    <t>akashkr32858@gmail.com</t>
  </si>
  <si>
    <t xml:space="preserve">K R </t>
  </si>
  <si>
    <t>Vidya Vikas Vidya Samsthe</t>
  </si>
  <si>
    <t>Today's present students are not aware about the actual eduction.
If we search answer for what is education, we get the answer of different kinds. The education is not scoring marks but it is gaining knowledge or skill in a particular field.  But today education is scoring marks which is not good.</t>
  </si>
  <si>
    <t>The students are not receiving a correct education. The students are theoretically strong but if we give them the same work what they learn theoretically they will fail to do it practically. A practically learned students can make it theoretically. So our education system is not right.</t>
  </si>
  <si>
    <t>We are attempting to solve the problem of a group of people who want to study after PUC which means the students of higher education. For them practical education is necessary because they are going to do it practically in their profession field.</t>
  </si>
  <si>
    <t>The students before entering the companies they are given training this is because they are not ready to handle this. So there pratical education plays a vital role. They are lacking the actual eduction.</t>
  </si>
  <si>
    <t>Our solution is to have a local tie-up with the particular field which they want. Example, if there is a mechanical engineering college they can have with garage and Bsc Ag students with farmlands. This tie-up maybe short or long. To find them we create a app which would provide details about them and also the amount they prefer. They have to login in app and enter all these details. The colleges can look their profile and select.</t>
  </si>
  <si>
    <t>This solution will create a mutual benefit to the applicants and reduce the economic burden the college has to face to provide practical education. This will help students</t>
  </si>
  <si>
    <t>We are just trying to solve the problem. We want the students to get a great future. Tge experience which we are having as a student would help us a lot.</t>
  </si>
  <si>
    <t>January 10, 2021, 8:13 AM</t>
  </si>
  <si>
    <t>IFT382</t>
  </si>
  <si>
    <t>ajaybhatmarathe@gmail.com</t>
  </si>
  <si>
    <t>Education during COVID times - Remote or distance learning facility extended to areas without internet connection.</t>
  </si>
  <si>
    <t>There are many places in a country like India where there is poor or no internet connectivity. Children/Students living in such areas face problems in accessing online education classes. This problem gets exemplified during crisis situations like pandemic. The idea here is to provide sustainable education to them via radio-wave technology.</t>
  </si>
  <si>
    <t>Students living in areas with zero/poor internet connectivity.</t>
  </si>
  <si>
    <t>Education is an absolute necessity and everyone irrespective of where they live (cities or villages) should not be deprived of it. Without online classes, students cannot learn and may lose the academic year. So, this problem is critical.</t>
  </si>
  <si>
    <t>•	Our idea aims at providing affordable online distance learning facility to the students using RADIO FREQUENCY. 
•	Transmission of AUDIO and VIDEO is made possible using advanced and sophisticated electronic equipment.
•	NO INTERNET NECESSARY.
•	Constant and seamless communication is ensured between the students and the teachers.
•	This idea is an encouragement for the teaching sector and increases the productivity rate of the students.
•	It provides employment opportunity for the teachers and helps in the smooth functioning of educational institutions.</t>
  </si>
  <si>
    <t>•	 Our idea provides an affordable technique to access online classes using radio frequency to transmit audio and video signals. Hence, students need not depend on internet service. 
•	In case the teacher or student has no access to electronic gadgets, then we will provide a complete embedded device (including audio and video components) to conduct classes. Classes can be held live, or recorded classes can be uploaded according to the decision of the institution.
•	Accessibility and reachability of students to online classes increases. Therefore, helps in bridging the gap between students living in rural and urban areas.</t>
  </si>
  <si>
    <t>Our solution is unique in many ways and therefore we think we are best equipped to help the community. Mass production and marketing on the proposed devices/technology will only help and reduce dependence on Internet.</t>
  </si>
  <si>
    <t>https://enpower-school.com/wp-content/uploads/elementor/forms/5fededb0b780b.pptx</t>
  </si>
  <si>
    <t>December 31, 2020, 8:56 PM</t>
  </si>
  <si>
    <r>
      <rPr>
        <rFont val="Calibri"/>
        <color theme="1"/>
        <sz val="11.0"/>
      </rPr>
      <t xml:space="preserve">This idea is really good and cost effective they want to us the radio frequency waves for their app so no internet is required. Also its environment friendly. </t>
    </r>
    <r>
      <rPr>
        <rFont val="Calibri"/>
        <b/>
        <color theme="1"/>
        <sz val="11.0"/>
      </rPr>
      <t xml:space="preserve">The idea IFT 381 is same, in PPT names are not mentioned so cannot identify whether in same team. </t>
    </r>
  </si>
  <si>
    <t>IFT585</t>
  </si>
  <si>
    <t>agrawalnandini080@gmail.com</t>
  </si>
  <si>
    <t>The problem to which we are finding a solution is online education. Today students are studying through online sources which is not proving of much good to them as they are not interested in these classes. This is damaging them as they are no more interested in studies.</t>
  </si>
  <si>
    <t>Children don't attend classes and even if they most of them do it just for getting their attendance marked. This lack of interest in studies can be destructive for their future.</t>
  </si>
  <si>
    <t>Our area of focus is student problems. Many children during their online classes open up parallel sites and take no interest in class. The reason can be lack of interaction or no proper explanation but one main reason is interest. Students do not find online classes interesting and so the go in search of some entertainment. Our idea is finding a solution for this and we are trying to make online classes more interesting and understanding because when students will take interest they will understand.</t>
  </si>
  <si>
    <t>The problem is critical as technology is our future and in future classes may held online and if students don't understand what they are studying there will be no point of taking classes. This will make them lack knowledge and will adversely affect their lives. An urgent solution is needed for this as students who are studying from online classes now are somewhere getting distracted from studies because in classes they don't understand what teacher is teaching and neither are tutions working offline. The are indulging more in social media and video games and neglecting their studies.</t>
  </si>
  <si>
    <t>We are planning  to make an app which will translate the words of teacher into a picture which will make class feel just like a movie. It will make imagining of children easy of the topic they are studying. This will not be a pre recorded movie it will be an on spot made picture. Take for example-
The physics teacher is explaining a motor. In offline classes he draws the motor but our app works on the commands of teacher. When teacher will say there is a rectangle a rectangle appears , a ring ring appears an axel an axel appears etc. Whatever the teacher says will be displayed as a video in both student's and teacher's screen. There will be even a pause feature which will help teacher to stop the video whenever they want for ex- when they want to ask questions.</t>
  </si>
  <si>
    <t>We are making classes interesting as students will see what teacher want's to explain and a movie won't be boring. The efforts taken by teachers to search for a good video explanation on some other sites will also be deducted.</t>
  </si>
  <si>
    <t>Because though we don't know how to make an app but we will give our 101% to change this idea into reality.</t>
  </si>
  <si>
    <t>January 7, 2021, 11:25 PM</t>
  </si>
  <si>
    <t>IFT195</t>
  </si>
  <si>
    <t>adwitas50@gmail.com</t>
  </si>
  <si>
    <t>The most important problem in online class is that we are not having the effective learning which we used to have in traditional classes. The problem which make online classes not so effective are-:
Little or no face to face interaction.
Intense requirement for self discipline.
Even more intense requirement for self direction.
Adapting to unfamiliar technology.
More and  more work to do as in   Homework.</t>
  </si>
  <si>
    <t>Students face difficulties in understanding the concept virtually in online classes due to lack of hands on experience which creates hindrance in their learning that results into losing their interest in academics. Students don’t prefer to switch on their camera in online classes, sometime due to technical error and many times by choice; this becomes a problem for a teacher as well as students, Students feel isolated and seek for help with distance teaching. They keep forgetting online learning activities.</t>
  </si>
  <si>
    <t>Primarily we are addressing student’s concern during online classes but it will also help the teachers as they would be able to explain the topic better and more impact fully using our resource aid.</t>
  </si>
  <si>
    <t>Learning is the only objective of any classroom teaching if a student is not being able to do understand a concept due to restricted options in online classes , It becomes a necessity to help the students in their learning.</t>
  </si>
  <si>
    <t>We as a team will develop an app-“jigyasa” with resource material of various topics in the form of written content, animations, video, game and quiz so that student learn and revise the topic according to his/her convenience in a fun-filled way and at the same time can self-evaluate the performance.</t>
  </si>
  <si>
    <t>Different students understand differently when we will make them understand a particular concept through various modes like written content, animations, video and game , It will definitely benefit them in better understanding of a concept.</t>
  </si>
  <si>
    <t>We as a team are best equipped to give a solution because we ourselves are facing the problem, We have primary knowledge to develop a game and video. We would love to help many other students like us facing the same challenge.</t>
  </si>
  <si>
    <t>https://enpower-school.com/wp-content/uploads/elementor/forms/5feb6610834ea.pptx</t>
  </si>
  <si>
    <t>December 29, 2020, 10:53 PM</t>
  </si>
  <si>
    <t>IFT627</t>
  </si>
  <si>
    <t>adityamohitmathur@gmail.com</t>
  </si>
  <si>
    <t>Delhi Public School RK puram</t>
  </si>
  <si>
    <t>Children studying in govt. schools have lost their means of education, since closure of schools. We want to provide them with a means to continue studying.</t>
  </si>
  <si>
    <t>COVID-19 put a strain on students's lives as it brought about the closure of all schools, and in a personalized context, in a city like New Delhi, where the strain hit hardest, due to a higher density of cases. Students who have no access to the internet or online repositories are losing pace and track and this is hazardous to their education. We noticed the propensity of this problem and decided to remedy the situation in our minuscule way and to give our best shot at ideas that we think can be externalized in working systems, post development.</t>
  </si>
  <si>
    <t>We're attempting to target children from underprivileged backgrounds who are deprived of connections to online platforms and hence can't access self study groups online. We're based in New Delhi and are looking to tackle underserved children from economically weak backgrounds, located in slum areas and other areas with poor facilities.</t>
  </si>
  <si>
    <t>Education is a birthright, and to be deprived of it is unfair to anyone and everyone, hence we wish to pay attention to their interests and solve as much of their problems as possible. Education can make a huge difference in their lives and we want to carry out this non profit entrepreneurial exercise to do our level best in helping these children achieve their latent potentials.</t>
  </si>
  <si>
    <t>There are many disused community halls and centres, tents, sheds, decadent property, that is not of any other productive use. We wish to acquire such properties with the help of an existing study group in the form of a charity venture and set up old reusable, second hand smart boards, screens and systems and launch a programme named "On-Line School" with an online portal which contains study material, recorded lectures and more. An operator will be designated to take care of every centre. The curricula will be differing from CBSE and other major boards and will be focused on open ended learning, open curricula and no bounds on syllabi.</t>
  </si>
  <si>
    <t>The users get an opportunity to go back to schooling and in a new manner which makes sure they enjoy learning and are able to forage their way into competitive examinations as they will be trained by experienced teachers. Our physiological model is based on the exemplary idea of "Super 30", except that our programme is open to everyone wishing to learn. We'll also be providing an alternative to a "Mid Day Meal Programme" by tying up with an NGO which is invested in food provision to underprivileged students. We'll also be calling for donations from sympathetic people and anyone and everyone who sees our vision in a synonymous manner.</t>
  </si>
  <si>
    <t>We have the marketing skills, soft skills, market fundamentals and are good at PR. We also have some technical insight and hence can contribute to the fulfilment of this mission fruitfully. We are also acting solely out of a sense of sympathy and are in no way enticed by the prospect of profits. We can also help with building the curriculum since we are associated with the education sector very intimately being students ourselves. We believe that there is a hidden potential in many students which is being stifled due to social and societal circumstances, coupling with economic and physical conditions in today's turbulent times, and want to uncover that.</t>
  </si>
  <si>
    <t>January 10, 2021, 11:17 PM</t>
  </si>
  <si>
    <t>IFT182</t>
  </si>
  <si>
    <t>aditya.agarwal208@gmail.com</t>
  </si>
  <si>
    <t>Students are bored of traditional learning solutions which in turn makes them disinterested in studies altogether.</t>
  </si>
  <si>
    <t>Schools give difficult projects for holiday homework to primary and secondary students. Stress of completing the projects falls upon the parents instead of the children because the children are unable to comprehend the problem. The motive of the project fails since the children aren’t learning anything.
Children aren’t given freedom to work at their pace, killing their curiosity. They are unable to show their creativity and have to follow the rules of the teacher. Example, In science lab, students aren’t allowed to carry out experiments themselves.
Students need practical learning and the boring single medium of textbooks promotes rote learning.</t>
  </si>
  <si>
    <t>We aim to help the students of primary and secondary schools. It will consist of classes 1-9.</t>
  </si>
  <si>
    <t>Education System and the methods of teachers have become outdated. The idea of projects are going in vain as children are not able to comprehend the problem in the first place, let alone solving them. This is constantly curbing their enthusiasm to learn. This not only affects their current education but also makes them weaker in high school and higher studies. The early years are crucial to connect them to studies and also make them understand basic academic concepts.</t>
  </si>
  <si>
    <t>We want to produce academic games for children. These games will be fun, interactive but also academic. They will be designed in co-ordination with the curriculum frameworks and government-advised syllabus. We will be taking the help of game designers and recently-graduated B. Ed. teachers for fresh and creative ideas in pedagogy. The games will be played by students themselves, thus helping them gain direct knowledge and also help them in learning the practical applications. A focus on teaching values and environmental responsibility will also be part of the game designing process. We will be reaching out to schools directly for marketing these games.</t>
  </si>
  <si>
    <t>Because we believe that our solution will motivate students to apply their own brain and creativity to solve problems. This will encourage learning and make them more curious beings. 
It will also make space for collaborative learning for students. It inculcates essential values in students like morals and environmental responsibility. It makes them more connected and social. They can even make new friends through the game.
The games will help students in getting their eyes off television and mobile screens. As a result, learning will be seen as a fun activity for students. Students like independence and freedom, they don't like to be ordered by the teacher all the time. A game would give them such independence.</t>
  </si>
  <si>
    <t>1. We have faced these problems ourselves. Being recent primary and secondary school students, we have first-hand experience. We can relate with the children.
2. We are very enthusiastic about education. We really want to create a better future for the children and want to create a tangible change in this education.
3. We are creative commerce students and we can use our skills efficiently and responsibly in creating this solution.</t>
  </si>
  <si>
    <t>December 29, 2020, 7:54 PM</t>
  </si>
  <si>
    <t>IFT125</t>
  </si>
  <si>
    <t>aditi100208@gmail.com</t>
  </si>
  <si>
    <t>The users (uneducated rural farmers) will be able to know more about how to grow healthy crops, how much water to irrigate the fields, different agricultural practices, traditional and modern techniques for irrigating their fields and which type of irrigation will help them in increasing their yield.</t>
  </si>
  <si>
    <t>In most areas, till date, farmers follow primitive cultivation methods; traditionally-used plough and relevant native accessories continue to be farmers’ preference. Despite no shortage of efficient equipment and machinery, there’s very little use of modern equipment, majorly because most farmers are not aware of it. There are several such problems that farmers in India face in their daily life. If they are facing any issue related to seed selection, irrigation, water quantity, equipment or pesticide usage, and anything related to farming/cultivation, etc. They do not have compatible access to clear their queries at once.</t>
  </si>
  <si>
    <t>The users are the Farmers who are uneducated and do not know about the different types of patterns for cropping which will help reduce their pain by increasing the crop yield.</t>
  </si>
  <si>
    <t>From the last few years, we have observed that the farmers are not able to get the information to increase the quality of their crops and to increase their yield per hectare. As to reduce the protests formed by them we have decided to make this app. So this app will help them know more about how to solve their problems.</t>
  </si>
  <si>
    <t>Our solution is to help the uneducated rural farmers to increase their profit by growing new types of genetically modified crops or making them understand about seasonal crops and how it will affect their cropping pattern.</t>
  </si>
  <si>
    <t>Through this app the users will be benefitted by getting an idea for cropping that will help them reduce their most of the problems about: modern technologies for irrigating their fields, increasing their yield by adding some helpful fertilizers and pesticides, etc.</t>
  </si>
  <si>
    <t>According the plan of our Honorable Prime Minister Shri Narendra Modi Ji, all the citizens of India should be Self Reliant (ATMANIRBHAR BHARAT). We strongly believe that our app will help promote this scheme.</t>
  </si>
  <si>
    <t>https://enpower-school.com/wp-content/uploads/elementor/forms/5fe88690aea8f.pdf</t>
  </si>
  <si>
    <t>December 27, 2020, 6:35 PM</t>
  </si>
  <si>
    <t>IFT583</t>
  </si>
  <si>
    <t>adarshgoyal83@gmail.com</t>
  </si>
  <si>
    <t>We all need some notes for every topic and subject to score good marks in our exams. But during this covid-19 pandemic it has made studies difficult for all of us. Students are not clear about what they have to study to score 100% in their exams. Teachers help the students by giving them self-made notes and extra quetions but it takes a lots of time for teachers to do so. I have came up with an idea to solve this problem and to reduce the stress and work load of both students and teachers. My idea is to make a website and to provide topic-wise notes for all the subjects and for all the classes. In this way the students just need to access to my website and they will get the notes for all the topics. I will elaborate my idea further in the sections below.</t>
  </si>
  <si>
    <t>Both students and teachers get tired of making the notes for every topic amd every subject which creates a lot of work load and stress on both. It takes a lot of time to make detailed notes for every subject which leads to wastage of time which otherwise could be used somewhere more productive. Sometimes students dont even have the knowledge of how to make the notes in a detailed manner and according to thier exam pattern which creates a problem for them. Sometimes students need the notes of a topic urgently for their upcoming exams which they dont get. This is a problem which needs to be sloved for both students amd teachers.</t>
  </si>
  <si>
    <t>My solution to this problem will aid both students and teachers as they will not have to waste their time on creating notes of every topic. Students will be able to score better marks in their exam if they a provided wiyh proper study material and for teachers it would save their time and will bring ease to thier job.</t>
  </si>
  <si>
    <t>If believe that students should not waste their time on making notes when they can get all the important notes, questions, sample papers on their fingertips on my website. It would save their time as well as they will be able to understand the way in which they have to study to score good marks.</t>
  </si>
  <si>
    <t>My solution to the problem of students and teachers is that i will make a website in which i will provide them with detailed notes for every topic and i will also provide them with all the important question that can appear in thier exams and i will also give them sloved sample papers to make them understand the exam pattern in an easier way. I will also create a doubt section in my website in which the students can ask their doubts and mentors from all over the world will answer to their query instantly. The students just need to go through all the notes and important questions to score good marks in their exams. Teachers can also reffer to the notes i will provide them and can teach students through those notes. This will greatly reduce the work burden on both students and teachers and students will defenitly be able to score good marks</t>
  </si>
  <si>
    <t>Yes, this solution does reduce the pain and work loade of both students and teachers as they dont have tp waste time in making the notes rather they just need to go to the website i will create and study through those notes. Students will also be able to get answers to their query instantly on my website as all the mentors will always be ready to answer the questions of students.</t>
  </si>
  <si>
    <t>I think that i am suitable for this job as i am a student my self so i know the problems faced by them in exams and how to overcome them. I will also take help from the best teachers to create all the notes and important question that comes in the examination and provide them to all the students to help them score good marks</t>
  </si>
  <si>
    <t>January 7, 2021, 10:59 PM</t>
  </si>
  <si>
    <t>IFT413</t>
  </si>
  <si>
    <t>abhizgunna@gmail.com</t>
  </si>
  <si>
    <t>Abhiram</t>
  </si>
  <si>
    <t>Ruthala</t>
  </si>
  <si>
    <t>Oakridge International School, Newton Campus</t>
  </si>
  <si>
    <t>My problem is that students do not like to go to school, they do not like the education system. Many students are bunking classes and are not attending school. This is a problem for teachers and also the school</t>
  </si>
  <si>
    <t>Many students are not going to classes and they are doing things which are against the school rules. They are also not attending classes because it gets boring, or they don't like the teacher, or they just don't like the school education system. This makes it a problem in many parts of the school. A real life example of this is the COVID-19 virus which made schools shut down. Most of the students were happy when school shut down.</t>
  </si>
  <si>
    <t>The user groups that i will be helping here is the teacher and the school staff. The teachers are going to be facing an issue because the students are not behaving well, or not paying attention. School will also face an issue because of the students not liking the education system, and doing the things that are against the school. With my solution I will be able to help both these user groups.</t>
  </si>
  <si>
    <t>This problem is a serious problem and needs to be fixed urgently because of the newly changed education system. Now we are all on digital platforms attending school. This makes it harder for teachers to teach because of the amount of students who don't join the class. There are also a lot of students who don't like the education system so they don't join. This makes it harder for the school staff to manage the school.</t>
  </si>
  <si>
    <t>My solution is to redefine the education system in a way which would benefit the school, the teachers and as well make more students like it. 
I would really like to encourage students for more extracurricular activities, make classes more physical and funny, assign more project based work and give more real life examples for different topics(more part of the solution is elaborated on the word document file). Other solutions for teachers to teach well is make the subject more engaging, which can be achieved by making it more funny and interesting at the same time. All of this simultaneously help the school because more students understand well and do better, making it easy for school to manage everything</t>
  </si>
  <si>
    <t>This is a good benefit for teachers, because more of the students in class pay more attention, and listen in class. This makes it easier to teach and makes classes more like they should be. This also benefits students because now concepts become more easier for them to understand. More real life examples also gives them a clear topic and understanding. This simultaneously helps the school achieve the proper management and everything will be running in good shape. Because of more of the engaging classes, the amount of people who don't join school/bunk will reduce and more students will join classes, making teaching more easier and school management way easier.</t>
  </si>
  <si>
    <t>I feel I am the best equipped to offer this solution because I really am a funny person and I also make funny videos which most children watch and love. I can go and help out different teachers and let them know about the different things students laugh about and enjoy checking out, making classes interesting and fun at the same time. I feel I am best equipped also because I do a lot of extracurricular activities like sports, instruments, art and much more, so I can be able to encourage different people to take up the things, because they are super interesting . Ive also done a lot of project based work which has helped me understand concepts super easily and helped me pay more attention in class, so I'm sure this should be the same result for the students.</t>
  </si>
  <si>
    <t>https://enpower-school.com/wp-content/uploads/elementor/forms/5fee1473749af.docx</t>
  </si>
  <si>
    <t>December 31, 2020, 11:42 PM</t>
  </si>
  <si>
    <t xml:space="preserve">Suggestion given to make class more fun based, more real life stories to be discussed </t>
  </si>
  <si>
    <t>IFT604</t>
  </si>
  <si>
    <t>abhivyaktiraj@gmail.com</t>
  </si>
  <si>
    <t>Abhivyakti</t>
  </si>
  <si>
    <t>Online learning has shown significant growth over the last decade, as the internet and education combine to provide people with the opportunity to gain new skills. Since the COVID-19 outbreak, online learning has become more centric in people’s lives. The pandemic has forced schools, universities, and companies to remote working and this booms the usage of online learning.It is important to acknowledge that students are already interested and engaged in using technology, this creates many amazing opportunities for schools and teachers to benefit from integrating some forms of technology in the classroom and to make teaching and learning more effective.</t>
  </si>
  <si>
    <t>Some students find virtual classes boring and they leave the class in between or even sometimes didn’t attend classes. They get distracted by  social media platforms. Students spend most of their time on social media. This makes the get distracted from studies. How can teachers use social media platforms for online teaching?</t>
  </si>
  <si>
    <t>Basically I have chosen the problem which is most common among teenagers (13_18years). Teenagers think that they should be popular or trendy in between their age grous. For this, they make their social media accounts and get addicted to it. It Affects their studies as they spend most of the time on it.</t>
  </si>
  <si>
    <t>Teenagers are at growing age, if not directed right now, they will get distracted. Using of social media is okay these days as the emerging of new technologies and apps,but excess use of it can harm a student studies. These days due to covid 19 online classes are going on. Some students are not taking it seriously or they are getting distracted easily. They are not willing to study. If this problem can't focused now, it can harm students' studies.</t>
  </si>
  <si>
    <t>Teachers can engage students to make social media accounts. Students spend much of their time on social media. It has changed the way we used to share information. The use of social media in education provides students with the ability to get more useful information, to connect with learning groups and other educational systems that make education convenient.</t>
  </si>
  <si>
    <t>It will make online teaching more interesting for students and teachers as well. If online platforms changed into learning and teaching platforms for students, it will be beneficial for them. Teachers do such a hardwork to make their students learn the concepts, but unfortunately students don't put this much effort into it. Teachers can make their social media accounts and they will get a chance to explore and they will be connected with their students at anytime anywhere. They can share important notes, hw, classwork,etc there with them which will make their work easy.</t>
  </si>
  <si>
    <t>I have seen students of my age facing this problem. I've talked to them and they told me that when online classes are going on, they get distracted by their social media accounts due to which they are not able understand anything in online classes. I thought about this problem and came up with the solution.</t>
  </si>
  <si>
    <t>https://enpower-school.com/wp-content/uploads/elementor/forms/5ff932a213abc.docx</t>
  </si>
  <si>
    <t>January 9, 2021, 10:05 AM</t>
  </si>
  <si>
    <t>IFT038</t>
  </si>
  <si>
    <t>abhinavparasar32@gmail.com</t>
  </si>
  <si>
    <t>After the lockdown started everybody ( I'm mainly talking about the students) faced many problems such as stoped supply of books a notebooks and online studies. Everything was new to the students 
Sitting in front of a screen and listening the lectures, writing notes etc. I was also facing the same problems. The efficiency of studies was lost. After thinking too much on this issue I came to a solution but when I closely looked into the solution.  I get to know many other problems such as paper wastage , difficulty in self studies , handling of notes and other study material, etc</t>
  </si>
  <si>
    <t>Mainly the problem is that students have purchase books, note books and other stationary every year which take a lot of investment
And offcourse it leads to paper wastage and use of plastics for many stationary etc. It also make it Difficult for the students to manage study materials, and also if they have any doubt/query, either they have to use mobile (or other gadgets) or wait for the tutor or school teacher.</t>
  </si>
  <si>
    <t>This problem mainly belong  to students,the youth of the country .</t>
  </si>
  <si>
    <t>This is directly related to the students (youth) and as they are the future, we need some solutions like this so that we can ease their success path. Hence it needs a solution.</t>
  </si>
  <si>
    <t>The solution is basically we have to make book shaped device which have two screens joined like a book which have some of the basic features of mobile devices such as Google, YouTube and some more efficient features needed for students (specially modified for students). It is made such that, that it can be used as a notebook and book as well</t>
  </si>
  <si>
    <t>This will benefit the users(students) in many way and not only user it is beneficial for the environment also, as it reduces the use of papers 
It is beneficial in many ways such as 
* It will reduce the use of paper and plastic as well
* It can be used as book and notebook , which reduces the management of too many books and notebooks 
* It will help students to instantly solve their doubt as it contain Google , YouTube etc platforms 
* It reduces the annual investment on books stationary etc. You have to buy it for once and maintain it 
And it will give many other features in future as the technology improves</t>
  </si>
  <si>
    <t>I got this solution because it was the need of students and a student can only best describe this problem as I'm also a student and I can feel the need and benifits of this solution</t>
  </si>
  <si>
    <t>https://enpower-school.com/wp-content/uploads/elementor/forms/5fe04d9fa73ed.mp4</t>
  </si>
  <si>
    <t>December 21, 2020, 12:54 PM</t>
  </si>
  <si>
    <t>The idea looks good because there is no need for students to carry many books and well organised and also saves environment. This is at idea stage how will they develop it and work on it if they have proper solution it will be successful</t>
  </si>
  <si>
    <t>IFT165</t>
  </si>
  <si>
    <t>abdul9911212889@gmail.com</t>
  </si>
  <si>
    <t>nearly a billion people still don't have access to proper medical facilities to solve that problem we need to first diagnose them . A centrifuge is an expensive process used for diagnosing many diseases and microbes in order to make it cheaper and better and more easily available we designed a little prototype for the same.</t>
  </si>
  <si>
    <t>the problem is with the centrifuge itself a centrifuge was designed to always be in a laboratory to work under controlled conditions it requires power to function skill to handle and is not so readily available everywhere. this makes it difficult to diagnose certain diseases in blood samples. the problem was to find an alternative to solve this problem and make a better diagnostic kit that can be easily available , handled is sturdy , cheap and a better product even from the ecological point of view</t>
  </si>
  <si>
    <t>the target audience for Chakra is everyone it will be accessible everywhere will be easily available and made but the main goal is to benefit the less privileged sections of the society who are not able to afford expensive medical procedures like a blood test that requires centrifuge , making the process of centrifuge reduces the overall cost of the blood test and not only reduces the cost but also increases the productivity out of the materials it is made out of.</t>
  </si>
  <si>
    <t>as mentioned above around a billion people are not able to access basic medical help this is a crucial number as it suggests that still almost 14% of the worlds population is still fighting to survive. while some parts of the society grow others have more ground to catch up to level them. to make things easier for them an initiative like Chakra can definitely help in improving the diagnostic facilities provided to them so that the society advances more , has more to offer in the development of the growing nation like India and has better healthcare facilities in total.</t>
  </si>
  <si>
    <t>our solution is a hand powered centrifuge made out of completely recycled materials like a recycled CD , a used ink tube of a pen and a simple process that will me made accessible to everyone in a proper blood test kit that is cheap and will be readily available and completely made in India . the mechanism is trusted and tested and gives practical and positive results like a laboratory centrifuge.</t>
  </si>
  <si>
    <t>The product provides faster results as it can be done by the user itself , it takes less from the pocket and gives more to the environment , the people who needed a cheaper way of diagnosing deadly disease like malaria can now get diagnosed and get fast and immediate help its make it easier for the government also to help identify which society needs more medical help and which doesn't .</t>
  </si>
  <si>
    <t>me (Abdul Ahad ) and my friend Samyak Mishra have analyzed the problems in the lab centrifuge and on that basis only have laid down the points mentioned above. the prototype is totally practical and functional and is everything it ensures better results the idea is a improvised version of all alternatives made in the past for the process and is balanced to tick all the boxes of the needs of the nation. with the genuine idea and vision embedded in our minds we believe we can ensure better medical facilities to the unprivileged and help the society to level up or at least help save lives with a faster and cheaper diagnostic method</t>
  </si>
  <si>
    <t>https://enpower-school.com/wp-content/uploads/elementor/forms/5feaedafb79b4.pptx</t>
  </si>
  <si>
    <t>December 29, 2020, 2:19 PM</t>
  </si>
  <si>
    <t>This is a brillint idea but not related to eduction redefine,but yet they can redefine education in the medical industry. Their idea is tested centrifuge made out of waste CD's and other materials which is sustainable and cost effective. They have a running prototype which tried and tested</t>
  </si>
  <si>
    <t>IFT611</t>
  </si>
  <si>
    <t>aashitagupta@dldavppcbsei.com</t>
  </si>
  <si>
    <t>Aashita</t>
  </si>
  <si>
    <t>In our education system, the problem frequently observed happens to be bullying. when a child is constantly bullied then it becomes difficult for him/her to confide about it to any one, parent, teacher. bullies use this silence to their advantage and keep on bullying others without any fear.</t>
  </si>
  <si>
    <t>a child when bullied constantly, usually becomes stressed and depressed. he/she does not confide it's problem to elders and feels worse all the  time. Hence, it is an important matter and hence has to be faced.</t>
  </si>
  <si>
    <t>schools, collages, other schooling administrations, etc</t>
  </si>
  <si>
    <t>a child when bullied constantly, usually becomes stressed and depressed. he/she does not confide it's problem to elders and feels worse all the  time. Hence, it is an important matter and hence has to be faced</t>
  </si>
  <si>
    <t>announcing counselling sessions for every class student of all classes. Counselling Teachers can tell everyone about the problem and how to deal with it.</t>
  </si>
  <si>
    <t>it will help children to overcome there fear and face it. they will be able to confide their problem with parents.</t>
  </si>
  <si>
    <t>because this is a problem faced by more than 700 school or collages around one country.</t>
  </si>
  <si>
    <t>January 9, 2021, 11:03 PM</t>
  </si>
  <si>
    <t>IFT396</t>
  </si>
  <si>
    <t>aashisharora280@gmail.com</t>
  </si>
  <si>
    <t>The main problem is that the disabled people have to face difficulties to use the computer/laptop properly . Especially the people with malformed finger . They can't type properly and get their school project work done by the stationery shops and this leeds to low confidence .They hesitates in front of people who can work and feels down . To reduce  this problem , to make them confident and to reduce their guilt feeling we have made this project .</t>
  </si>
  <si>
    <t>In our there are many facilities for handicap people like then can use  browser by there voice command and not only only many other applications also like amazon , youtube and whatsapp. They can give command translate a speech into another language . It has a water reminder also . It has a dictionary of different language . It can take text from an image and pdf and then translate  it speech and there is also a option of translating it .</t>
  </si>
  <si>
    <t>It will help the handicapped user and other users to do there work on computer by their voice commands and the people with problem in there hands will not have to suffer problem in using pc .</t>
  </si>
  <si>
    <t>https://enpower-school.com/wp-content/uploads/elementor/forms/5fee008773cb9.docx</t>
  </si>
  <si>
    <t>December 31, 2020, 10:17 PM</t>
  </si>
  <si>
    <t>IFT500</t>
  </si>
  <si>
    <t>aarzoo2202@gmail.com</t>
  </si>
  <si>
    <t>1. Lack of proper consistency in class.
 2.Overall development. 
 3. Lack of physical interaction.
  4. Unclear doubts.
  5. Lack of exact performance appraisal 
  6. Networking problem
  7. High price of internet packages.
  8. Lack of interest in online study.</t>
  </si>
  <si>
    <t>As you can see, during this pandemic education system is suffering a lot but the government has given a proposal for online classes. No doubts the decisions are taken on a good work but online classes have lots of loopholes like lack of proper consistency in class as you never know when the teacher is going to start a class or ask questions. As you know there is a lack of doubt clarity and we are not able to interact with our teachers face to face. The most important problem is the networking issue and day by day increasing internet packages. So it is. This added up to fa financial burden on parents as well; availability of mobiles for siblings.</t>
  </si>
  <si>
    <t>Well, in this I am attempting my problem that I can’t afford high data packages or I can’t approach tuition. I have witnessed these all things in my village too. In my area, the children of 1st to 8th class were not getting any knowledge through online classes. This pandemic leads to growth barrier of tiny tots who have to start the primary basic training.</t>
  </si>
  <si>
    <t>Yes, it is a concerning matter and it needs to be tackled with an effective solution. A study of children is suffering. They are becoming lazy and quite rude, may due to lack of discipline and moral etiquettes which we learn in school. Only an effective and beneficial solution may eradicate this problem.</t>
  </si>
  <si>
    <t>My solution is to record videos of chapters of every subject. Those videos will be in a pen drive and I can tie up with any channel to show those videos on a particular day at a particular time for nursery to 3rd class students and 4th to 8th students, we can create ad-free and low internet usage website at a very nominal price of Rs. 50 for 3 months to make students understand. I will also provide sample paper every week to students and to clear their doubts they can message on a number that will be given by us. We will manage everything. To create awareness we can make pamphlets, posters and recommendations by schools.</t>
  </si>
  <si>
    <t>It gives so many benefits to the user as they are getting a very good education at a very low price and we are clearing every doubt of students through messaging and audios and pictures. Moreover, we are providing animation, diagrammatic explanation etc. And tiny tots will have interest in watching our videos as they are full of interesting and efficient learning.</t>
  </si>
  <si>
    <t>You may see that we are giving you this idea with the intension of social welfare effectively and efficiently. Children are getting all these services at a very cheap price but other institutions will offer this idea at a very high price which people find difficult to afford but we are thinking of social first and then about profit. This will give access to each &amp; every home for maximum benefits.</t>
  </si>
  <si>
    <t>December 24, 2020, 2:04 PM</t>
  </si>
  <si>
    <t>IFT081</t>
  </si>
  <si>
    <t>aarna.sachdev07@gmail.com</t>
  </si>
  <si>
    <t>https://enpower-school.com/wp-content/uploads/elementor/forms/5fe5929c676e6.mp4</t>
  </si>
  <si>
    <t>December 25, 2020, 12:49 PM</t>
  </si>
  <si>
    <t>IFT190</t>
  </si>
  <si>
    <t>aaravparikh@gmail.com</t>
  </si>
  <si>
    <t>Current education systems do not address multi-disciplinary and project-based learning, leading to a lack of the ability of constructive application of learning.</t>
  </si>
  <si>
    <t>Schools around the world have functioning systems, but they don't cater to all the aspects of learning. Very few schools teach students how to apply their learnings. Learning is restricted by preset boundaries; they still restrict themselves to subject based learning. Unfortunately, there is no single discipline that can single handedly solve extensive problems the world faces today, like climate change. And finally, students with different strong points don't tend to be part of the same social group and thus don't usually collaborate together.</t>
  </si>
  <si>
    <t>The user group in this case will be students in schools from around Grade 6 to Grade 10. This is because they are the most likely to participate in competitive project-based platforms and are the age group with the most creative and open minds. After a certain age, students tend to choose their subjects and become more focused in their field of interest. But students in rural areas of the same age will also benefit from our solution.</t>
  </si>
  <si>
    <t>The problem of education has plagued our nation since the beginning. The penetrability of new ideas into the interiors of the nation was very low, increasing the disparity between cities and villages in rural areas. Because of this awareness reduced and education also fell behind. The pandemic caused another drastic setback. Lack of education, especially application based, which focuses on finding feasible and cheap solutions, is the root of many problems like poverty and inequality. Without quick action, the will to teach and learn will be lost and we will enter a negative feedback loop.</t>
  </si>
  <si>
    <t>The solution is to create a competitive platform to allow for people to come together from different backgrounds and compete to create ideas to solve the world’s issues, using a multidisciplinary approach. This approach will foster collaboration between people with different “intelligences”. Intelligence in this context represents the ways in which a student can learn and therefore apply their knowledge. This approach will thus cater to the 8 different intelligences. Access of ideas and application to rural students is not possible in areas without WIFI connectivity. So, we plan to send a quarterly newsletter in the local language to rural schools from where they can be distributed to the students in the community. This newsletter will contain an explanation of all the theory and application of ideas that have been submitted as part of the competition for students to learn the real-life use of ideas.</t>
  </si>
  <si>
    <t>As mentioned above, this will allow students to gain a different perspective to the learning experience and allow them to understand how what they learn can be applied. In fact, students with family farms and other businesses can also apply these solutions there for an added advantage. This will not only make learning easier in rural areas, but also teaching easier, giving teachers have applied case studies of most concepts. In urban areas, where the competition will be hosted, students will not only understand application themselves, but will also be able to identify and fill gaps in their own learning. At the same time, they will develop valuable skills such as leadership and collaboration, along with learning from each other and the mistakes of the group. Application based learning will provide the students with the intrinsic motivation required to keep them in school and enjoy learning.</t>
  </si>
  <si>
    <t>We feel that we are the best equipped to offer this solution because we are driven to solve this problem and have personally experienced the advantages of project and application based learning in our school and want to share this with the rest of the country. At the same time, we feel that we have the resources and skills required to launch the idea and convert it into a successful business. We feel that the tips and tricks that we have picked up working on projects and during lectures at school have given us the ability to understand the basic workings of a business and the application of strategies that we hope to use.</t>
  </si>
  <si>
    <t>https://enpower-school.com/wp-content/uploads/elementor/forms/5feb55164666d.docx</t>
  </si>
  <si>
    <t>December 29, 2020, 9:41 PM</t>
  </si>
  <si>
    <t>IFT366</t>
  </si>
  <si>
    <t>aakansh.bansal06@gmail.com</t>
  </si>
  <si>
    <t>Girls safety and their well being</t>
  </si>
  <si>
    <t>Many crimes are happening with girls . They are not save . They are sometimes kidnapped and all these incidence make girls think that going out is not good</t>
  </si>
  <si>
    <t>The group whose problem I am attempting to solve is females</t>
  </si>
  <si>
    <t>I believe that this problem is crucial as both man and woman should be at equal level. Bo one should be afraid of another . Girls should freely move wherever they want. There should be no boundaries for girls</t>
  </si>
  <si>
    <t>My project is a girls safety band . So the safety band will have a GPS and a shock system. The location will be known to the family by the gps attached in the band.  And if anyone tries to touch the girl . She can just put teh band on that person who is pushing her and he will get a shock and the girl or lady will be saved</t>
  </si>
  <si>
    <t>My project will benefit girls as it will provide them safety as it has a shock sensor along with the gos . GPS for location and shock sensor for giving ahick</t>
  </si>
  <si>
    <t>I think that I am best equipped to offer this solution as this thing is one which will be safety . This small band will be enough for the girl to be protected</t>
  </si>
  <si>
    <t>December 31, 2020, 7:03 PM</t>
  </si>
  <si>
    <t>https://yourstory.com/2018/01/bengaluru-women-safety-wearable-band
http://www.kscst.iisc.ernet.in/spp/39_series/SPP39S/02_Exhibition_Projects/173_39S_BE_1556.pdf
This idea of girl safety band is already there found in google but whether implemented couldn't find it. This idea is not for education redefine, if they can work on girl education about it in school or something can be seen.</t>
  </si>
  <si>
    <t>IFT295</t>
  </si>
  <si>
    <t>aaditya11a13159@gmail.com</t>
  </si>
  <si>
    <t>The problem is the greenhouse gases that are in our atmosphere. Our goal is to eliminate these gases which would help to slow down the process of global warming</t>
  </si>
  <si>
    <t>Since the human race has started industrialization or globalization, we are continuously releasing greenhouse gases in the atmosphere and these emissions are going to increase in the coming future. These gases then lead to global warming which then leads to extinct species, homeless people, increasing sea level, habitat loss, and many more things. Our goal is to eliminate these gases and slow down (if not stop) the process of global warming.</t>
  </si>
  <si>
    <t>The group of living creatures that we are helping with our project has a vast majority of members. we would be helping all those species who are endangered due to the habitat loss that is occurred due to global warming like Moose, Salmon, Sea Turtles, Puffins, and many more. Our project will help all those people who live in heavily polluted areas like Delhi, Mumbai, New York; we would be able to give them pure air to breathe. We will make the earth green again.</t>
  </si>
  <si>
    <t>The problem of global warming is so urgent and important that if proper measures are not taken properly then we would face serious problems of homelessness, extinct species, habitat loss. We have lost 20% of our species in this century only and if global warming continues we would lose 70% of our species. Scientists have already termed this as the 6th mass extinction.</t>
  </si>
  <si>
    <t>Our solution is the machine that we are building to eliminate the harmful gases in the atmosphere.</t>
  </si>
  <si>
    <t>The project will help the endangered species by nullifying the effects of greenhouse gases and stopping and maybe recovering the habitat loss that has occurred during all these years.</t>
  </si>
  <si>
    <t>We are the future generation. We have to live on earth and want to live on luxuriously as the previous generation of human</t>
  </si>
  <si>
    <t>https://enpower-school.com/wp-content/uploads/elementor/forms/5fecb42ace694.pptx</t>
  </si>
  <si>
    <t>December 30, 2020, 10:39 PM</t>
  </si>
  <si>
    <t>brilliant concept-not sure if it will work-converting carbon dioxide to oxygen. definite worth a second look</t>
  </si>
  <si>
    <t>IFT055</t>
  </si>
  <si>
    <t>7598aditya@kpsraipur.com</t>
  </si>
  <si>
    <t>AS PER DATA 1.35 MILLION PEOPLE DIE EACH YEAR AS THEY DO NOT FOLLOW TRAFFIC RULES .
TRAFFIC JAM IS ONE OF THE HOTSPOT FOR AN INCREASE IN NOISE AND AIR POLLUTION IN THE ENVIRONMENT. MORE THAN 2,200  DEATHS OCCUR ANNUALLY DUE TO AIR POLLUTION IN TRAFFIC JAMS.</t>
  </si>
  <si>
    <t>TRAFFIC JAM IS ONE OF THE HOTSPOT FOR AN INCREASE IN NOISE AND AIR POLLUTION IN THE ENVIRONMENT. MORE THAN 2,200  DEATHS OCCUR ANNUALLY DUE TO AIR POLLUTION IN TRAFFIC JAMS.</t>
  </si>
  <si>
    <t>TRAFFIC ,  ENVIROMENT</t>
  </si>
  <si>
    <t>Because now during this pandemic no one would want to get any of the diseases</t>
  </si>
  <si>
    <t>1.WHENEVER THE RED LIGHT IN THE SIGNAL COMES A LEVEL CROSSING WILL AUTOMATICALLY FALL DOWN  &amp;  AS THE GREEN LIGHT COMES THE LEVEL CROSSING WILL OPEN AUTOMATICALLY.
2.IF ANYONE KEEPS HONKING THEIR VEHICLE  DURING THE RED LIGHT SIGNAL ,THEN THE TIMING OF THE SIGNAL LIGHTS WILL AUTOMATICALLY INCREASE DUE TO WHICH PEOPLE MAY REALIZE THEIR MISTAKE AND STOP HONKING.
3.DURING THE SIGNAL IF ANYONE KEEPS THEIR VEHICLE ON ,THEN MY SENSOR WILL DETECT THE SMOKE RELEASED BY THE VEHICLE AND WILL AUTOMATICALLY INCREASE THE TIMING OF THE SIGNAL LIGHTS</t>
  </si>
  <si>
    <t>it reduces the expense of petrol , and less accident will take place and it will reduce air and noise pollution</t>
  </si>
  <si>
    <t>because i have seen many people having many problems with noise and air pollution and if we want to make something then we need to understand the pain of those people who are suffering from that</t>
  </si>
  <si>
    <t>December 23, 2020, 2:50 PM</t>
  </si>
  <si>
    <t>IFT032</t>
  </si>
  <si>
    <t>4bhandars@gmail.com</t>
  </si>
  <si>
    <t>Students lack the real-life career experiences to explore their passions and develop the skills they need to survive and prosper in the future.</t>
  </si>
  <si>
    <t>Today, education continues to focus on a student’s ability to memorize information instead of their ability to apply it in the real world and use other skills to prosper.  Education is the stepping stone for the careers of many students and thus education should effectively be able to prepare them for the future. Unfortunately, education lacks the exploration of passions, the development of skills such as communication skills, and the practice of applying knowledge in the real world. Therefore, education must be redefined to prepare students for the real world.</t>
  </si>
  <si>
    <t>During high school, students begin to think about their potential career options. Unfortunately, schools are not focusing on a student’s skills, passions, and ability to apply knowledge when teaching them. By solving the problem and allowing high school students to explore their passions, develop skills like communication, and allowing them to apply their knowledge, students will be able to develop the skills they need to succeed in many careers and they will explore their passions and realize what career is best for them.</t>
  </si>
  <si>
    <t>Due to technological advancements, more than half of the career options that will be available in the future are not available today. Therefore, education to prepare students for a prosperous future must also focus on developing skills and passions that allow students to overcome any obstacle they may face in the uncertain future. Therefore, if we are to prepare the next generation for their futures, we must enable them to develop skills such as critical and creative thinking and allow them to explore their passions so that they can stay motivated to achieve their goals.</t>
  </si>
  <si>
    <t>My solution to the problem is an app and/or website that allows students to interact with professionals and get internships with them. This will help the students as they will be able to explore their passions by trying out various internships in their spare time. Additionally, through these internships, students will not only learn about many professions but they will also be able to apply their knowledge to the real world and will be able to develop their thinking by helping in solving problems and communicating by talking with other workers. In exchange, the professionals will get unpaid work from the students, a chance to help the next generation, and fresh perspectives on problems that they are facing. Therefore, my idea can help redefine education as through real-life experiences, students can explore their passions and develop skills to help them succeed in the future.</t>
  </si>
  <si>
    <t>My solution will give a distinct benefit to my users as they will have easier access to real-life career experiences which can help them explore their passions and develop skills. Today in India, high school internships and internships in general are very hard to come by and only a lucky few have access to ones. Therefore, my solution can reduce the pain of not having access to internships. The website/app will make it easier as it will facilitate communication between professionals and students. Additionally, the website/app will also allow students to choose internships based on the mode, for example offline or online, amount of time and etc. Therefore,  hrough just several clicks, a user could have easier access to change their entire future by arranging an unforgettable experience.</t>
  </si>
  <si>
    <t>I believe I am best equipped to offer this solution as I am a high school student suffering from the same problem. Therefore, I would be able to effectively create a solution as I have access to many sample high school students to survey about ideas for the solution and as I myself have a general idea for the solution as I suffer from the same problem. Additionally, I have experience in coding and have already made a website, a video game, and an application to help teachers take attendance in google meet, and therefore, I would be able to make this solution. Additionally, I am very passionate about changing education and I am very good at communicating which can help in contacting and convincing professionals to take interns through the website/app.</t>
  </si>
  <si>
    <t>December 20, 2020, 12:14 AM</t>
  </si>
  <si>
    <t xml:space="preserve">This is brillian idea and great solution for future career options. They havent attached any file to show their work its at idea stage. The student mentions that he has skill to develop the app and have coding knowledge and have developed something for school to help teachers. </t>
  </si>
  <si>
    <t>IFT444</t>
  </si>
  <si>
    <t>146aayushi@gmail.com</t>
  </si>
  <si>
    <t>In many contexts, technology can provide learning continuity when students cannot be physically present in their classrooms.
However, there are many barriers to successful online learning driven by technology, including teacher preparedness, access to online resources and devices. Many teachers around the world are ill-equipped to deal with the sudden shift in educational delivery as a result of COVID-19.There has been a huge surge in search phrases like “how to teach online”, and “online teaching techniques”.
Apart from that,teachers are also facing problems like assessment of students.Obviously, assessments are about more than just grades.They help students gear up for success by challenging them to reflect, interact, and apply their knowledge to answer questions, solve problems, and communicate information.
Last but not the least, students are also missing the school life,their friends,teachers as they aren't able to communicate offline like before. As every coin has two faces similarly Online classes have both it's positive and negative impacts.</t>
  </si>
  <si>
    <t>Explained above.</t>
  </si>
  <si>
    <t>We are trying to balance between the problems of both the teacher and the students as in this pandemic era everyone is facing trouble.</t>
  </si>
  <si>
    <t>In today's world, education is the key to success. As everyone knows that  competition is increasing day by day. Isn't it unjust for these children to not get proper education inspite of enough resources.During this COVID 19 we highlight how prioritising teaching over technology is needed to minimise the educational disruption for disadvantaged children.</t>
  </si>
  <si>
    <t>Helping teachers transition to virtual classrooms and essentially a brand-new way of doing things has virtually become a reality.
For many who are proficient at planning and teaching in the traditional classroom, planning for an online setting requires some re-learning.
Children can easily learn to use this technology and becoming a helping hand to all their teachers.
For the assessment issue, a quick online quiz, right after the online session will be  perfect match if your goal is to determine how well a student is learning the material.
Encourage chat interaction.
Student-to-student interaction is vital in an online environment, which supports productive and satisfying learning, and helps students develop problem-solving and critical thinking skills.Asking students to summarize what they learnt in the class.</t>
  </si>
  <si>
    <t>Usually some students interact more than others. Simply what teachers can do is ask students for making groups of like 6-7 students and each given a topic to explain. It's just they need to know how to express and this will encourage the more quite ones to join in.</t>
  </si>
  <si>
    <t>As we are students too so we better know from our experience that what are the problems and how could it be solved.</t>
  </si>
  <si>
    <t>January 3, 2021, 2:42 PM</t>
  </si>
  <si>
    <t>https://enpower-school.com/ld-profile/?profiletab=comments</t>
  </si>
  <si>
    <t>lots of suggestions to enhance online learning. good but no concrete idea or resource identified for taking it forward</t>
  </si>
  <si>
    <t>IFT342</t>
  </si>
  <si>
    <t>varnikaworks@gmail.com</t>
  </si>
  <si>
    <t>Dhyani</t>
  </si>
  <si>
    <t xml:space="preserve">Bal Bharati Public School, Rohini, Sector-14 </t>
  </si>
  <si>
    <t>How to provide latest technology that is accessible to all at affordable prices with no discrimination</t>
  </si>
  <si>
    <t>The ineluctable situations of the pandemic paved down a path for technology (though various means) like never before! Complex unexplained technology for learning purposes became a big hurdle in the path of education, for many. The fact that over 40% of households in India do not have an internet connection, always felt unacknowledged. 
Use of technology, online infrastructure and learning techniques are the major touch points we cover through our product (+service). The device will primarily focus on battling the shortcomings of existing technology in the education sector by providing cutting edge technology at affordable prices for all. It is aimed at bringing the discrepancies of current situation close to zero.</t>
  </si>
  <si>
    <t>The user group is the students and the teachers. The projected aim is to solve the problem for the students and the faculties alike irrespective of their ethnicity, gender, age-group, nationality or there place of residence as soon as possible. Our product basically aims to serve the niche audience addressing the local educational, developmental and socio-cultural requirements of the people. Through this cheaper method of education, we expect that more girls will now get to study/ continue their studies. If everything goes as per our strategy, which focuses on getting Edumate 007 recognized by the government, then our technology based device would reach out to millions who otherwise could not afford the existing costly gadgets.</t>
  </si>
  <si>
    <t>The pandemic period has made us realized the inefficiency of the online method of teaching and educating. Many problems occur regarding the network connectivity and the content of the topic being taught or the doubt solving process.
Edumate 007 is aimed at bringing the discrepancies of current situation close to zero. The underprivileged children studying under a pole or using a flashlight to study is a common sight now-a-days. This is due to their inability to afford a decent device and an internet connection to help them in their studies - from clearing their doubts to watching some real life-like simulations of anything. And as our country is an amazingly 'young' nation, having many families below poverty line, achieving this goal is both a need of the hour and the Achilles heel of the all-round development of the child.</t>
  </si>
  <si>
    <t>Made out of simple design and eco-friendly raw materials, EDUMATE 007 is a control oriented device for the students which includes projector, monitor, printer, speaker, thermal printer and radio; all at a minimal cost. The size of the product allows it to be used from anywhere, anytime and everywhere. It will allow teachers to create their own frequency channels and this will eliminate the need of expensive gadgets and internet connection. It is a onetime investment. Adding on to this are the projector and pen drive features which will make it interesting as well as feasible for both, the students and the teachers. The product would be accompanied by our application which will be available on android, IOS and desktop.</t>
  </si>
  <si>
    <t>Pandemic or not, the online education is now expected to continue as a vital mode of learning for years. Hence, as a stakeholder ourselves we not only acknowledge this but also the fact that in our country there is a huge technological divide. This segregation has also been ignored in NEP 2020 as suggested by many ministries and authorities.
We intend on finding a concrete solution to make this online education accessible to all. Hence, the idea of Edumate 007 came to the grounds. It aims at providing advance technology at affordable prices in order to make it accessible to all. We are eliminating the need of expensive gadgets, deep technological knowledge and internet connection for the purpose of education.</t>
  </si>
  <si>
    <t>We are a group of students who have emerged out of this problem of inaccessibility and made this product under the supervision of the teachers who are constantly facing problems in handling technology. Hence, as a stakeholder ourselves we not only acknowledge this but also the fact that in our country there is a huge technological divide. This segregation has also been ignored in NEP 2020 as suggested by many ministries and authorities.
We intend on finding a concrete solution to make this online education accessible to all. Hence, the idea of Edumate 007 came to the grounds. It aims at providing advance technology at affordable prices in order to make it accessible to all. We are eliminating the need of expensive gadgets, deep technological knowledge and internet connection for the purpose of education.</t>
  </si>
  <si>
    <t>https://enpower-school.com/wp-content/uploads/elementor/forms/5fedb2e8056e8.pdf</t>
  </si>
  <si>
    <t>December 31, 2020, 4:45 PM</t>
  </si>
  <si>
    <t>IFT349</t>
  </si>
  <si>
    <t>shatakshi.akanksha@ais.amity.edu</t>
  </si>
  <si>
    <t>We shouldn’t overshadow the fact that online classes come with its own set of problems thereby causing a hindrance in the education of millions of children all over India.</t>
  </si>
  <si>
    <t>The covid-19 pandemic has caused a shift from offline mode of education to online mode of education. While online education may have innumerable advantages, one of its biggest disadvantage is its heavy reliance on modern technology. Having a proper desktop setup, stable wi-fi connection etc. are crucial for online classes. But the underprivileged sections of the society do not even have access to proper electricity, let alone a proper internet connection. So we aim to tackle this problem of inaccessibility of internet connection to the poorer sections of the society.</t>
  </si>
  <si>
    <t>This year has been difficult for all of us but particularly for the children of the poorer sections of the society who have been deprived of basic education due to the inaccessibility of internet connection. So the ‘user’ group whose problem we are attempting to solve is the children of the underprivileged section of the society who are being left behind in this era of online education.</t>
  </si>
  <si>
    <t>During these uncertain times, schools have adopted the online mode of education which requires a proper internet connection among other things. The poorer sections of the society however do not have the privilege to own internet connections due to which they are being deprived of proper education. Having access to education is a basic right. So we believe that during this pandemic it is essential that every child receives proper access to virtual learning and no one is left behind. This is why we believe that the problem that we’re trying to tackle is critical and needs an urgent solution.</t>
  </si>
  <si>
    <t>Slow Internet connections or limited access from homes in rural areas can contribute to students falling behind academically, Therefore, we have come up with a start-up which will provide a backbone to the poverty-stricken sections of the society thereby providing them a strong internet connection. “हवाई-fi” is our self-made product which consists of a hot air balloon that includes a wireless router.</t>
  </si>
  <si>
    <t>During this perilous time, the major stumbling block is that the entire nation has moved to a virtual portal but there are unprivileged helpless people who do not even have access to basic internet connection. Our product “हवाई-fi”could be used in Urban areas for the under-privileged people and the electricity saved from these areas could be circulated to the rural areas. Therefore, we will be able to hit two targets with one arrow –
i.	Providing a strong internet connection to those who have been deprived in the urban areas.
ii.	Providing the saved electricity (as now the wifi would be circulated via wireless routers) to rural areas.</t>
  </si>
  <si>
    <t>We think we are the best equipped because the Jio fiber wireless router which we shall use has an incredibly wide-range, speedy connection,has user-friendly interface and bandwidth prioritization. It has beneficial features such as –
i.	90% reduced pulse frequency; and
ii.	100% radiation free 
In addition to the above, our hot air balloon also takes advantage of the fact that it’s purely environmentally sound as it has negligible contribution in spreading pollution. Consequently, it provides a cutting edge to our product.
We have also arranged functional smart phones by putting up stalls at societies, schools and colleges (Amity University) and gave them out on negligible rent to 'users/ guardians of users’ aged between 3-17 years.
We also provided ‘Balloon advertising’ of the products of other companies and this enabled us to generate a decent income thereby giving us a financial backup.
We have forwarded the grassroots level of our idea to big brand houses such as the Ambani’s and Tata’s who are convinced to be our angel investors and provide the financial backbone to our startup.</t>
  </si>
  <si>
    <t>https://enpower-school.com/wp-content/uploads/elementor/forms/5fedbc5ff3b80.pptx</t>
  </si>
  <si>
    <t>December 31, 2020, 5:26 PM</t>
  </si>
  <si>
    <t>IFT360</t>
  </si>
  <si>
    <t>ishitaj7474@gmail.com</t>
  </si>
  <si>
    <t>The skills which are missing in our education system are disaster management,basic medical knowledgd, communication,budget planning,financial responsibility etc.</t>
  </si>
  <si>
    <t>Our company aims to teach such important skills to the students from a early age in a well organized, and trained manner. We will set up a  PUBLIC company of trained personnel to teach students.We will also be conducting mental/ career counsellings and internships.</t>
  </si>
  <si>
    <t>We think that we are best equipped to provide this solution to students is because we ourselves are STUDENTS ( learners). We understand the void of such skills in our lives and how they can thrive us at a better path. Because, being students we are the closest to the education system of our country and knows certainly what it lacks</t>
  </si>
  <si>
    <t>https://enpower-school.com/wp-content/uploads/elementor/forms/5fedcda94e1cf.pptx</t>
  </si>
  <si>
    <t>December 31, 2020, 6:40 PM</t>
  </si>
  <si>
    <t>IFT340</t>
  </si>
  <si>
    <t>tanishajalan05@gmail.com</t>
  </si>
  <si>
    <t>The prospect of having an entire institution experience compacted into a personal electronic device is unusual, to say the least. It can be unnerving for students who have only ever known traditional classroom settings.
The lack of focus on skill-based learning, practical knowledge, competitions, co-curriculars is a concern of students around the globe. In many cases, students find it difficult to manage their time with online learning. Online learning is completely new for them and requires intensive work. They need a scheduled planner to manage their time in an effective manner. 
A common issue faced by both students and teachers is that the classes are not as interactive and efficacious as compared to offline education. The lack of platforms to hold competitions is a major issue faced by institutions.
 So, making the online education system and the current learning mediums more efficient and easier to use is the need of the hour.</t>
  </si>
  <si>
    <t>We aim to solve the major pain-points of students as well as teachers. Due to the shift from offline education to online, the focus on co-curriculars, competitions, and practical knowledge have decreased drastically. There is no efficient way of holding competitions, co-curricular activities, and webinars. By conducting various empathy and persona maps, we found out that one of the major concerns of both students and teachers is that classes are not as interactive as they once were. So, due to the lack of personal touch, the classes tend to become monotonous and lead to a lack of focus and sincerity among students.</t>
  </si>
  <si>
    <t>Our intended users are teachers as well as students (grade 5 and above). After thorough research and conducting numerous surveys, we concluded that people living in urban and sub-urban areas are most likely to benefit from our solution. We have taken teachers and students belonging to families with a socio-economic background of the lower middle class and above as our target audience as they have access to the suitable technology and resources to get the best results from our website.</t>
  </si>
  <si>
    <t>Due to the ongoing pandemic, the education of students has suffered a lot. To properly understand the concepts, practical knowledge is crucial. Maintaining a proper balance between co-curriculars and academics is necessary for students, so the lack of skill-based learning and extracurriculars in online classes is a big issue. Along with this, there is no platform available with the proper qualifications to conduct competitions and events systematically. Being students ourselves, we understand the critical nature of these problems and believe that it should be our top priority to help address them.</t>
  </si>
  <si>
    <t>We provide our users with a platform to explore their creative abilities and enhance their knowledge by giving them a space to hold competitions, webinars, and courses with professionals in their fields to put them in a productive mindset.  
We also aim to make the online education system a bit easier to navigate by helping teachers hold interactive classes and promote a sincere approach for students by allowing them to conduct quizzes and providing them with various features to keep a check on the students.
Our main focus is to inculcate the best aspects of offline education with online, which includes maintaining a healthy balance between co-curriculars and academics.</t>
  </si>
  <si>
    <t>Our website- 'EduCity' gives solutions to the problems discussed above and helps make education easier during the ongoing pandemic. We present our users with various resources that focus on practical knowledge and skill-based learning. It provides an efficient platform to hold competitions, meetings, and webinars. We also offer several professional courses to help students explore their talents and interests. Our platform also allows teachers to conduct classes and quizzes more efficiently and interactively and keep an eye on the decorum in classes. Through our solution, we aim to reduce some of the problems faced by users and make online education more fun and effective.</t>
  </si>
  <si>
    <t>We conducted thorough research followed by empathy and persona maps and came up with the solution to help our users. 
We believe that people will be attracted by our website as it is easy to work with and combines many features that are essential for efficiently conducting online classes. It gives a platform to hold competitions systematically and effectively, which is the need of the hour. Along with that, it also provides resources regarding various courses and co-curricular, that help the user enhance their skills and knowledge. We included a feedback form after each webinar to understand our users and their needs which will also help us make our platform user-friendly.
Through our website, we strive to reduce some of the problems faced by users and make online education more fun and productive!</t>
  </si>
  <si>
    <t>https://enpower-school.com/wp-content/uploads/elementor/forms/5feda96c77dc1.pptx</t>
  </si>
  <si>
    <t>December 31, 2020, 4:05 PM</t>
  </si>
  <si>
    <t>IFT247</t>
  </si>
  <si>
    <t>guptamonika01@yahoo.in</t>
  </si>
  <si>
    <t>An important aspect of education is assessments, as it provides the feedback about learner's progress.
In these unusual times, where the learning is happening digitally, it is important to break the monotony and make learning interesting as well as stress-free, with addition of fun-based assessment tool.</t>
  </si>
  <si>
    <t>An important aspect of education is assessments, as it provides the feedback about learner's progress.
In these unusual times, where the learning is happening digitally, it is important to break the monotony and make learning interesting as well as stress-free, with addition of fun-based assessment tool; which will help teachers for getting continuous and comprehensive feedback regarding the learning process.</t>
  </si>
  <si>
    <t>We are solving this problem for the Teachers and Students, who are facing some challenges in getting continuous and comprehensive feedback regarding the learner’s progress.
So, we hope that our solution will be of some help to the educators and the learners.</t>
  </si>
  <si>
    <t>In current Corona times, the teaching system is facing some big challenges, one of which is the getting feedback of learning process on digital platform.
And therefore, there is an urgent need to implement a solution to make the learning process more fun-based, enriching and interesting for the students.</t>
  </si>
  <si>
    <t>We propose to make a fun-based app system for assessments where students will be given real-life situations, through animated figures. They will have to give written answers to the concept-based questions, shown in the animated videos.
The Solutions to the questions will also be provided in an animated form.
Our project idea of an assessment tool can be used in day-to-day teaching-learning process and will motivate the students to enjoy learning. 
We have used the tool 'Animaker', to make the videos
Currently, we are making videos on topics of Science like Spectrum and Mirrors etc.
However, this tool can be used for a vast range of topics from different subjects.</t>
  </si>
  <si>
    <t>We would be making an app (including the animated videos) for the teachers, which they can use to explain &amp; test the concept to students in an interesting and a fun-based way. This way the students will be assessed continuously and comprehensively.
So, in short, we are suggesting an assessment tool, which will be stress-free and will motivate the students. It will make current situation better for the Teachers and Students.</t>
  </si>
  <si>
    <t>We have done some research and developed a sample video.
Our project, with the animated videos, are also supported by feedbacks taken from probable end-users.
We are well-trained to use Animaker, and to develop Mobile and Web apps, using MIT App Inventor, Kodular and Plezmo. 
After making the animated videos, we would be creating an app (which will include the videos) for users to interact with it and enter data (answers)
So, we are on the path to complete our project. We also believe that our app will be approachable to masses of Teachers and Students, as we all are working digitally.</t>
  </si>
  <si>
    <t>https://enpower-school.com/wp-content/uploads/elementor/forms/5fec7236dec78.pptx</t>
  </si>
  <si>
    <t>December 30, 2020, 5:57 PM</t>
  </si>
  <si>
    <t>IFT227</t>
  </si>
  <si>
    <t>jayeshpal2005@gmail.com</t>
  </si>
  <si>
    <t>Ramniranjan Jhunjhunwala College</t>
  </si>
  <si>
    <t>11th Grade</t>
  </si>
  <si>
    <t>DO WE CAN CALL, THIS YEAR AS A  PANDEMIC YEAR?? AS WE ALL KNOW THIS YEAR 2020 HAS EFFECTED MANY PUBLIC AND PRIVATE SECTORS. AS WELL AS, THE EDUCATION OF THE STUDENTS. DUE TO THIS CORONAVIRUS. BUT, WITH THE HELP OF ONLINE STUDENTS AND TEACHERS CAN CONNECT WITH EACHOTHER AND TEACHER CAN TEACH THEM 50%. BUT WHY ONLY 50% WHY NOT 100%.?? WHY I AM SAYING THIS IS BEACSUE TEACHERS AND STUDENTS HAVE SOME PROBLEM WHICH THEY ARE GETTING EFFECT IN THERE EDUCATION. 
(1)PROBLEM OF LOW CONNECTIVITY OF INTERNET IN RURAL ARAES .
(2)MOST OF THE STUDENT DO NOT HAVE AVAILABLITY OF SMARTPHONES AND THERE PARENTS CANT EFFORT. 
(3)ACCORDING TO TELECOMMUNCATION SURVEY FROM 2014 TO 2020 ABOUT 34% OF USERS ARE THERE IN INDIAN WHO USES SMARTPHONES.
(4)THERE ARE MANY FILE AND DOCUMENTS WHICH CANNOT BE OPENED IN SMARTPHONES. WHICH NEEDS LAPTOP OR PC.
(5)MOST OF THE TEACHERS AND STUDENTS ARE NOT GOOD INUF WITH THE INTERNET.
(6)MOST OF THE RURAL AREAS DO NOT HAVE A INTERNET CONNECTION.
(7)ACCORDING TO EDUCATION SURVEY ABOUT 70% OF SCHOOLS AND COLLEGES ARE THERE IN RURAL AREAS. MOST OF THE STUDENTS COMES FROM RURAL BACKGROUND. AND 65% OF SCHOOLS AND COLLEGES FROM URBAN AREAS.
(8)MOST OF THE AREAS HAVE ELECTRICITY SHORTAGE.
THIS, ALL PROBLEM WILL LEAD TO EFFECT IN THE EDUCATION OF THE STUDENTS.
(9)STUDENTS CANNOT CLEAR THERE DOUBTS.
(10)OFFLINE TEACHING IS MORE BETTER THEN ONLINE. TEACHERS CANT EXPLAIN THE STUDENTS AS THEY WANT TO BE IN ONLINE.
THIS, ALL WILL LEAD TO BAD HABIT OF SMALL CHILDRENS THAT NOT TO GO SCHOOLS BECAUSE OF THE HABIT OF ONLINE TEACHING.</t>
  </si>
  <si>
    <t>PROBLEMS SUCH AS,
(1)SMALL STUDENTS ARE GETTING MORE EFFECTED BY THE ELECTRONIC ITEMS SUCH AS, SMARTPHONES, LAPTOPS. DUE TO THIS ONLINE LECTURES.
(2)STUDENTS ARE GETTING EFFECT MORE IN THERE EYE POWER. 
(3)DUE TO THE RADIATION OF SMARTPHONES OR LAPTOP. THEY ARE GETTING EFFECTED IN THERE BOBY.
(4)EFFECT IN THERE EDUCATION AS WELL AS IN INDIAN LITEARATE RATE.
(5)DUE TO SIT MORE IN FRONT OF SMARTPHONES OR LAPTOP MANY STUDENTS ARE GEETING INTO HEADACHE.
(6)EFFECT IN THERE EXAMS DUE TO ONLINE. STUDENTS ARE MAKING A GROUP OF 4 TO 5 PERSON. SUPPOSE THEY HAVE A GROUP OF 5 AND THEY HAVE 50 QUESTIONS PER STUDENT SOLVES 10 QUESTIONS. AFTERWARDS, THEY DISCUS WITH EACHOTHER AND IF ANYONES ANSWER IS WRONG .THEY, DO CORRECTION AND SUBMIT. DUE TO WHICH IT WILL EFFECT IN THEIR FUTHURE LIFE. AS WELL AS, IN INDIAN LITERACY RATE.
(7)COPYING FROM GOOGLE, BOOKS, OR WITH FRIENDS AND BRINGING GOOD MARKS.
(8)PROBLEM TO TEACHER FUTHURE. BECAUSE, NOW STUDENTS DO NOT CO-OPERATE WITH TEACHERS. AFTERWARDS, WHEN THEY WILL GO TO FUTHURE CLASS THEN IF TEACHERS WILL EXPLAIN THEM THEY WILL NOT UNDERSTAND. BECAUSE, PREVIOUS CLASS THEY DO NOT PAID ATTENTION AS WELL AS COPIED DUE TO WHICH TEACHERS NEED TO EXPLAIN THEM AGAIN AND AGAIN. WHICH WILL LEAD MORE TIME AND THE PORTION WILL NOT GET COMPLETED.
(9) STUDENTS ATTANT THE CLASS BUT DONT NOT LISTEN TO THE TEACHER BY USING OTHER ONLINE SITES PLAY GAMES OR SEE CARTOONS. DUE TO WHICH DO NOT RESPOND TO THERE TEACHERS.
(10)HIGHER CLASS STUDENTS COMES WITH DIFFERENT EMAIL ID AND PASS COMMENTS AND DISTURBS CLASS. WHICH TEACHER DO NOT FIND WHO IS THE PERSON. THIS ALL LEADS PROBLEM TO THE TEACHER WHILE EXPLANING THEM.</t>
  </si>
  <si>
    <t>THE USER GROUP NAME IS {OPPORTUNITY}.WHICH IS SOLVEING THE PROBLEM OF EDUCATION LEVEL. BY SEEING GOVERNMENT SCHOOLS AS WELL AS PRIVATE SCHOOLS. RURAL AREAS AS WELL AS URBAN AREAS. ALSO, TRYING TO REOPEN THE SCHOOLS AND COLLEGES IN LAND FORM BY GIVING OUR IDEA. WHICH WILL SOLVE THE PROBLEM WHICH I HAVE TOLD AND ALSO DOING OUR EDUCATON SYSTEM AGAIN OFFLINE AND WITH GOOD TEACH.</t>
  </si>
  <si>
    <t>ONCE, THIS PANDEMIC BLOWS OVER, ITS A SIGHT THAT MIGHT GREET YOU WHEN YOU RETURN TO WORK, OR YOU ENTER A MALL, MARKET, RAILWAY STATIONS, AIRPORTS, SCHOOLS AND COLLEGES OR ANY OTHER PLACE WERE A LARGE NUMBER OF PEOPLE GATHER TOGETHER. AS, WE HAVE TO SAY ON EDUCATION THAT THE PROBLEMS WHICH ARE GETTING CREATED BY THIS COVID-19 VIRUS. AS, I HAVE TOLD THE PROBLEMS ABOVE. IF THE URGENT SOLUTION DO NOT TAKE PLACE FOR IT .THEN IT SEEMS THE EFFECT ON CHILDS LIFE AS WELL AS THE INDIAN LITERACY. AS WELL AS THE CHILD WILL BECOME CATUAL IN THEIR STUDYS AND MOST OF THE STUDENTS WILL GET EFFECTED BY THE ELECTRONIC ITEMS AND THERE EYE TO. SO HERE OUR PROJECT COMES [ DISINFACTION TUNNEL.] IT IS AFFECTIVE AGAINTS ALL TYPE OF VIRUS AND  PEOPLE SUCH AS SCHOOL GOING STUDENTS, OFFICE PERSONS, PEOPLE WHO ARE TRAVELLING AND MANY MORE. THEY WILL GET PROFIT.</t>
  </si>
  <si>
    <t>SO, HERE WE HAVE AUTOMATICALLY ECO-FRIENDLY DISINFACTION SANITIAZATION TUNNEL AND TO STAY SAFE OR KILL COVID-19 VIRUS KIT TO. 
SO, AS YOU CAN SEE IN OUR PROTYPE.
(1)WE HAVE A WASTE DUSTBIN.
(2)WE HAVE A AUTTOMATICALLY HAND SANITIZER. WHICH IS TOUCHLESS.
(3)WE ALSO, HAVE A AUTOMATICALLY MASK BOX. IF THE PERSON FORGETS TO BRING OR THE MASK FALLS DOWN IN THE WAY. THEN THEY CAN TAKE FROM MASK BOX.
(3)WE HAVE A QR SCANNER. STUDENTS OR PROFESSIONAL PEOPLE  GET THERE ID CARDS. BUT NOW, THEY WILL ALSO, GET WITH THE ATTECHMENT OF BARCOAT. 
(4)WE ALSO HAVE SCANNER AND TERMAL TEMPERATURE SCANNER. WHICH IS AUTOMATICALLY. ID SCANNER AND TERMAL SCANNER WILL BE CONNECT WITH PC OR LAPTOP.
(5)SO, HOW THEY WILL WORK TOGETHER?? EVERY PERSON HAVE TO SCAN THERE ID WITH THE GIVEN BARCOAT IN QR SCANNER. AND, THERE INFORMATION WILL BE SAVED IN THE PROGRAM IN THE PC OR LAPTOP. . SO WHEN THEY WILL SCAN THERE ID+BARCOAT. AFTER, THAT THE TOP FITTED THERMAL SCANNER CAMERA WILL START CHECKING TEMPERATURE  AUTOMATICALLY. AFTER THE PROSSES OF SCANNING . THEY WILL GET NOTIFICATION OF EVERDAY TEMPERATURE.  IN THERE GIVEN PHONE NUMBER WHICH WILL BE SCAN BY ID CARD. AND, IF THE TEMPERATURE WILL BE HIGH SO THE ALERT ALARM WILL START RINGING.
(6)AFTER, THAT BY THE HELP OF UV DISINFECTANT SENSOR. THE SANITIZER SPRAYING SHOWER WILL START SPRAYING AUTOMATICALLY .SHOWER WILL BE CONNECTED WITH THE UV SENSOR.
(7)WE ALSO, HAVE A CONTROL PANNEL WHICH WILL BE CONTROLLING THE SPARYING SHOWER.
(8)WE ALSO HAVE A SANITIZER TANK.
(9)BUT THIS, ALL PROCESS NEEDS ELECTRICITY? BUT OBVIUS. BUT OUR IDEA IS ECOFRIENDLY. SO, WE HAVE A SOLAR PANNEL FITTED ON THE UPPER PART OF TUNNEL.AND WE ALSO HAVE SOLAR ELECTIC MOTOR.
SO, OUR PRODUCT CAN BE FITTED ANY WHERE AND WHICH IS AUTOMATICALLY CARRYING AND TOUCHLESS. THIS TYPE OF LITTLE BIT TUNNEL. WE HAVE MADE IN SOME OF THE STATES IN INDIA. BUT, WITH THIS TYPE OF FEATURES WE DONT HAVE AND TOUCHLESS.
 WE HOPE YOU ALL UNDERSTOOD OUR IDEAS AND WORK.</t>
  </si>
  <si>
    <t>AS, THE VACCINE HAVE NOT BEEN CAME IN THE MARKET AND ALSO IN THE HAND OF THE GOVERNMENTS. BUT, OBVIUS, ALL THE THINGS HAVE BEEN RE-OPENEND LEAVING SCHOOLS AND COLLEGES. BUT, TO STAY SAFE WITH THIS COVID-19. BY, THE HELP OF GUIDELINES AND SOME TECHNICAL WAY. WHICH HELP US TO PREVENTS SAFE.
SUCH AS,,
(1)WASHING HANDS TIME TO TIME.
(2)TEMPEATURE CHECKING.
(3)MASK WEARING.
(4)SANITIZING OUR WHOLE BOBY AND THINGS WHILE COMING FROM OUTSIDE.
(5)KEEPING DISTANCE WHICH EACHOTHER.
BUT,THIS ARE NOT AUTOMATICALLY. FOR EXAMPLE , WHILE CHECKING TEMPERATURE WITH THE HELP OF THE INFRARED THERMOMETER . SOMETIME, ITS SHOWS HIGH TEMPERATURE. WHICH, THE PERSON CANNOT DEFINE AND SOMETIME IT SHOWS LOW TEMPERATURE. DUE TO THIS PEOPLE DO NOT ALERT THERESELF FOR OTHERS SAFETY WITH THERE BOBY TEMPERATURE. BECAUSE ,SOMETIMES THE TEMPERATURE CHECKER FINDS DIFFICULT TO DEFINE WETHER IT IS HIGH OR LOW. PEOPLE CANNOT SANITIZE THERESELF, IN BETTER WAY AS THEY SHOULD TO BE DONE. MANY PEOPLE FORGET THERE MASSK AT HOME OR FALLEN IN THE WAY.
SO AFTER SEEING THIS ALL THINGS. HERE AS, U HAVE GONE TO OUR IDEA. THAT, WE HAVE AUTOMATICALLY TEMPERATURE CHECKING. ALSO, IT ALERTS THE PEOPLE WHEN THEY HAVE HIGH TEMPERATURE BY THE HELP OF ALERT ALARM AND BY THE GIVEN SCANNER THEY GET NOTIFICATION OF THERE DAILY TEMPERATURE IN THERE SMARTPHONES TOO. ALSO, WE HAVE AUTOMATICALLY DISINFACTION SANITIZATION OF BODY. ALSO ,THERE IS AUTOMATICALLY HAND SANITIZATION AS WELL AS AUTOMATICALLY MASK GETTING.THIS, WAY WE CAN TRY OR YOU CAN SAY REDUCE THE PAIN OF THE PEOPLES.</t>
  </si>
  <si>
    <t>SINCE,THE BEGINNIG OF THE CORONAVIRUS OUTBREAK. ONE QUESTION ,THAT WE ARE FREQUENTLY BEING ASKED? IS WHAT ,ARE YOUR RECOMMENDATIONS FOR TEMPERATURE AND SPARYING PEOPLE [AUTOMATICALLY IN DISINFECTION TUNNELS??] AND, AS WE KNOW THAT IT IS VERY IMPORTANT TO BE REGULARLY SANITIZED. THAT THE GERMS AND MOST PROBABLY THE COVID-19 WILLL NOT AFFECT US. HENCE. IT IS VERY IMPORTANT TO MAKE AUTOMATICALLY DISINFECTION TUNNEL AND WE CAN DO OUR BEST A CREATING ONE OF IT. AS WELL AS, AT THE CHEAPEST COST, SO THAT IS COULD BE PLACE ALMOST EVERYWHERE IN PRIVATE OR PUBLIC SECTORS. WHERE IT IN NEEDED WHICH EVERYNEEDS THIS TYPE OF AUTOMATICALLY SANITIZATION.
THANK YOU.
#SIR/MAM.</t>
  </si>
  <si>
    <t>https://enpower-school.com/wp-content/uploads/elementor/forms/5fec2b5761de0.jpg</t>
  </si>
  <si>
    <t>December 30, 2020, 12:55 PM</t>
  </si>
  <si>
    <t>IFT250</t>
  </si>
  <si>
    <t>tanishachaudhuri12@gmail.com</t>
  </si>
  <si>
    <t>Chaudhari</t>
  </si>
  <si>
    <t xml:space="preserve">11th </t>
  </si>
  <si>
    <t>The primitive nature of the Indian education system.</t>
  </si>
  <si>
    <t>To think of a redefined education system, our assessment of the topic has focussed on multiple angles and how the issues are interrelated. 
1.Lack of “teacher” efficiency – The current pedagogical training system focuses on creating mere educators rather than teachers.
2.Access deficiency – Absence of support staff, a healthy learning environment, and proper education for the marginalised society.
3. Pedagogical methods – Unevolved structure of schools through lecturing, rote learning, and association of knowledge with test scores. 
4.Industrial age values – Promotion of skills required during industrial age to cater to “mass production” of students.</t>
  </si>
  <si>
    <t>Our solution aims to deal with the problems concerning all the stakeholders of the education system. This primarily includes but is not limited to the student population. A significant part of this are the lawmakers of the country, the school authority and the teachers. It also extends to those who are underprivileged and therefore are not formally a part of it.</t>
  </si>
  <si>
    <t>“One rotten apple spoils the whole barrel.”
Similarly, a problem in one branch of the education system can create a chain of subsequent complications in other areas of it as well. Focussing on one problem will not serve the objective of “redefining” the education system. Moreover, the pandemic has taught us that the new normal is technologically dominant and the traditional education system is incompetent.</t>
  </si>
  <si>
    <t>1.Revised pedagogical structure –
1.A)No rigid curriculum or assigned books. Syllabus to only prescribe the concepts to be discussed.
1.B)A weekly project to be assigned to the students which will be the mode of assessment.
1.C)Shift System to be adopted. 
1.D)A STEAM based education model should be followed.
2.Addressing access insufficiency – 
2.A)Monthly exercises that help to relay the knowledge gathered from effluent students to the underprivileged children. 
2.B)Enrolment of support staff. 
3.Remodelling teaching faculty –
3.A)Providing incentives to increase competition which would lead to better quality of teachers.
3.B)Teachers to be trained in caretaking.
4.Deindustrialising the system –
4.A)Introduction of new topics – morality, mental health. Students will the liberty to choose 3 theoretical subjects after fifth standard.
4.B) Based on the weekly and monthly assessments, a yearly report of the students should be created.</t>
  </si>
  <si>
    <t>In the system of education that we are proposing, the users will be benefited in the following ways:
1. Rote learning to be discouraged.
2. Creativity and teamwork to be encouraged.
3.No standardised tests.
4.Introduction of Shift System will help the maginalised societies because children will get time both for education and for helping their parents in supplementing their income.
5.Encouragement for the fine arts, performing arts, and sports.
6.Attention given to the children who are not formally a part of the education system.
7.Student-teacher relationship will improve.
8.Bringing in more people to the system.
9.Decentralised system of education.
10.Wholesome environment for children as well as teachers.</t>
  </si>
  <si>
    <t>As mentioned before, our solution takes into account a range of problems rather than fixating only on one. That is to say, we provide a H.O.L.I.S.T.I.C approach.
1.H – Healthy learning environment
2.O – Opportunities for the marginalised societies 
3.L – Life skills
4.I – Individualistic learning
5.S – Subjective testing
6.T – Teacher training
7.I – Introducing Shift System
8.C – Critical thinking, creativity, and communication skills.
We conducted a survey of 50 students, teachers and guardians. Drawing from the answers, we can empirically infer that 90% of the subjects agree to the solutions presented by us. Therefore, consider that our solutions can be a rudiment for the future of Indian education.</t>
  </si>
  <si>
    <t>https://enpower-school.com/wp-content/uploads/elementor/forms/5fec7447a99c4.mp4</t>
  </si>
  <si>
    <t>December 30, 2020, 6:06 PM</t>
  </si>
  <si>
    <t>IFT348</t>
  </si>
  <si>
    <t>shellyfreyah@gmail.com</t>
  </si>
  <si>
    <t>We’re providing a service in the tertiary sector, in order to redifine the education 
System. Bullying is a common phenomenona across various educational institutions, the major consequences of bullying is the lack of confidence, self appreciation and in some major cases emotional baggage that individuals may carry all their lives.</t>
  </si>
  <si>
    <t>The main question is that why have we chosen this domain. The effects of bullying or harassment interferes with learning, it restricts many students from reaching their full potential, hence through our business idea we aim to provide schools and colleges with a bully free environment, so that it doesn’t interfere with their education. In a bully free environment we aim to give student the opportunity, to build self confidence, self respect and gain mental strength. This will not only help them study better in a class environment but also motivate them to pursue numerous extracurricular activities without the fear of judgment or peer pressure</t>
  </si>
  <si>
    <t>Our motto: be a buddy not a bully
Our vision : to promote a bully free environment so that students of all ages can acquire education without being subjected to such emotional suffering. 
Our target audience is mainly, schools and graduation level colleges, so that essentially teenagers can be influenced in a fashion where bullying is not considered cool. Our basic idea to inculcate pragmatic solutions to aid a bully free environment. Our service will be provide to schools and colleges as a whole instead of individual students, it’s primarily a counselling service where specialised counsellors can impart knowledge on how to handle bullying of four sorts: verbal, visual, physical and cyber.</t>
  </si>
  <si>
    <t>Bullying and ragging is developed into a culture over the past few decades. It is imperative that students learn that bullying is not the Way to assert dominance or to feel superior. With that being said it is also very important that students who are being subjected to bullying know how to defend themselves and can find ethical ways to stop the bully. Teachers and parents are usually oblivious to such practices and therefore it is difficult for them to prevent it. We believe that students should be able to critically think and handle these situations with dignity and that what our approach will rely on.</t>
  </si>
  <si>
    <t>Counsellors of our business “buddy” will be in close touch with the staff of the school like the teachers, coordinator and even the schools personal counsellors. Not only will we conduct group and interactive sessions but also students can personally contact the appointed counsellors while maintaining confidentiality from other students. Since most individuals are likely to be minors, the counsellors will send reports to the parents so that necessary steps can be taken. Moreover for physical bullying like hitting, our objective is to provide the students with all the tools to be able to defend themselves in situations of danger. We will achieve this by providing them with self defence classes so that they are equipped with basic skills and are able to think critically if a such a situation is to arrive. Trained martial artist can provide girls and boys with these skills. As for cyber bullying we aim to provide schools with IT professionals specialised in retracting data, locating the sources so that their respective parents can take necessary steps to stop cyber bullying.</t>
  </si>
  <si>
    <t>Many students don’t know that there is way to stop the bully, many of them suffer in silence because they don’t know who to go to, either they’re embarrassed or they are scared to report this behaviour. Schools may or may not have counsellors to raise awareness about this topic hence we provide them with the tools and necessary skills to stand up for themselves or any other person getting bullied. This will promote students working in harmony and in a community free of harsh harassment. Moreover many schools have a social hierarchy system where people are categorised into “popular” and “geeks”. We wish to eradicate this so that everyone respects everyone irrespective of their labels</t>
  </si>
  <si>
    <t>Our unique selling proposition is that we care, my partner and I have been personally subjected to bullying and we want to create and environment where bullying is not considered casual or cool. 
Having experienced it personally we can relate to students moreover we know how bullying can affect our grades, self appreciation and even our confidence before venturing into trying new things. 
Moreover many schools teachers have a lot of workload hence it is likely that such
Bullying practices are ignored by them, hence we aim to provide this service so that students being subjected to bullying aren’t neglected, which our counsellors can prevent and cure.</t>
  </si>
  <si>
    <t>December 31, 2020, 5:15 PM</t>
  </si>
  <si>
    <t>IFT242</t>
  </si>
  <si>
    <t>replytoj@gmail.com</t>
  </si>
  <si>
    <t>Ferozpur</t>
  </si>
  <si>
    <t>1. Problem of missing certificates. 
2. only academic based future system.
3. brain drain in India.
4. increasing stress and mental tension in youth.</t>
  </si>
  <si>
    <t>1. Education is the main aim of
everybody whether it is a child or an
adult. Not all children are alike; some are
good at studies; some are good at sports;
some at computers; some at arts and so
on. But in report cards or while applying
for any job etc. we are only concerned about
the academic percentage. There must be
something which keeps a record of his
extra cocurricular activities too.
2. Moreover, whenever we have to
apply for higher education or a job, we
have to carry all of our precious records
(documents and certificates). which is a 
very difficult job. Sometimes some left at
home or in the way or get stolen or
misplaced. Then, it becomes difficult for
the one to rearrange the particular
certificate from different institutes. It
results in wastage of time, money and
also give rise to mental tension.
So, there must be something that reduces
wastage of our time and money.</t>
  </si>
  <si>
    <t>All kids, youngsters, adults, schools, colleges,
companies and even Indian economy needs a
solution for this problem.</t>
  </si>
  <si>
    <t>This problem needs an urgent solution
because lack of knowledge, unavailability
of resources, our young and budding brain
are either going to abroad or sinking in the
darkness of drugs. To save brain drain in
India and to inculcate confidence in our
youngsters, it is very important to bring an 
innovative and technical solution of this
problem. I have one solution for many problems.</t>
  </si>
  <si>
    <t>So, my solution for this problem is: -
      Achievement Credit Card
It is not a credit card of money, but it is a card
of achievements ✌a person has done in his
lifetime. It will be like a digital storing of
achievements credits earned by an
individual.</t>
  </si>
  <si>
    <t>1. It will keep a record of a person's
academics, cognitive, affective and
psychometric domains.
2. It will keep a copy of all certificates
achieved by a person.
3. Achievement credit will be stored in
digital locker.
4. Whenever we went to get a job, we
have to just show our ‘Achievement
Credit Card’.
5. It will have a code like Aadhaar card.
It will be linked with a software like
Aadhaar card is. On putting the specified
code through its linked software schools,
colleges or Job Centers can easily see ones
related certificates and documents.
6. This achievement card would also
help in decreasing the corruption. as now
a days we used to hear that the people are
making the fake certificates and getting
the good jobs. While deserving candidates
are facing problems. So, my achievement
credit card will help in decreasing
corruption to a great extent.
7. In my achievement credit card, the
people would not be able to make 
changes in marks, details or any other
thing. In other words, it will be
unalterable for a common man. The
access to Achievement card would only be
given to the education departments.
8.Education department will issue it with the start of an academic carrier for the freshers and for others these will be issued by the respective HEI's.</t>
  </si>
  <si>
    <t>I think my solution is the best in every sense
as no one has ever thought of keeping e -
record of all the hard work one has done
through out of his carrier. This will reduce a
great burden.
This card will allow a person to estimate his inner skills and he can choose a stream as per his wish..
as some one is good at piano ..but saying some one that I know piano sounds not so good .. but when one show him the certificates regarding music, he had gained during his schooling or in other fields, it will be quite impressive. For this he will just have to keep this achievement credit card. This will make easy for him to invade in his stream..</t>
  </si>
  <si>
    <t>https://enpower-school.com/wp-content/uploads/elementor/forms/5fec5d1ac5e3f.pdf</t>
  </si>
  <si>
    <t>December 30, 2020, 4:27 PM</t>
  </si>
  <si>
    <t>IFT359</t>
  </si>
  <si>
    <t>vidhimomaya23@gmail.com</t>
  </si>
  <si>
    <t>“Education is what remains after one has forgotten what one has learned in school.” - Albert Einstein.
Our present education system focuses more on memorising facts and gaining marks rather than enabling the students to understand the the concept in a deeper and clear way. 
Teachers are so busy on concentrating that whether they will finish the syllabus on time or not which leads them to compromise on the students well understanding of the subject being taught. 
This constrains the students mindset and compel them to rote learn the concepts. 
Our education system also refrains students to choose certain streams with specific subjects and hence not do they have the choice or freedom to choose their combination of subjects which they would like to learn.</t>
  </si>
  <si>
    <t>Learning is more than memorising facts , learning is understanding it and being to explain it in your own words.
Students are so busy running behind grades and marks that they have lost the zeal to understand why a particular thing is happing and how? 
Marks are not a cumulative parameter to judge a student’s competency and knowledge, but our schools fail to understand that.. 
The whole world has faced a pandemic , lakhs of people have lost their lives, there is global economic loss of billions and more than half of the school and college students were happy they educational institutions were closed . 
This shows how well are education system treats it’s students!</t>
  </si>
  <si>
    <t>The user group whose problem we are attempting to solve are the school/college students</t>
  </si>
  <si>
    <t>This problem is critical and needs an urgent solution since if now now when?
We have to make a change so that students learn to question their curiousity and learn things in a more creative way rather than mugging up facts. 
Most teachers and parents believe that students thrive under pressure. However, in most cases, they crack under pressure. The burden of living up to unnecessarily high expectations takes a toll on the mental health of the students.
Exposing the students to learn in a healthy environment of Learning in a fun way would not only give them better understanding of things but also  prepare for the world and it’s challenges.</t>
  </si>
  <si>
    <t>Solution - 
1. Transform the way of teaching- 
Involving various activities to teach certain concepts for deeper understanding instead of just copying it down in notebooks, 
making students experience what they are learning by including them in real life situations .
2. Introducing new subjects without exams such as current affairs, general knowledge on entertainment, sports etc , giving basic like skills on adulting on how to pay taxes, even to the science or Arts students.
This will keep students informed of what is happening around them and in the world so that they develop a wide perspective with critical solutions to face various problems and cable needs of the world</t>
  </si>
  <si>
    <t>Our solution gives a distinct solution to the users as it enables them prepare for the real world and not only for the exams.
With risking competition around us it is important for the students to understand what is being taught and Learn it will sheer interest to develope a rationalised thought and also shape their personality.</t>
  </si>
  <si>
    <t>We are better equipped to offer This solution since we have experienced it and also have such a privilege to speak up on a platform which encourages us to talk and share our ideas on education system transformation 
We can also speak on behalf of the students who are not confident enough to talk about this and provide them an opportunity to enter an education system where they enjoy and love learning</t>
  </si>
  <si>
    <t>December 31, 2020, 6:39 PM</t>
  </si>
  <si>
    <t>IFT229</t>
  </si>
  <si>
    <t>shritha.mangari@gmail.com</t>
  </si>
  <si>
    <t>As part of this exercise, I have interviewed couple of stakeholders like students; Parents and Teachers and captured challenges they are facing but one thing resonated with me couple of months back :
Affordability of education to everyone and at a very reasonable cost
As part of this exercise, I would like to address this problem and see how education can be availed by all(specially low income sector) during this pandemic situation.
As Nelson Mandela suggests -- It is not beyond our power to create a world in which all children have to a good education. 
I feel everyone has equal right for education...</t>
  </si>
  <si>
    <t>-- Education should be affordable to all. 
-- In the current situation only a privileged few can afford the additional costs of a computer and high speed Internet. 
-- Teach under-privileged students who cannot incur additional cost for education.</t>
  </si>
  <si>
    <t>-- Address educational needs of both rural and urban students. 
--All genders from the age of 10 to 17.
-- Many of them have both economical and financial challenges. The household income is less than 2.5 lakhs per year.
-- Government, Society, Parents, Students, Teachers, Educational Boards, Schools, NGOs</t>
  </si>
  <si>
    <t>-- Many in India attend either government or subsidized schools where tuition is free or very minimal.
-- Most of the students who go to these schools come from lower income groups, a vast majority of students belong to this category.
-- The education has to be a continuous process and one year of break is too costly for students.
-- It is important for the students to complete the current academic year and not have a backlog. we want to ensure the teachers take the responsibility for this.
-- Students are future of any Country -- Country's progress in various aspects like economy culture etc.. are dependent on next generation and how they are groomed. Education is very critical, which would enable them to acquire the skills to transform as leaders.</t>
  </si>
  <si>
    <t>Create a platform where revenue can be generated and funds can be raised to help the parents and students who cannot afford digital devices.
-- Revenue can be generated from sponsors; advertisements etc.
-- Funds can be raised by organizing charity events 
-- Funds can also be raised by donations from the people/organizations who are willing to help.
-- The revenue generated can help government schools and parents to buy systems for their kids enabling them to conduct/attend virtual classes.
-- Apart from this, students (or anyone) can nominate to donate time and expertise – by teaching or training other students/ teachers on any topic of interest. This will help them to realize the value of education and be motivated themselves.</t>
  </si>
  <si>
    <t>The solution I propose has multiple benefits :
It  addresses the financial challenge which economically backward families or schools are facing and enable them to equal right to education irrespective of financial status. 
It also helps students to be motivated and engaged. In my personal opinion students concentrate more when they have to learn to teach others.  we are teaching to students from various backgrounds and of different caliber. 
Let’s take an example , I’m a student of 9th grade and studying the following subjects: Math, English, Social  Science and languages. I have been given a task of teaching five of my fellow 9th grades who are underprivileged. It now becomes my responsibility to learn about French Revolution more thoroughly in order to teach  these five students who will be taught remotely or in-person. 
 Learning in groups has many benefits in these times. Children go through a lot of psychological imbalances and giving them solutions to their study issues or concerns can calm them down. They can express their opinions more freely and this creates an atmosphere for learning. </t>
  </si>
  <si>
    <t>I am one of the key stakeholder of educational system  - who has been greatly impacted with pandemic situation and suddenly the world around me has changed. 
I love to be at school and meeting my friends, spending time with them and taking part in extra circular activities -- I love basketball. Pandemic situation has impacted me, not able to take part of any matches. And sometimes I have to spend hours on front of system, not having f2f interaction with any of family members as they are occupied with their own activities. 
But later I have realized, I am privileged compared to other children around me - when I learnt from my maid that her daughter is not able to continue her school as she cannot afford getting her system neither school has provision to conduct virtual classes.  Since then I have been thinking on how can I help and conducted few small events to raise funding. As part of this exercise, I have expressed my thoughts -- hopefully, I can make difference someday.</t>
  </si>
  <si>
    <t>https://enpower-school.com/wp-content/uploads/elementor/forms/5fec37a2a4c2d.pptx</t>
  </si>
  <si>
    <t>December 30, 2020, 1:47 PM</t>
  </si>
  <si>
    <t>IFT341</t>
  </si>
  <si>
    <t>manyaadikshit07@gmail.com</t>
  </si>
  <si>
    <t>The prospect of having an entire school experience compacted into a personal electronic device is unusual, to say the least. It can be unnerving for students who have only ever known traditional classroom settings. Online learning demands interaction and a fun and exciting experience if the teachers want the students to make the most out of it. 
Studying online is also fraught with opportunities to lose the qualities of dedication and motivation. For one, there is an unlimited distraction of already being on the internet; social media and YouTube are as present as your next assignment. A lot of valuable study time can pass if you don’t monitor your internet usage closely. Given the abstract nature of online learning, motivation, in particular, can take a hit.
The worth of online learning is also not fully trusted, nor given the respect, it deserves due to the constant suspicion that the students have created or gained their marks by unfair means. This is a big problem as students who cheat gain more marks than the students who give the tests and exams honestly.</t>
  </si>
  <si>
    <t>Due to school closures, teachers and students all over the world have experienced firsthand the challenges involved in creating high quality online learning experiences. Taking a class that was intended to be delivered in-person and transitioning it to a virtual platform is incredibly hard. Because of this teachers find it hard to teach the students. 
Due to social media platforms and that the school is online students are often tempted to ignore the teacher and then miss out. Our product keeps students engaged and helps the teacher to teach in a more online friendly manner.
Due to exams and tests being online, teachers are often sceptical about how much of the work is really the students, and how much of it is just cheating. Students who give these exams and tests honestly are losing their ranks as some students cheat and win the top ranks.  Because of this, the teachers are unable to grade the students fairly. Our exam-taking feature solves this problem for the teachers.</t>
  </si>
  <si>
    <t>The target audience for the classroom is teachers, weather they, may be school teachers, one-on-one classes teachers, group studies created by students or external group classes.</t>
  </si>
  <si>
    <t>Many students are falling back on their education and are procrastination to do their work. The often-used excuse is “I’ll do it later.” This happens because the content is basic and the delivery of the assignments is boring. Due to this procrastination, students fall behind and when the exams and tests take place, they resort to cheating to score well.
Why this needs an urgent solution: 
This results in unsubmitted assignments which impacts the students overall score. Even if the student finishes ti last minute it is usually not up to the mark and they could have easily done better if more time was put into it. To cover up for all the missed assignments they need to score well in the exams but since they haven’t studied, they must resort to cheating to get a good grade.</t>
  </si>
  <si>
    <t>Our solution is a classroom with various features to make the class more fun and engaging for the students. The class will have either 1, 2 or 3 of our special features. These features include a Blog section, a FAQ Section and a Clubs section.  With the blog, each student will get a revision of each chapter and this blog post can also act as notes for the students. The FAQ will allow the students will answer each other’s questions and will let them view a concept from a different perspective. The club’s section will allow the students to read about recent events and will help in expanding their hobbies making school more personalized for them. All classrooms will have an in-built exam-taking feature. When all the students have assembled in the lobby the teacher will be able to lock their screens and the students will not be allowed to leave the site. The particular chrome tab will be full-screened and the teacher will be able to view each child’s screen.</t>
  </si>
  <si>
    <t>Our classroom provides a ready-made platform for the teachers and hence, they’ll worry less about needing to make the class interesting.  It also offers an engaging experience for the students which motivates them to frequently visit and complete assignments. In addition, it has ready-made themes and fonts for the teachers to pick from to make the classroom appealing and attractive for the students. Each classroom can pick either 1, 2 or all 3 of our features. It also reassures the teacher about the credibility of the student’s marks and they will be able to grade the students in a fair manner.</t>
  </si>
  <si>
    <t>Many of my friends complain about the classes being “boring” and “not as fun as before” but unfortunately with the second strain of Covid-19 pushing its way throughout the world I personally feel that we’ll be stuck with the online school for most of the coming year as well. Many friends also complain about how unfair the marks are and seeing the other students cheating, they also resort to cheating to get their marks up. I feel that a student will be the best option to find a solution to this problem as they would know exactly where the teachers should improve and will have many ideas on how to make the class more engaging and fun. A student will also be able to show exactly where and how a child cheats so we are also best equipped to solve this problem.</t>
  </si>
  <si>
    <t>https://enpower-school.com/wp-content/uploads/elementor/forms/5fedaee37eba6.pptx</t>
  </si>
  <si>
    <t>December 31, 2020, 4:28 PM</t>
  </si>
  <si>
    <t>IFT361</t>
  </si>
  <si>
    <t>adityaguptaa9@gmail.com</t>
  </si>
  <si>
    <t>IB</t>
  </si>
  <si>
    <t>The monotony and primitive teaching methods that haven’t advanced with the improvement in technology.</t>
  </si>
  <si>
    <t>The prevailing teaching methods focus more on theoretical knowledge which isn’t appealing to students. We need to find a method to advance education in a way that incorporates current technology which is economically feasible as well as improves the way we make students understand with practical learning. As we have seen, online classes have gotten rather boring and non-interactive, this is because of the lack of interactivity that these platforms provide. Our app provides a direct solution for that. It can be used in physical classes as well as online classes from the comfort of your home.</t>
  </si>
  <si>
    <t>Our main user group includes students, teachers, schools, and parents. Students and teachers will be the primary users of this app who will use it on a day to day basis. The schools will be providing this platform to their faculty and students. Parents who want their children to get the best hands-on experience will also come under our target market.</t>
  </si>
  <si>
    <t>The problem is critical as the technology is available but we’re still not putting it to use. The world has to radically change its teaching methods over time to adapt to the future which will emphasize AI and mixed reality. Students aren't getting as much practical exposure, especially now due to online classes. Students aren't interested in learning as the current teaching methods are not engaging. They tend to lose interest quickly and henceforth we think that the problem is critical and needs an urgent solution.</t>
  </si>
  <si>
    <t>Our solution is to incorporate augmented reality into education through our app ElevatEd. This concept is being used by multiple multimillion-dollar companies for training their employees and this has huge implications in terms of education. Our app will allow the rendering of digital images or data onto real-world objects which will give the students a chance to tinker around and have a hands-on experience, which has all the good takeaways of practical learning while the disadvantages of physical harm are removed(eg: an accident in a chemistry lab). This is cheaper than virtual reality and more accessible while providing a similar; if not, better experience to the user.</t>
  </si>
  <si>
    <t>ElevatED features aspects that enhance the learning abilities like problem-solving, collaboration, and creation to better prepare students for the future. It has the ability to make online learning seem interactive and will still be very useful when physical classes commence. ElevatED’s relative seamlessness of digital objects within the real world encourages interactivity and engagement. It maximizes students’ ability to spend their time learning curricular subjects while minimizing the time spent learning how to use the new technology.</t>
  </si>
  <si>
    <t>We’re best equipped to offer the solution as we’re the people who need it. What's better than getting a solution from the people experiencing the problem of the monotony of the system first hand. We believe that the students can provide the best answers as to how they want to learn and what might be beneficial for them. From those ideas, based on scientific research, numerous surveys, and technological advancements, the idea of incorporating Augmented Reality into education through our app was fabricated.
https://drive.google.com/file/d/1tr-sE-REmxqJEcVbXYpBBbfPmpyots2I/view?usp=sharing
(drive link for our video. Copy this URL and paste it into another tab)</t>
  </si>
  <si>
    <t>December 31, 2020, 6:51 PM</t>
  </si>
  <si>
    <t>IFT228</t>
  </si>
  <si>
    <t>ansumaanpatnaik21@gmail.com</t>
  </si>
  <si>
    <t>One of the most common problems in online education is the lack of learner’s enthusiasm despite dire efforts of the teacher. I wish to solve this problem.</t>
  </si>
  <si>
    <t>If the learner is not interested in studies then there is no meaning of spending a lot of time and effort on the process. It is important for the learner to learn as it’s the basic mantra of education. Also, sometimes because of lack of learner’s interest the teacher also losses his/her motivation to teach.</t>
  </si>
  <si>
    <t>For both teachers and students.</t>
  </si>
  <si>
    <t>This problem is utter critical as if the learner is not interested in studies then there is no meaning of spending a lot of time and effort on the process. It is important for the learner to learn as it’s the basic mantra of education. Also, sometimes because of lack of learner’s interest the teacher also losses his/her motivation to teach. Thus, the holy process of education becomes a hefty boring session of lectures and fruitless efforts.</t>
  </si>
  <si>
    <t>My ideal solution is a mixture of strong facts and effortless imagination. I would present you my ideal solution --- ‘My Kaihatsu System’, where ‘Kaihatsu’ means development in Japanese. This is an AI operated system where the user – ‘student’ is the host and the ‘system’ is the guide. This software/program will act as a guardian angel of the student as he/she faces the difficulties of online education as well as day to day educational tasks. The user is given a mixed experience of real-life situations and the thrill of an MMORPG (Massively multiplayer online role-playing game).</t>
  </si>
  <si>
    <t>This software will increase the competitiveness of students by tempting them with certain advantages as shortcut procedures for success. To acquire these advantages, they would have to complete certain tasks. These tasks will only give them those advantages they need, without them finding out! These tasks will be specifically designed as per the latest trends of effective learning pattern to ensure a competitive advantage over others. Thus, making them want to be better than before. This indeed will make the teacher’s work easier.</t>
  </si>
  <si>
    <t>The reason why I am best equipped to offer this solution is because I have dealt with this problem myself. I am a student of class 11, preparing for JEE Mains &amp; Advance 2022. During Lockdown, I found it hard to concentrate in my studies while studying online. But this problem is not unique to me. Many of my friends also faced this problem, also I read on many forums, where students like me express their views and share their problems, that they've faced the same problem. I also talked to some of my teachers and they also show concern about this particular matter. After trying many ways in search of long term solution, I found out that this procedure was successful. Being the inventor of this idea I want to share this solution to as many students as possible. Therefore, I am best equipped to offer this solution.</t>
  </si>
  <si>
    <t>https://enpower-school.com/wp-content/uploads/elementor/forms/5fec340ba5e38.pdf</t>
  </si>
  <si>
    <t>December 30, 2020, 1:32 PM</t>
  </si>
  <si>
    <t>IFT345</t>
  </si>
  <si>
    <t>shreyasihagss30@gmail.com</t>
  </si>
  <si>
    <t>A variety of flaws are disguised as the features of education- 
•	Aim of learning - we need to understand that instead of focusing the evaluation on a three-hour exam, the focus of evaluation should be classroom participation by a student, projects, practical applications, communication and leadership skills and extra-curricular activities.
•	Lack of personality development -The student`s personality is being framed in a way in which he can possibly be a scholar. That too stressing on the fact that he\she can only be a scholar. All the other fields are significantly ignored and are not given much importance due to which the child is mere a book worm and nothing else.
•	Only marks matter - Learning starts from opening the textbook, learning it and ends with the closing of it. 
•	Everyone`s running in a rat race - Everybody wants to become a topper and score the highest of all, but no one wants to beat his own score and improve on himself solely.</t>
  </si>
  <si>
    <t>Everybody is taught to score the highest and be the class topper. The students want a world where learning is fun and not a burden. They are just enclosed in a closed building where what they have to do is only study. Finally step into the real world most of them break apart. Most of them take wrong carrier decisions because of lack of exposure and apt knowledge of the field and its scope ahead. The system has stifled the children`s creativity by forcing them to value grades more than anything else. Uninspiring teaching and numerous assignments add to their woes.</t>
  </si>
  <si>
    <t>The user group whose problem we are attempting to solve is the group which is often ignored the most. Yes, it’s none other than the students. Students who shape the future of the country and are the most valuable asset for the nation. But initially what they face is only pressure and burden of exams and scoring high in that. Everyone around them ranging from teachers to their parents constantly poke the child to perform good in academics. This mindset is the major problem that we have to tackle. They don`t care about the approach the child is following to gain marks, mere cramming of the text &amp; forgetting it the next week after exams.</t>
  </si>
  <si>
    <t>The problem is critical because students are the future human capital of the country. They need to know some basics of how the world functions. The education department needs to reform its priorities and shift their focus from just academics to other spheres of life. This way of teaching has been continuing from the past 70 years since independence. We need to develop our approach, our methodology which is different from the one which we we borrowed from the britishers who ruled us. People who do quality of work are needed and not the one`s which can do constant labor stuff.</t>
  </si>
  <si>
    <t>“SIHNEY”. Here`s our panacea to this problem. This app, is our idea which is designed in order to equip the students above the age of 14 with multiple talents which will enhance and sharpen their personality. With this app in your mobiles you can right there follow your interests and experience a real life experience which you probably do some 6 years later. No degree but still being given the opportunity to work and show cast their interests and skills. This way they`ll be having a clarity of thought about their field of interest, which is a far better approach than taking exams. If you want any help in cooking, making presentation for your office or a helping hand for your shop, or gardening, Sihney is right there for you! Chat, Talk &amp; Choose your own helping hand with the location services provided by our app.</t>
  </si>
  <si>
    <t>The benefit which would be availed by the students as well as the help seekers is that it would be a win-win situation for both the parties. Students on one hand will be happy engaging in jobs of their own interest rather than just writing and learning text material. This will influence their overall personality &amp; skill development. Last but not the least they`ll get paid for whatever they are doing. Help seekers or employers get a quick and easy way out to locate any help which is actually really hard these days. They can employ students according to their own wish &amp; will. The students would even get a constant source of motivation when all their activities would be awarded feedbacks i.e. a 5star rating &amp; a soft copy of the certificate as well. This way they`ll learn time management &amp; handling work pressure.</t>
  </si>
  <si>
    <t>Well we are ourselves the user group here. We are currently studying as students and who can know and understand the situation better than us. From the past 70 years we are following a path which makes us well-trained and not well-educated. For being a well-educated person, only being a book worm isn’t enough, hands-on experience is requiring which is what we are providing. We believe that we have it in ourselves, the zeal, which can bring about a change in the education system and the betterment of youth! We are trying to create a learning which will not only make them knowledgeable but also they`ll understand it in its true sense so that they can pass it on to everyone around them.</t>
  </si>
  <si>
    <t>https://enpower-school.com/wp-content/uploads/elementor/forms/5fedb7a0d0267.pptx</t>
  </si>
  <si>
    <t>December 31, 2020, 5:06 PM</t>
  </si>
  <si>
    <t>IFT240</t>
  </si>
  <si>
    <t>lvismehak@gmail.com</t>
  </si>
  <si>
    <t xml:space="preserve">Sharma </t>
  </si>
  <si>
    <t>So we can work on the points: online infrastructure, learning techniques, assessment, skill development to redefine our education system.</t>
  </si>
  <si>
    <t>The problems faced till now in the offline and online system -many times students miss out on school because of some issues.  Moreover, students mug up the topics for the exams and do not know how to apply these concepts in the long run. Exams put unnecessary pressure on the students and are taken as the final word for testing the intelligence of any child.  For the foremost part of schools, the training process is confined only to classrooms, but this process is more about gaining facts.</t>
  </si>
  <si>
    <t>We are attempting to solve the problems faced not only by the students of all age groups but also the teachers in some cases.</t>
  </si>
  <si>
    <t>The problem is critical and needs an urgent solution because the present education system is not preparing students for the coming future. Since, students lack creativity, critical thinking and the curiosity to learn. The world has progressed and needs people who think independently and innovatively. Therefore, problems such as learning techniques, online infrastructure, skill development and assessments need an urgent solution.</t>
  </si>
  <si>
    <t>Students often miss their school so to cope up with this problem we have online +offline system where students can attend school the way they want to  We should have such a system where students should not only mug up things but use it practically. Tests should be taken to check the conceptual clarity of students and not to the test the amount of information a student can mug up. We want that in our system the students shouldn’t be burdened up with projects during exam time as they are already stressed up. The exams shouldn’t include the lessons which have been finished currently as this doesn’t give time to the students to practice well for the exams. Not only studies are important but also the life skills so we can have many skills in our schools that not only change the lives of the students but also the students.</t>
  </si>
  <si>
    <t>Our solution would benefit students as students who wish to attend classes will not miss classes due to some uncertain conditions. Moreover, those students who don't like mugging up lessons will not be forced to do so because of more effective learning techniques. We have also tried to come up with the solution for assessments which would definitely help the students. The student’s burden and stress are also reduced in our solution. We have also kept into consideration that games and extra-curricular activities are equally important.</t>
  </si>
  <si>
    <t>We think that we are best equipped to offer this solution because we are students and can understand the problem faced by students as we are also experiencing the same and we have also talked to many students who want  the problems to be solved because the problems and the solutions that we have mentioned are affecting the lives of many students</t>
  </si>
  <si>
    <t>https://enpower-school.com/wp-content/uploads/elementor/forms/5fec52b5e7206.pdf</t>
  </si>
  <si>
    <t>December 30, 2020, 3:43 PM</t>
  </si>
  <si>
    <t>IFT350</t>
  </si>
  <si>
    <t>vedantcapoor@gmail.com</t>
  </si>
  <si>
    <t xml:space="preserve">Podar International School </t>
  </si>
  <si>
    <t>Educational Inequality between Urban and Rural India -  India has been trying to rapidly develop and industrialise itself since a number of years. It has achieved great success in developing and industrialising the urban areas of the country, but the rural parts of India still remain the most socially and economically backward parts of the country. For India to succeed in becoming a global economic powerhouse, it is vital for its rural areas to develop as 65% of India's population resides in rural areas. A major hindrance coming in the way of rural India's development is the educational inequality present between urban and rural India. The quality of education in rural India is nowhere close to that of urban India. Therefore, for India to transform into a developed nation as a whole, it is vital that we solve this major problem of educational inequality by finding a viable solution.</t>
  </si>
  <si>
    <t>The problem in the educational system of rural India is the lack of qualified teachers compared to the large population of students. This results in there being a small supply of qualified teachers as compared to the massive demand. This leads to many overcrowded classrooms, not any individual attention being paid to the students and a decrease in the attention span of a student. This intern leads to rural students not understanding concepts as well as their urban counterparts. Therefore, the problem I am combatting is the small supply of qualified teachers as compared to the massive demand.</t>
  </si>
  <si>
    <t>The small supply of qualified teachers as compared to the massive demand is a problem of both teachers and students of rural India. 
Teachers of rural India aren't being able to pay individual attention to students due to overcrowded classrooms. 
As a result, students of rural India are not being able to understand key concepts carefully as compared to urban students. This is evident as the rural students tend to underperform in national examinations as compared to urban students.</t>
  </si>
  <si>
    <t>The rural population is 65% of the Indian population. If the rural education system was on par with the urban education system, there would be more educationally qualified people throughout the country. This would result in there being more job opportunities, better economic development and better quality of life in India. India could use its complete potential and transform to an economic superpower.
Also, this inequality was further highlighted during the pandemic when online education widely began. Just 14.9% of rural Indians have an internet connection compared to 42% of urban Indians.
India could use its complete potential and transform to an economic superpower.</t>
  </si>
  <si>
    <t>My solution is to provide adequate training for teachers in the rural areas by partnering with the government, supply better and more technologically advanced resources to schools and also supply learning resources and materials to children who are unable to access online education.</t>
  </si>
  <si>
    <t>By providing the required training to teachers, we can balance the supply and demand of qualified teachers in rural areas. Because of this, teachers will be able to pay individual attention to students as class sizes will decrease. Rural students would now not be required to sit in overcrowded classes and would therefore be able to increase their attention span. This would result in rural students performing better at important national examinations.</t>
  </si>
  <si>
    <t>I believe a my solution as a private organisation would perform a better job at reducing educational inequality in India as compared to the government. The government has launched many schemes over the years, but most of them have not worked out due to several inefficiencies and lack of funding.</t>
  </si>
  <si>
    <t>December 31, 2020, 5:37 PM</t>
  </si>
  <si>
    <t>IFT245</t>
  </si>
  <si>
    <t>dabasmanya1309@gmail.com</t>
  </si>
  <si>
    <t>The problem that I am trying to resolve is the lack of practical knowledge in Indian education system because of which learning has become more of cramming . The current education system is the same of that of 50 years ago. Hence, it would be right to say that it is outdated and some changes are required in the field of education .</t>
  </si>
  <si>
    <t>Albert Einstein rightly said that education is not the learning of facts but the training of mind to think. But this is not the case in India. Here, theoretical knowledge is all we get from schools . Our education system is like "learning things to forget". It lacks in kindling the curiosity and desire to learn .</t>
  </si>
  <si>
    <t>Through this business idea, I intend to make science more intriguing for students. Practical knowledge helps students to learn better as when you do something with your own hands you remember better .</t>
  </si>
  <si>
    <t>Schooling is something everyone has to go through in one's life. It has a huge impact on our lives . But if we spend these 10 years of a lives just mugging up tons of facts then this is a serious problem which needs to be resolved .</t>
  </si>
  <si>
    <t>The solution to this can be addition of practical activities to education. A place where students can put their knowledge to test. I intend to build a company which provides students with laboratories where they can test their scientific skills. They can practically apply what they have learnt in their textbooks. These laboratories would be kids friendly. Students will be able to play around with chemicals safely under the supervision of specialists. This will drive their scientific curiosity crazy .</t>
  </si>
  <si>
    <t>This idea has the capability to make science more interesting and relevant. This will make the learning process simpler and faster .And hence, will be of great benefit to students .</t>
  </si>
  <si>
    <t>This is because I find science interesting but memorizing hard and boring.</t>
  </si>
  <si>
    <t>https://enpower-school.com/wp-content/uploads/elementor/forms/5fec6c96ce8bb.pptx</t>
  </si>
  <si>
    <t>December 30, 2020, 5:33 PM</t>
  </si>
  <si>
    <t>IFT346</t>
  </si>
  <si>
    <t>prachisingla.204@gmail.com</t>
  </si>
  <si>
    <t>As we move ahead in every sector, technology, industries, agriculture and so many more, one still continues to lag behind, namely, education. This one sector is supposed to ensure that when children step out of their schools and colleges, they can use their knowledge compiled with their creativity, critical thinking, practical understanding and ingenuity to solve the problems faced by the modern world, make it a better place without causing damage to the environment. But what schooling systems focus upon is perfect A’s on grade sheets, completing the syllabus as quickly as possible and conducting examinations on regular basis. The basic sets of skills that are truly required by students are always forgotten in the name of academics. But what they fail to realize is that all that the children were forced to learn alone won’t help them. This issue must be resolved with immediate effect as all these bright minds will act as more of liabilities than assets for the nation and the world as a whole when national and international level problems are to be addressed and resolved.</t>
  </si>
  <si>
    <t>It’s true when many people say that school is a child’s second home. Hence, it’s also the school’s responsibility to ensure that the kids of the house when leave for the world are prepared to help others in some way. However, knowledge alone cannot do wonders. The entire personality of the person is what’s essential, and it includes practical conceptual understanding, critical thinking and originality to be able to provide assistance. This entire skill set can be found in anyone, if nurtured at the right time. Unfortunately, our second home doesn’t achieve this goal and many talented young minds are left to fend for themselves by grasping at straws. Hence, I would like to bring everyone’s attention to this issue as it has adverse effects if not solved.</t>
  </si>
  <si>
    <t>This issue is primarily being solved for students to ensure that they can efficiently assist the world using all that they have learnt in their school years. Through this, it shall be ensured that the children aren’t left as liabilities and that they can lead the lives as they’ve aspired to be and achieve their goals in their respective careers. Companies nowadays tend to employ those with such skill sets, hence, if the personality of one isn’t nurtured and developed at the right time, that child might have to end up learning them the hard way which might cost them a lot of time.</t>
  </si>
  <si>
    <t>As the world progresses, technology improves with it and so does every other sector. To make everyone’s lives much more luxurious and easier, advancements are being made; AI and robots are being programmed, more efficient ways are being discovered to obtain resources and in turn more money is invested in the same. Hence, skills such as those mentioned above are required to continue the development of the human civilization and ensuring at the same time that we don’t end up destroying Mother Earth. Creative problem solvers with original and feasible ideas are what we need, which is only possible if these abilities are instilled in them at a young age.</t>
  </si>
  <si>
    <t>I would like to present before you “Our C’s: Our Channelized Competences”, a game of 35 cards with real life problems that are currently faced or are likely to be faced by the world in the coming years. This game is designed for students of grades 10th and 11th. Every week, a card is drawn and the classroom is divided into 4 teams where they work together to come up with solutions for the particular issue that can be implemented in the near future. When halfway done with the time of the period or class, the teams one by one present their ideas in front of the entire class and cross-question them. These games shall be manufactured and distributed to all schools, once CBSE, ISCE and other boards agree to make this a mandatory part of the curriculum. This game gives children a break from the usual method of teaching and compels them to put on their thinking caps.</t>
  </si>
  <si>
    <t>The game allows children to discover and learn more about themselves while they play the game. When the students are sorted into teams, they get a chance to discuss the most suitable solutions, learn more about teamwork, leadership and acceptance of others’ ideas, all which play a crucial role in life. They look at all ideas critically, their problem solving skills kick in and they start looking for ingenious and creative answers. When the entire class sits together to discuss and debate upon the various solutions brought up, they tend to understand everyone’s point of view and are able to comprehend where they lack. Discussion not only improves their public speaking skill but also makes them realize that sometimes, the middle path is the best suited rather than sticking to the partisan system. As a result, this game enhances their personalities and ensures that they bring a bright future with them.</t>
  </si>
  <si>
    <t>As a little kid, I have constantly been exposed to all sorts of activities that help in honing the above skills and abilities, courtesy to my parents. I’ve played nearly every sport, taken part in every group project and competition, all of which have taught me leadership, teamwork, sportsmanship, critical thinking, creativity and ingenuity. These skills have taught me how to perceive situations and react to them, no matter how minor or major they may be. I am well aware of what a particular problem has in store for a child and can they learn from them, hence, I believe that my exposure can be used efficiently in helping other children improving their own personalities by tapping our potential together. With discussion various kinds of real life problems, ranging from sustainable development to urbanization to impacts of future development, we can work and ensure that the youth is ready to solve them and make the world a better place.</t>
  </si>
  <si>
    <t>https://enpower-school.com/wp-content/uploads/elementor/forms/5fedb88eaf5a5.pptx</t>
  </si>
  <si>
    <t>December 31, 2020, 5:09 PM</t>
  </si>
  <si>
    <t>IFT337</t>
  </si>
  <si>
    <t>bhavaygarg2003@gmail.com</t>
  </si>
  <si>
    <t>There is an urgent need for a low-cost and efficient solution to Blend Education with modern technology and digitalise learning.</t>
  </si>
  <si>
    <t>The education sector is thriving in the 21st century. But even in the modern world, technology is blended well with the Education systems of the world. The reasons are the lack of appropriate solutions, sophisticated requirements and the high cost of deployment of new-age technologies. There is an urgent need for a low-cost and efficient solution to Blend Education with modern technology and digitalise learning. A unified solution for educational institutions to digitalise their functions and address their problems posed by the pandemic is the need of the hour.</t>
  </si>
  <si>
    <t>The target user group includes schools, colleges, universities and other educational institutions that aim to make their functioning and teaching methods digital and utilise modern technology. The User group also includes students, severely impacted due to lack of access to online learning during the pandemic.</t>
  </si>
  <si>
    <t>The problem is of utmost criticality. The pandemic has forced the education sector to go digital. Educational institutions replaced in-person classrooms with virtual meetings. There is a lack of equitable access to virtual classes which require smart devices and high-speed internet connections. In the present times, these are beyond the pocket of most of the people. Also, the pandemic has made us realise the benefits of modern technology in the education sector. Adoption of digital solutions in educational institutions will make them more efficient and help to reduce paperwork.</t>
  </si>
  <si>
    <t>Our solution consists of a unified platform for all the operations of an educational institution from Attendance, Homework and projects to Online Classes and fee payment. Our solution also includes a low-cost device that can be purchased by the students. The device will give them access to the platform and online classes at low cost. They can use the platform to conduct online exams, activities, quizzes and even online competitions. Our solution can be a boon in the pandemic scenario where everything is going virtual. The platform and the device will be useful even after the pandemic because it will help in the effective use of the limited school hours.</t>
  </si>
  <si>
    <t>Our solution provides the user with a unified platform for all the operations of an educational institution from Attendance, Homework and projects to Online Classes and fee payment. It reduces their manual work by automating various tasks, like sending emails and messages and reducing paperwork. The School in Hand device gives them access to each part of the platform, including virtual classes. The device is very cheap and easy to use. The platform has an advanced backend which performs various time-consuming tasks like compiling attendance and managing grades.</t>
  </si>
  <si>
    <t>We provide a comprehensive solution to a wide range of problems in our platform at a low cost. It aims to provide users with customised solutions that can best suit their needs. It provides them with services to make them more productive by automating repetitive tasks. It has an easy to use user interface and encourages users to participate in more interactively. It will help to create a better learning environment and create a modern education system. Thus, Our Innovation will redefine education.</t>
  </si>
  <si>
    <t>December 31, 2020, 4:00 PM</t>
  </si>
  <si>
    <t>IFT238</t>
  </si>
  <si>
    <t>This is close to 80% of world’s enrolled students. The World Bank’s “learning poverty” indicator – the % of children who cannot read and understand at age 10 – stood at 53% of children in low- and middle-income countries – before the outbreak started. This pandemic has the potential to worsen these outcomes even more if we do not act fast.
This is a real cause of concern and need some out of box thinking to find a solution to existing challenge and safeguard our self from any similar situation in Future.</t>
  </si>
  <si>
    <t>The problem in fact will adversely impact entire society as future of children - the architects of future growth is at stake. It also effects the economic status of the country and this is the time where we take action or else this leads to a great problem. We have to ensure that the pandemic does not affect the learning of children.</t>
  </si>
  <si>
    <t>*Today we have advantage of social networks, whats app or SMS, ministry of education can communicate with parents and teachers and provide guidelines to the learning process. Remote learning is not only about online learning but about mixed media learning, with the objective of reaching as many students as possible today.  
*Teachers can record offline sessions and the children can listen to those sessions on their radios. We can use our traditional communication channels like Radio, Television to reach masses for knowledge sharing and quality education.
* Building simplified Learning Platforms to educate unprivileged children with minimal requirement of resources. We can create QR codes and print them in the textbooks so that scanning those QR codes will lead the children to the videos of that particular concept.
*  Each one teach one approach to continue the learning process.
* People can donate their old devices to the underprivileged children.</t>
  </si>
  <si>
    <t>* Continuous Learning: Children will be able to learn continuously during the pandemic.
* Global Exposure: Children will get global exposure while learning online.
* Minimal usage of expensive Infrastructure : Using the traditional modes of communication like radio and television are less expensive as compare to laptop, smart phones and internet connection.
 *Exposure to new ways of Learning and Technology: Children will get to learn the new ways of learning and technology.
* Better utilization of Time: Learning everyday by new ways will make the learning interesting and they will utilize their time in something creative .</t>
  </si>
  <si>
    <t>I think I am the best equipped to offer this solution because I have found the solution so that the quality education are available to maximum number of students. The richer countries are well equipped to move to online platforms but there are so many countries those do not have enough of infrastructure. so I have got the idea that is inexpensive and we are able to provide quality education to masses.</t>
  </si>
  <si>
    <t>https://enpower-school.com/wp-content/uploads/elementor/forms/5fec511f88d44.pptx</t>
  </si>
  <si>
    <t>December 30, 2020, 3:36 PM</t>
  </si>
  <si>
    <t>IFT335</t>
  </si>
  <si>
    <t>vidushi_challa@oakridge.in</t>
  </si>
  <si>
    <t>It is challenging and time-consuming to process complex information that would be easier to understand if it was clear and simplified.</t>
  </si>
  <si>
    <t>Many individuals find it difficult to understand complex and long information that may not be accurate. This makes their studying or learning more tedious and time-consuming as sometimes, the materials issued by schools can be challenging to read. With simple notes on the same, students can get a better understanding of their chosen topic.</t>
  </si>
  <si>
    <t>Our application idea is designed for every individual who wants to study something for school, or simply learn something new. It would help individuals find accurate notes that are suitable for the user's requirements. Clear and shortened notes that only include important points and no non-essential content would help the individual understand his/her chosen topic better.</t>
  </si>
  <si>
    <t>We believe that this problem is critical because students usually face stress while preparing for examinations or trying to understand difficult topics. When learning new things, it is vital to understand them so it can be applied in or outside the classroom. ScribbleSwap can hopefully reduce the difficulty faced by individuals when studying so that they can succeed in their endeavors.</t>
  </si>
  <si>
    <t>ScribbleSwap is an application idea that is designed to help people study complex topics and share their notes with others who need help with learning something. It would have professionals rate the content in the notes according to their accuracy so that other individuals can be sure about how accurate the notes are before using them to prepare for examinations and such... The application would also allow individuals to make their own notes on the website to save for themselves or let others use them. ScribbleSwap would help people learn new things without getting perplexed.</t>
  </si>
  <si>
    <t>ScribbleSwap would help users learn and study without having to comprehend large and vast amounts of information, that contains unnecessary flourishes. Sometimes, notes can be inaccurate and this is why there would be professionals rating the notes based on accuracy and satisfaction. This takes away the user’s struggle of processing large amounts of information and finding content that is accurate and makes learning simple and straightforward. Users can also publish notes that they made themselves.</t>
  </si>
  <si>
    <t>We deem ourselves as best equipped to offer a solution as we both are students and have both personally experienced times where we wish for simple and clear notes over complex ones. From our own experiences, we learned that studying for examinations is easier and almost effortless with simple notes that do not include lengthy phrases and big words. Doing assignments, taking tests or simply learning out of interest is extremely challenging with material that is incorporated with unnecessary content.ScribbleSwap would help multiple other students learn and understand confusing concepts with ease.</t>
  </si>
  <si>
    <t>December 31, 2020, 3:48 PM</t>
  </si>
  <si>
    <t>IFT357</t>
  </si>
  <si>
    <t>ahrenduttyt@gmail.com</t>
  </si>
  <si>
    <t>Uneducation and Unemployment have been problems that have troubled humanity for centuries. Uneducation leads to unemployment, unemployment leads to poverty and ultimately poverty hurts the economy. Knowing so, all these large problems can just be solved by people being educated. A college Education is not readily available as recieving a college education, on average, costs $38,000 per year. This said, the problem society is facing is that higher education is not readily available to all, which leads to the larger problems in the world</t>
  </si>
  <si>
    <t>Higher Education is not readily available to the entire population. Thus resulting in uneducation which leads to larger problems such as mass unemployment, poverty and an economic recession.</t>
  </si>
  <si>
    <t>There are three main users CreaTech aims to help
1. The unemployed: we help them recieve foundational education for free and give them employment opportunities.
2. Employers: Employers can find and employ employees with a foundational education.
3. Educators:for every job a person gets from an educator's course, the educator receives a commission</t>
  </si>
  <si>
    <t>Education for all is the key to economic growth. Education results to employment, employment results to lesser poverty, lesser poverty results to economic growth. Whilst uneducation results in unemployment, unemployment results to poverty and poverty results to economic recession.</t>
  </si>
  <si>
    <t>CreaTech provides a free foundational education to any and everyone, which helps them get jobs and ultimately helps them gain job experience. CreaTech links employers to potential employees. CreaTech helps educators find a portal to teach prospective students and helps them get paid.</t>
  </si>
  <si>
    <t>CreaTech is free for everyone. Prospective students do not have to pay to take any CreaTech course. Educators do not have to pay to put up a course on CreaTech. Employers will have to play CreaTech a small amount and in exchange, CreaTech will do all the work for the employer to search for an employee.</t>
  </si>
  <si>
    <t>CreaTech offers free education for prospective students, making it a risk free platform. Educators do not have to pay to make a course on CreaTech and get commissioned. Employers will not have to pay much and most of their work, finding prospective employees, is done for them.</t>
  </si>
  <si>
    <t>December 31, 2020, 6:20 PM</t>
  </si>
  <si>
    <t>IFT339</t>
  </si>
  <si>
    <t>vishwam.tiwari10516knp@gmail.com</t>
  </si>
  <si>
    <t>Assessments and learning techniques during online classes.</t>
  </si>
  <si>
    <t>Nowadays, some of the major problems faced by both students and teachers:
•	Students are unable to understand lessons properly.(due to various reasons such as: classes are not interactive, network issue etc.)
•	Teachers are unable to understand their students well.
•	Teachers have to prepare a lot of content before a class to make it interactive.
•	More than 90% of the students give assessments with the help of google, asking their friends, tuition teachers, etc.</t>
  </si>
  <si>
    <t>•	The users can be anyone, rural or urban, just need to have a smartphone and nowadays, almost everyone has a smartphone. 
•	Their age can be 11 years and class 5 onwards.	
•	The idea works with both boys and girls.
•	Their income group: 3,00,000 and above per annum.</t>
  </si>
  <si>
    <t>The problem is extremely critical as it is all about future of students and ultimately the future of the nation. As the students have no personal connect with the teachers, they find the subject boring. If students will not be able to understand the concepts today, they will have trouble understanding things connected to them in future. Students will not have their friends to help them all the time.</t>
  </si>
  <si>
    <t>The solution to make the education more holistic can be the usage of interesting visuals and quizzes to engage students in a fun way of learning. Teachers, in the beginning of the class, instead of teaching themselves can show students a video of the topic they want to teach as its available on the internet, or they can send its link to the students. The best of lecture in the world are available on the internet. Moving ahead, teachers can solve students doubts and do some interactive activities in the live class.  8-10 students can go to school every day at a time to school(although this number totally depends on the situation of the COVID-19 pandemic. With general assessments, 20-30 marks should be given for random assessments. These questions can be asked after a class from 2-3 students(oral) of the topic taught in that class.  10 students can go to school every day at a time to school.</t>
  </si>
  <si>
    <t>If teachers will show videos instead of teaching the whole topics, they will have to work less, solving pain points of teachers. It will also make things more interesting for the  Students having network issue can easily watch the videos(through the link). If teachers will ask oral questions after the class, students will become more attentive(to get marks). When few students will go to school, there will be few chances of spread of COVID-19 and they will get to know their teachers better.</t>
  </si>
  <si>
    <t>I am currently in 9th standard and I have been attending online classes since the past year. I have faced a lot of challenges during this time trying to adapt to the new mode of learning.
Both my parents are teachers and hence the environment in my home has always been favourable to discuss new ideas to enhance learning. Combining mine and my parents experience, I came up with this idea. Since my idea covers all the required aspects, I feel I am the best equipped to offer solutions.</t>
  </si>
  <si>
    <t>https://enpower-school.com/wp-content/uploads/elementor/forms/5feda90615077.mp4</t>
  </si>
  <si>
    <t>December 31, 2020, 4:03 PM</t>
  </si>
  <si>
    <t>IFT344</t>
  </si>
  <si>
    <t>namrata.rupela@gmail.com</t>
  </si>
  <si>
    <r>
      <rPr>
        <rFont val="Calibri"/>
        <color theme="1"/>
        <sz val="11.0"/>
      </rPr>
      <t xml:space="preserve">9868027835, </t>
    </r>
    <r>
      <rPr>
        <rFont val="Calibri"/>
        <color rgb="FF0000FF"/>
        <sz val="11.0"/>
      </rPr>
      <t>9582930824</t>
    </r>
  </si>
  <si>
    <t>The problem revolves around  the visually impaired section of the society.</t>
  </si>
  <si>
    <t>There are around 1 billion visually impaired in the world and 62 million visually impaired people in india. In the lockdown the there was a drastic change in the education system that was a shift in from physical classrooms to online platforms. This whole had an adverse impact on the education and learning of the visually impaired as it was not possible to teach them through online platform. Moreover it was a major challenge to provide the necessary resources like Braille at the required place. Moreover the situation was worse for the people in the covid-19 affected families as their was a loss of touch. Hence there was no one that the visually impaired could be dependent upon.</t>
  </si>
  <si>
    <t>The user group is the visually impaired section especially visually impaired students.</t>
  </si>
  <si>
    <t>I think this problem needs to be urgently tackled as no one has the idea how longer the pandemic is going to last so we need to find an urgent solution to assist the visually impaired section especially students</t>
  </si>
  <si>
    <t>My solution is to make a set of device which comprise of the image recognition technology and AI speaker. First device (that will be named as- Charisma) comprise of a image recognition system, AI speaker and bluetooth. It will be attached to a string so that it can be wore easily as a string. The image recognition device would see the images via a camera attached in it and the AI speaker would simple read out pronounce the image recognised. Hence, the students could learn all the things in the surroundings on their own without any help from anyone. This technology can also be widely used by people for other purposes like- identifying pills or prevention from accidents by informing like a car is approaching from opposite side 200 m away.</t>
  </si>
  <si>
    <t>My solution provides a distinct benefit as the visually impaired students would not be deprived of the education and could learn on their. For eg- they can ask the AI speaker to read out the text and explain it. Moreover it inform people of any obstacle on their way preventing them from any kind of accident. It has many other benefits for old people who are losing their eyesight for eg- helps in identifying the pills, reading out anything</t>
  </si>
  <si>
    <t>I think it is best equipped as it would be avaible at a price starting form 5500.</t>
  </si>
  <si>
    <t>December 31, 2020, 4:57 PM</t>
  </si>
  <si>
    <t>IFT234</t>
  </si>
  <si>
    <t>shudradeep.codingventures09@gmail.com</t>
  </si>
  <si>
    <t>Poverty is the biggest obstacle to education.  Some children are too poor to afford their education expenditure. This causes a Mass Illiteracy and also prove to be a liability for the country. Children who are not privileged to get educated, and rather sent to work areas to earn money. This promotes Child Labour which is a social Evil. So, our main motive is to make Education a bit cheaper/ free of cost for those who are poor. And children from rich families should be introduced to ideas like "Joy of Giving" and "Sharing is Caring".</t>
  </si>
  <si>
    <t>Poverty mostly affects the children who do not gain adequate education in the early stage due to monetary problems. Poverty and Education are linked terms. Without money, Education is not possible. Literacy is the key to the development of our country. Education also has a significant role in the fight for children's rights, both in teaching children what they can and should expect from adults and in showing adults the benefits of respecting the children's rights. Education is a powerful tool that can eradicate poverty and make the earth a beautiful place.</t>
  </si>
  <si>
    <t>The user group whose problem we are here to discuss are the underprivileged children who are not fortunate enough to have a proper living, good food, wearable clothes and a good place to live. So it is our foremost duty to help eliminate this global issue by making education exceptionally cheaper for them.</t>
  </si>
  <si>
    <t>Poverty entails peoples' miseries. This can only be resolved when there is an urgency for them to get educated. This can help elevate their living standards. The quality of population depends upon the literacy rate. Literate and healthy population are an asset.</t>
  </si>
  <si>
    <t>Education is only possible for the poor when it is made affordable. Like, we have seen many great souls who have taken the initiative of the children's education by opening street side schools. Well to do parents should teach their children the concept of "Sharing is Caring." Vocational streams must be developed to equip large number of school students with occupations related to knowledge and skills.</t>
  </si>
  <si>
    <t>Education of an individual in the initial years of his/her life can bore him/her the fruits in the later years in terms of good jobs and salaries. Education is an important input for the growth of an individual and the entire society. It can open a new horizon for him/her, provided new aspirations and developed values of life. It enhances the national income, cultural richness and increases the efficiency of governance. It gives them a dignified living.</t>
  </si>
  <si>
    <t>We are the future generation of this country. If we remain deprived of education, the country's technological development will come to a seize. Education helps us build opinions and have points of view on things in life. A child with investments on education has the perfect knowledge of the difference between good and bad. Education promotes democratic values of equality, justice, freedom, respect for human dignity and rights based on sensitivity to others' well being and feelings. Moreover, it helps get rid of poverty.</t>
  </si>
  <si>
    <t>https://enpower-school.com/wp-content/uploads/elementor/forms/5fec49e652da1.pdf</t>
  </si>
  <si>
    <t>December 30, 2020, 3:05 PM</t>
  </si>
  <si>
    <t>Unable to open the file</t>
  </si>
  <si>
    <t>IFT358</t>
  </si>
  <si>
    <t>drsid04@gmail.com</t>
  </si>
  <si>
    <t>Approximately 76% of air pollution across the world is caused by burning of fossil fuels from automobiles. This not only includes greenhouse gas emissions but also the release of toxic contaminants such as the SPM, Carbon Monoxide, Unburnt Hydrocarbons and other harmful particulate matter. The true costs of coal, natural gas and other fossil fuels are not always obvious but their effects and impacts could be disastrous.</t>
  </si>
  <si>
    <t>Fossil fuels like petroleum, coal as well as natural gas are currently the world's elementary energy source. Formed from organic material over the course of millions of years, fossil fuels have fueled global economic development over the past century. Yet they are non-renewable finite resources and they can also irreparably and inevitably harm the environment and the natural ecosystem. . Unravelling this tangled web is as complex as it is urgent if we are to avoid the frightening consequences of runaway climate chaos. We must decarbonize our global economy by mid-century to avoid the worst possible outcomes.
It is a key priority to establish the framework for a robust economic future for the workers and communities who sacrificed to produce the fossil fuels that built our modern economy.</t>
  </si>
  <si>
    <t>This project serves the entire society by reducing the air pollution caused by automobiles. People who are driven to reduce pollution in the environment but cannot afford electric/hybrid vehicles are a perfect fit. I would also like to mention that It is my aim to ensure that Governments of developing and 3rd world countries like India should make it mandatory to equip vehicles with these kits to ensure an effective way of combating pollution.</t>
  </si>
  <si>
    <t>In 2007 the UN’s Intergovernmental Panel on Climate Change (IPCC) presented their fourth assessment report, which speaks about a very high confidence (&gt;90%) that the globally averaged net effect of human activities since pre-industrial times has been one of global warming. According to the report this global warming effect has been caused by a human induced, dramatic increase of atmospheric concentrations of greenhouse gasses. For a large part, this increase has been the result of the exploitation and combustion of fossil fuels. Other predicted side-effects of the increasing atmospheric greenhouse gas concentrations and global warming include the increasing frequency of extreme weather events (e.g., storms, floods), changes in amount and pattern of precipitation, acidification of the oceans, dramatic changes of ecosystems, expansion of tropical diseases, and change of global agricultural patterns. Although the severity of many of these side-effects is uncertain, the threat alone already urges for an increase of political attention. According to the U.S. Energy Information Administration, the burning of fossil fuels was responsible for 76 percent of U.S greenhouse gases (carbon dioxide, methane and nitrous oxide) emissions in 2016. These gases contribute to the greenhouse affect or global warming and could lead to potentially catastrophic changes in the Earth’s climate.</t>
  </si>
  <si>
    <t>Our proposed project tackles this grave issue by using hydrogen as an energy carrier .Hydrogen has the highest of calorific value of all known fuels and most importantly does not give rise to any green- house gas. Hydrogen is an environmentally friendly alternative to fossil fuels, and it can be used to power just about any machine needing energy. It is fuel efficient and a renewable source of energy .
Ignite.Ly provides solutions to the problems faced by existing hydrogen fuel cells and the implementation and use of hydrogen as a fuel in relatively developing and globalizing economies such as that of India or of developing countries of Africa and South America as well.
Our kit overcomes the problem of reducing the expense of use of hydrogen as a fuel.  Although, hydrogen cells are now being used to power hybrid cars, it’s still not a feasible source of fuel for everyone. However we have developed our kit in such a way that it makes the whole process a lot simpler Since its very difficult to replace the existing infrastructure  we have designed our kit in such a way that it can be used as an additive to the existing engines of motor vehicles. As hydrogen is extremely inflammable and very difficult to store, our kit employs the electrolytic decomposition of water for production of hydrogen . This ensures that the required safety measures are fulfilled by our proposed project.</t>
  </si>
  <si>
    <t>Our proposed product is one of the non-paralleled kits that can do the very least to secure a clean ,healthy and sustainable future for us ,our future generations and our very own beloved planet, Earth.
Our kit not only reduces air pollution caused by automobiles but also reduces the cost of fuel used. As estimated by us, a person riding a motorcycle can save up to Rs.3760/- for every 2000kms driven.
Our kit can be easily installed in the existing engines and requires little maintenance. The installation cost is negligible and it is a cost-proficient alternative to electric/hybrid cars serving and fulfilling the same purpose.</t>
  </si>
  <si>
    <t>I strongly believe that I am best equipped to offer this solution for I am deeply passionate for research and innovation. I have successfully partnered with an engineering firm to develop a working prototype of my proposed model. My project is driven by my motivation to do my part in ensuring a clean, healthy and safe environment for our society. The proposed framework can be easily implemented and reduce the toxic emissions from automobiles greatly. Please note that I have uploaded a ppt and have included the photos and all other relevant data in it for only 1 file could be uploaded.</t>
  </si>
  <si>
    <t>https://enpower-school.com/wp-content/uploads/elementor/forms/5fedcae05b505.pptx</t>
  </si>
  <si>
    <t>December 31, 2020, 6:28 PM</t>
  </si>
  <si>
    <t xml:space="preserve">Idea is good but doesnt fit with the theme of education. Its about a kit to be fitted in cars to reduce the toxic emission. </t>
  </si>
  <si>
    <t>IFT244</t>
  </si>
  <si>
    <t>anmolmishra3000@gmail.com</t>
  </si>
  <si>
    <t>Dharamshala</t>
  </si>
  <si>
    <t>Current traditional methods are leaving students less engaged and less inclined to take ownership of their learning. Also in this post Covid World there is a great challenge of reopening the schools.</t>
  </si>
  <si>
    <t>Current educational methods are  leaving students less engaged  to take ownership of their learning. Also there is a poor teacher-student ratio in schools. Huge no. of students in class are tackled by a single teacher, which leads to less focus on each child. In addition, students are not encouraged to ask questions or their doubts because of the less time and pressure to cover syllabus at given time. Also in this post covid world, there is a great challenge in reopening the schools. Proper sanitization at regular intervals is required and also maintaining social distancing in class is a issue.</t>
  </si>
  <si>
    <t>We are currently focusing on 'students' as our initial user group.</t>
  </si>
  <si>
    <t>The problem is critical as the schools currently in India are facing a lot of issues in reopening. There is lack of the main idea how the students would be sanitized at a regular pace and how they could maintain social distancing in the class itself. There is a urgent need of the solution as the students are lagging behind their curriculums and this could affect their studies and engagements in learning.</t>
  </si>
  <si>
    <t>We have coined our idea as SWIFT(Smart Web Based Infrastructure and  Flipped Classrooms).It is an effective idea in elevating the current teaching methods. Idea is of developing an App that will monitor every action of student including his attendance,his doubts in class, no.of times he was sanitized, no. of lectures he has attended etc. and will subsequently report the things to the parents and school authorities. Basically, the theoretical pre-recorded lectures would be delivered through the app to the students at home and it would be recorded by the app how many lectures were attended. And in school the students can actually indulge themselves in asking their doubts and doing the practical applications of what they have learnt in their theories.Also their would be RFID tags in the ID cards of the students and RFID readers at the school entrance and class entrance and these would be linked to the app. So that the attendance is recorded without any physical interventions. Also there would be a sanitizing system at the doors that will get activated every time the person enters or exits the door. Additionally we have thought of replacing the traditional desks with our triangular shaped 8×8×8 tables that will help in increasing the classroom spaces and maintain social distancing.</t>
  </si>
  <si>
    <t>Our solution will benefit the schools in analysing the students engagement in learning and will also help them to analysing how much time the student is devoting to studies. Also the proposed framework by us will help the school in reopening in the post covid world in an effective way and completing the curriculum at a better pace.</t>
  </si>
  <si>
    <t>We basically think that we are best equipped to offer the solution as we are young innovators and will surely think of the future and new intervention that we want in our schools to happen as we are passing through the same area of work for which we are innovating. Also we we have Atal tinkering labs established by Niti Aayog in our school that helps us to tinker around various fields and provide us with all the facilities required.</t>
  </si>
  <si>
    <t>December 30, 2020, 5:17 PM</t>
  </si>
  <si>
    <t>IFT355</t>
  </si>
  <si>
    <t>sprakarshi@gmail.com</t>
  </si>
  <si>
    <t>As we are adjusting to the new normal. Digital technology has taken over a lots of things like  our online classes. But somehow  many students don't find it so efficient. Like there is less syllabus and less homework. The exams are being taken with mostly objective questions and etc.</t>
  </si>
  <si>
    <t>The study pattern is not eiffcient as compared to the olden times. The kids are having excessive screen time but very less studies. Moreover there are very less assignments and the exam syllabus is reduced to almost half. On the other side due to these critical conditions people are rarely able to go out of houses and so thus students have become lethargic. And in these times the need of the co curricular activities are shown but there are very less periods and assignments regarding the same.</t>
  </si>
  <si>
    <t>The user whose problem i am trying to solve is of the students of class 5th to 8th. As these years of classes are the base of the high school studies. They should be given more spotlight. As from class 5th onwards the study pattern changes a lot which affects the students.  And from class 9th onwards students are being called to the school.</t>
  </si>
  <si>
    <t>As i said class 5th to 8th  is the base of studies so the base of high school studies, the studies and co curricular activities should be handled with caution. The studies should be efficient. So i believe that the problem is critical and should be dealt expeditiously.</t>
  </si>
  <si>
    <t>First of all there should be a highlight on the co curricular activities and the homework and classwork. The number of classes should be increased. The number of assignments and homework should be increased. The syllabus should be increased. There should be mandatory doubt sessions and extra classes for the students atleast once a week.</t>
  </si>
  <si>
    <t>The solution will help the student become efficient in their studies. The usage of their screen time will reduce. The will become agile. It will help them overcome their exam fears. It will make their base learning strong</t>
  </si>
  <si>
    <t>As being a students struggling from the same problems i believe i am the best equipped person to offer this solution.</t>
  </si>
  <si>
    <t>December 31, 2020, 6:00 PM</t>
  </si>
  <si>
    <t>IFT276</t>
  </si>
  <si>
    <t>sumedhdgunjal@gmail.com</t>
  </si>
  <si>
    <t>The proble think we should study not just by looking in screens and writing notes , even by doing the the thing practically , which can help in understanding the thing easily. Especially in  t his pandemic situation.</t>
  </si>
  <si>
    <t>Sometimes if the thing is not done practically it is difficult do understand the concept of the thing learning about.</t>
  </si>
  <si>
    <t>I am attempting to solve the problem of the other students and I have also faced it sometimes while attending the online classes in this pandemic.</t>
  </si>
  <si>
    <t>It's not that critical that it should be done immediately/urgently. But it should have a solution, or else it make problem in the higher standards.</t>
  </si>
  <si>
    <t>I think teachers should give the students the activities, different questions to make their mind sharp, tell students to do research work on the thing, explaining shortly but effectively, giving examples which may be funny, useful and also easy to understand.</t>
  </si>
  <si>
    <t>Yes this idea gives other distinctive benefits, like: brings out the creative mind of the student, making a problem solving mind, and understand thing quickly and easily.</t>
  </si>
  <si>
    <t>Yes, I have faced such problem for which, I 'm giving the solution. So it would hep others</t>
  </si>
  <si>
    <t>December 30, 2020, 8:39 PM</t>
  </si>
  <si>
    <t>IFT230</t>
  </si>
  <si>
    <t>tejalkundu2008@gmail.com</t>
  </si>
  <si>
    <t>One of the major points is that, in what way the knowledge is being delivered and how a student is grasping it.</t>
  </si>
  <si>
    <t>Most of the time the way students learn is by cramming, what they do is rote learning. And the way learning is being given is information based rather than knowledge-based learning.  Most times, learning is just a business.</t>
  </si>
  <si>
    <t>The 'user' group whose problem we are trying to solve are the children who cram, write down the test, and then forget it. These students just learn for marks and not for knowledge. So, the problem is within the teaching or the learning process.</t>
  </si>
  <si>
    <t>Yes, we believe that this problem is critical and needs an urgent solution as this learning won't help them as well as the country in the future ahead.</t>
  </si>
  <si>
    <t>The solution is that the learning process should be full of fun, innovation, and creativity. There should be flexible learning like interactive sessions should be organized which include practical knowledge which creates curiosity in a student. Mostly, students lose their zeal in the study and start cramming, therefore, this should be avoided. The students should be taught the true purpose of learning, as learning is not only for being rich and successful but for humanism. Education provided should meet the needs of the student. Learning should be in such a way that allows them to enhance their skills. Even in an online way, this is very much possible by arranging online workshops.</t>
  </si>
  <si>
    <t>In this way, the children won't feel learning and education as a burden on themselves. This process of learning not only helps them to understand the concept more easily but with the help of virtual 3D diagrams, it makes it even more exciting and prying.</t>
  </si>
  <si>
    <t>We observed so many students in our surroundings because as students we can connect with the problem faced by them and can see what are the major root causes of this.</t>
  </si>
  <si>
    <t>December 30, 2020, 1:51 PM</t>
  </si>
  <si>
    <t>IFT270</t>
  </si>
  <si>
    <t>dhawan989@gmail.com</t>
  </si>
  <si>
    <t>IT WILL HELP TEACHERS TO MARK ATTENDANCE</t>
  </si>
  <si>
    <t>Problem: - As in this time of covid 19 there are online classes going on so some students are not attending online classes as they are only answering the class and going somewhere else so to help teachers in marking the attendance of students we will make this project</t>
  </si>
  <si>
    <t>I AM TRYING TO HELP MY TEACHERS</t>
  </si>
  <si>
    <t>IT IS CRITICAL AS IT IS TOO DIFFICULT FOR TEACHERS TO MARK ATTENDANCE</t>
  </si>
  <si>
    <t>Solution: - So we will make a app that we will connect to the apps on which students are attending classes like Microsoft teams, zoom etc. we will add a button in it and the button will say to press it through a reminder and if the student will press it, it means that the student is present and if he or she will not press it ,it means that student is absent. The app will give a reminder after every 5 to 10 minutes. The whole information of student will be sent to teachers that the student has pressed the button or not</t>
  </si>
  <si>
    <t>IT GIVES TOO BENIFIT TOO TEACHERS AND STUDENTS</t>
  </si>
  <si>
    <t>I AM BEST EQUIPPED AS A STUDENT I SHOULD HELP MY TEACHERS</t>
  </si>
  <si>
    <t>https://enpower-school.com/wp-content/uploads/elementor/forms/5fec8ebf6254d.docx</t>
  </si>
  <si>
    <t>December 30, 2020, 7:59 PM</t>
  </si>
  <si>
    <t>IFT347</t>
  </si>
  <si>
    <t>ishita29dlh@gmail.com</t>
  </si>
  <si>
    <t>Large amount of assignments, leading students to get depression.
Mental health of students.</t>
  </si>
  <si>
    <t>In this pandemic, we (students) are getting many assignments and this leaves us with little to no time for self-study and preparation of exams. Students are having difficulty in understanding concepts which are being taught in online class, many of them are shy to question teacher. Earlier, these shy students used to ask teacher questions after class in alone but now that is not possible since we have continuous classes and we don't know how to contact teacher in alone. Therefore, students are not able to complete assignments and have late/missing assignments. This is leading students to get huge amount of stress, some are even getting depression.</t>
  </si>
  <si>
    <t>I am attempting to solve the problems of students.</t>
  </si>
  <si>
    <t>It requires urgent solution because mental health of students is getting affected. Students are facing psychological problems and they are not able to communicate about it. Infact, not only their mental health, their physical health is also getting affected by less amount of sleep and increased amount of screen time.</t>
  </si>
  <si>
    <t>There should be reduction in the amount of assignments students are getting. Teachers should try to support and understand our mental health and also let students know that they understand our situation and students are not alone. I also feel that during this pandemic, schools should focus beyond academics and on other things as well, which are not related to studies but are important. Such as schools should teach us about mental health, importance of ethics, results of cyber bullying and it's effect on one's mental health (considering present scenario where almost every student is on social media).</t>
  </si>
  <si>
    <t>My solution benefits students, as i have taken most things into consideration which can be of some help to avoid/resolve the problems i have mentioned. The solution i have given is based on my understanding of the situation as well as on opinion of other students which i have come across till this day. Ofcourse, they are just an outlook of the idea as explaining them briefly is not possible in the word limit.</t>
  </si>
  <si>
    <t>Being a student myself, I am aware about the problems students are facing. Many times we (students) discuss these problems among ourselves. So, I have an idea on what other students are facing and how they wish it could be resolved.</t>
  </si>
  <si>
    <t>December 31, 2020, 5:14 PM</t>
  </si>
  <si>
    <t>IFT274</t>
  </si>
  <si>
    <t>ryannbinoy@gmail.com</t>
  </si>
  <si>
    <t>Ryann</t>
  </si>
  <si>
    <t>Binoy</t>
  </si>
  <si>
    <t>Teachers are taking a lot of time taking attendance.</t>
  </si>
  <si>
    <t>Teachers are taking up a lot of time for attendance and they sometimes cannot understand who said their attendance because of voice mix up and sometimes students get marked absent. And sometimes there and problems because of students coming late and cannot on their mic.</t>
  </si>
  <si>
    <t>I am trying to solve the teachers and students problem.</t>
  </si>
  <si>
    <t>This problem is critical because teachers are wasting a lot of time to take attendance orally. if the solution is made it will be better for teachers to teach instead of wasting time.</t>
  </si>
  <si>
    <t>A separate column for attendance in which there will be three parts for students who are present , a part for absentees and one part for students who came and left.</t>
  </si>
  <si>
    <t>It can reduce the strain of wasting energy for teachers and students.</t>
  </si>
  <si>
    <t>I think that because I came up with that idea and I think it can work.</t>
  </si>
  <si>
    <t>https://enpower-school.com/wp-content/uploads/elementor/forms/5fec91a0f0b1d.docx</t>
  </si>
  <si>
    <t>December 30, 2020, 8:11 PM</t>
  </si>
  <si>
    <t>IFT272</t>
  </si>
  <si>
    <t>khuranakeshav8@gmail.com</t>
  </si>
  <si>
    <t>The problem which I thought was in the post pandemic system was: 
The government release New education policy in which The government states that By 2030; the children which are currently not in schools which is 3.22 crore (mentioned in the policy released by MHRD). I think that the government should reconsider this problem as to enroll around 3.5 crore children requires approximately 20,000-30,000 schools by 10 years. This requires a great deal of money.</t>
  </si>
  <si>
    <t>. The government released new education policy this year in which the government states that they will enroll 3.22 crore children back into schools. This requires more funding. The more money the government needs there will be an increase in taxes.</t>
  </si>
  <si>
    <t>I would like to describe my problem to MHRD.</t>
  </si>
  <si>
    <t>I think that the problem is critical because till now the taxes imposed by government are too high for common people. If there will an increase on tax the common people will not be able to pay for their daily needs.</t>
  </si>
  <si>
    <t>. In my opinion the government can make preparations for online classes for the students who have access to internet connection. While the other students can attend normal schools those who live in countryside.</t>
  </si>
  <si>
    <t>I have not thought about it.</t>
  </si>
  <si>
    <t>I think that I am best equipped to provide solution because I am student and It is my right to point out government flaws.</t>
  </si>
  <si>
    <t>https://enpower-school.com/wp-content/uploads/elementor/forms/5fec900bc67db.docx</t>
  </si>
  <si>
    <t>December 30, 2020, 8:04 PM</t>
  </si>
  <si>
    <t>IFT232</t>
  </si>
  <si>
    <t>kkplayz59@gmail.com</t>
  </si>
  <si>
    <t>Changes required in online classes.</t>
  </si>
  <si>
    <t>There have been some problems which both students and teachers have regarding online classes.</t>
  </si>
  <si>
    <t>Students and teachers which have problems in online classes.</t>
  </si>
  <si>
    <t>This is an urgent issue because many schools are having online classes and many students and teachers are having issues.</t>
  </si>
  <si>
    <t>More extracurrilcular activities.	Personalized learning platforms by using Al
More tests to enhance learning in the student
The school must take the full benefit of the teaching software used
 One period, students stay, teachers do transitions
Camera access for organizer.</t>
  </si>
  <si>
    <t>These options will make online classes more friendly and inclusive.</t>
  </si>
  <si>
    <t>I myself am a student and these are the problems which me and my friends have faced this year. That is why my team is the best equipped to offer this solution.</t>
  </si>
  <si>
    <t>December 30, 2020, 2:30 PM</t>
  </si>
  <si>
    <t>IFT336</t>
  </si>
  <si>
    <t>dagaashlesha@gmail.com</t>
  </si>
  <si>
    <t>9810636840, 9310538844</t>
  </si>
  <si>
    <t>The problems occurring during online classes are mainly the Wi-Fi issues , the work left by absentees and the distraction while doing the classes.</t>
  </si>
  <si>
    <t>There are mainly three problems. The first problem is the distraction while doing the classes. Many students just mute themselves and switch off their camera and play games and watch videos during the classes. The second problem is the work left by absentees and slow writers . the last but not the least Wi-Fi issues. There is so less Wi-Fi connection in some houses so the children miss important point and notes.sometimes they are not able to switch on their camera and even their Mike would not be working. It's a major issue.</t>
  </si>
  <si>
    <t>These ideas are motive to help students to make their studies easier while online classes as education is very necessary.</t>
  </si>
  <si>
    <t>These problems are very urgent as if there would be any destraction in class then the child will not be able to understand a topic and there will be no discipline in the class which is very critical problem. If the children would  not be able to complete their work then they would have difficulty while their preparations of the exam. Problem is huge problem as if students call will be drops during an important lecture then it can be very bad for his exams and also the understanding.</t>
  </si>
  <si>
    <t>The solution is to make an app which will have three special features. Firstly there would be a page of Wi-Fi in which we can control the uses of Wi-Fi as a meeting need a limited Wi-Fi. Secondly this page will also be used against the students who plays and watch games or videos during the classes. As that much Wi-Fi will only used in which the class will go on perfectly but if someone will watch videos or  play Wi-Fi used games his meeting will be left and the teacher will get a message that the child is watching something else. But if a teacher wants Tu to show video so she can go to settings and will allow you to use Wi-Fi and watch video. And 3rd solution is that there will be a column in which madam can share day's work.</t>
  </si>
  <si>
    <t>The first solution will help children To not get distracted and not leave the classes so they will not leave any important lecture or point. The third solution will help the children whose work is not completed and it is important as some parents are also working so their phone and WhatsApp is not always available to so the students will get the work on the app only.</t>
  </si>
  <si>
    <t>I think that by idea is the best equipped to offer the solution as as we are giving the solutions of the most happening problems and they are and the can success.</t>
  </si>
  <si>
    <t>December 31, 2020, 3:59 PM</t>
  </si>
  <si>
    <t>IFT213</t>
  </si>
  <si>
    <t>kakolimajumder819@gmail.com</t>
  </si>
  <si>
    <t>Sharmishtha</t>
  </si>
  <si>
    <t>Majumder</t>
  </si>
  <si>
    <t>The cause of fear among the students building only because of less mock test is conducted by  school.</t>
  </si>
  <si>
    <t>Due to less test students feel hesitate to stand for main test.</t>
  </si>
  <si>
    <t>Students and education system</t>
  </si>
  <si>
    <t>Due to exam fear students affect their health under pressure</t>
  </si>
  <si>
    <t>Frequent test from the session of new class that make students pace the main final exam.</t>
  </si>
  <si>
    <t>That can reduce students  pressure.</t>
  </si>
  <si>
    <t>Fun and playful session to encourage  the students not to hesitate.</t>
  </si>
  <si>
    <t>December 30, 2020, 11:35 AM</t>
  </si>
  <si>
    <t>IFT334</t>
  </si>
  <si>
    <t>The problem which I thought was in the post pandemic system was-
The government released a new education policy in with the government states that by 2030; the children whom are currently not in schools , which are 3.22 crore ( mentioned in the policy released by MHRD) in which I feel that the government should reconsider this problem as to enroll around 3.5 crore children which requires approx 20000-30000 schools by 10 years and this requires a GREAT DEAL OF MONEY.</t>
  </si>
  <si>
    <t>The government released a new education policy this year in which the government states that they will enroll 3.22 crore children back to schools, this requires more funding and the more money which the government needs will be AN INCREASE IN THE TAXES.</t>
  </si>
  <si>
    <t>I want to address this problem to the MHRD about the user group of people under the poverty line or the children who cant attend schools and  cant seek education due to lack of money.</t>
  </si>
  <si>
    <t>this problem is critical because till now the taxes imposed by the government are already too high for the common people but if there will be an increase in the tax the common people would not be able to pay for their daily needs.</t>
  </si>
  <si>
    <t>In my opinion, the government can make preparations for online classes for the students who have access to internet connections. while the other students can be provided offline teaching by the government officials for maybe a programme in which students with higher education can volunteer and teach those in need.</t>
  </si>
  <si>
    <t>this solution can provide basic education to people those in need, instead of spending a great deal of money, this solution can be equipped and would save money for the government and common people will have less burden for the increase in taxes.</t>
  </si>
  <si>
    <t>I think that I am the best equipped to offer this solution because I am a student myself and have the right to object the governmental flaws.</t>
  </si>
  <si>
    <t>December 31, 2020, 3:00 PM</t>
  </si>
  <si>
    <t>IFT214</t>
  </si>
  <si>
    <t>king.ironabhiman@gmail.com</t>
  </si>
  <si>
    <t>We are unbale to move in society due to the current situation. Students are unable to join  their school and clear their own doubt. 
Everyone is having Fear of covid 19.</t>
  </si>
  <si>
    <t>People are unable to have their comfort. 
Students are not getting proper education 
Shopping complex are closed.</t>
  </si>
  <si>
    <t>I wanna solve the problem faced by all the humans of our world.</t>
  </si>
  <si>
    <t>Yes, we need to beat corona and we need to again work like we used to do.</t>
  </si>
  <si>
    <t>I will create a device / application  which will indicate the man/women when someone come near to him or her at the distance of 1m if he come more close the indicator will vibrate and produce high sound alarm.</t>
  </si>
  <si>
    <t>People will know that they are maintaining proper distance and 
If that man /women is covid positive we can track where did he went and we can easily catch the chain. But there is also a demerit another person should also have that app/device then only indicator will work. 
We can connect to near by police station that if more than 50 person are not following proper distance than police will enable to assess their Mike and camera.</t>
  </si>
  <si>
    <t>Yes</t>
  </si>
  <si>
    <t>December 30, 2020, 11:38 AM</t>
  </si>
  <si>
    <t>IFT236</t>
  </si>
  <si>
    <t>danduasrith@gmail.com</t>
  </si>
  <si>
    <t>Eye sight because of online classes</t>
  </si>
  <si>
    <t>Students with a very good eye sight are losing the capability of their eyes</t>
  </si>
  <si>
    <t>This problem is critical as the eye sight is a serious and a permanent problem</t>
  </si>
  <si>
    <t>Provide VR kits to students or conduct classes day-by-day 
We can also conduct online classes but not more than 4 hours a day to high school children</t>
  </si>
  <si>
    <t>By conducting less classes in online students we can prevent myopia in students</t>
  </si>
  <si>
    <t>I think I am the best equipped because I think my solution is better</t>
  </si>
  <si>
    <t>December 30, 2020, 3:23 PM</t>
  </si>
  <si>
    <t>IFT207</t>
  </si>
  <si>
    <t>yashikk2409@gmail.com</t>
  </si>
  <si>
    <t>Plastic is a big threat to our environment. It takes years to get decompose, Plankton, fish, and ultimately the human race, through the food chain, ingest these highly toxic carcinogens and chemicals. To make use of the already existing plastic this project can come in handy.</t>
  </si>
  <si>
    <t>Plastic sticks around in the environment for ages, threatening wildlife and spreading toxins. Plastic also contributes to global warming. Almost all plastics are made from chemicals that come from the production of planet-warming fuels (gas, oil and even coal).</t>
  </si>
  <si>
    <t>This is a general problem. It affects our environment therefore it affects all of us but the ones buying our project will be construction workers.. who are mostly poor and the cost of normal is bricks is pretty high for their budget. these eco-friendly bricks will be cheap and more effective. Therefore these workers can make a good amount of money.</t>
  </si>
  <si>
    <t>Plastic pollution on land poses a threat to the plants and animals – including humans who are based on the land. ... Chlorinated plastic can release harmful chemicals into the surrounding soil, which can then seep into groundwater or other surrounding water sources and also the ecosystem of the world.</t>
  </si>
  <si>
    <t>Our solution is to use this plastic by converting it into something that is useful to both humans and the environment. Our project basically converts plastic into brick and ink, For normal bricks the binding agent used is cement but for our bricks.. it is plastic. We melt the plastic in a closed container and mix it with some sand. Sand is coarse and it makes the mixture kind of thick too. So that it is easily moldable. This viscous liquid is poured into molds and shaped in form of a brick</t>
  </si>
  <si>
    <t>The normal bricks that are used at construction sites cost roughly from Rs.3-Rs.10 but an eco friendly plastic brick costs only Rs.2.5. This reduces the problem of our environment and is a step further to a better future without plastic.</t>
  </si>
  <si>
    <t>We are the youth of this country. we are regarded as the pillars of nations and we should be the one to solve the problems that can be faced by our future generation. We should not let them get deprived of basic necessities. So, we really want to serve our nation through this idea.</t>
  </si>
  <si>
    <t>https://enpower-school.com/wp-content/uploads/elementor/forms/5fec1440ad85a.pdf</t>
  </si>
  <si>
    <t>December 30, 2020, 11:16 AM</t>
  </si>
  <si>
    <t>IFT210</t>
  </si>
  <si>
    <t>kriti21kukreja@gmail.com</t>
  </si>
  <si>
    <t>https://enpower-school.com/wp-content/uploads/elementor/forms/5fec15cd396ad.pdf</t>
  </si>
  <si>
    <t>December 30, 2020, 11:23 AM</t>
  </si>
  <si>
    <t>IFT216</t>
  </si>
  <si>
    <t>kanchan.khurana@gmail.com</t>
  </si>
  <si>
    <t>8th Grade</t>
  </si>
  <si>
    <t>As per W H O India Statistical Profile, 2012 data, nearly 2.005 million people die in India alone annually because of respiratory diseases like -COPD,Tuberculosis, Lower respiratory infections etc. 
All of these precious lives could have been saved by the intervention of an advanced medical support system that undoubtedly includes a ventilator.</t>
  </si>
  <si>
    <t>I write these lines and you read it, someone somewhere else would be breathing his last, just because he couldn't get the support of affordable technology to live on. A ventilator is an expensive, bulky and complex bit of machinery that supports artificial respiration to a patient who cannot breathe by pumping air in the right quantity, at the right time and at the right pressure and as of now, there is no cost-effective ventilator in the market which meets the above mentioned requirements in an effective and desired way.</t>
  </si>
  <si>
    <t>In the case of pandemics like the current covid19 scenario and certain seasons like winters, near Diwali and as pollution increase day by day in Delhi and NCR due to PARALI burning etc. patients in a large number require ventilators and no country in the world is currently able to secure enough ventilators for its people.</t>
  </si>
  <si>
    <t>A ventilator is an expensive, bulky and complex bit of machinery that supports artificial respiration to a patient who cannot breathe by pumping air in the right quantity, at the right time and at the right pressure and as of now, there is no cost-effective ventilator in the market which meets the above mentioned requirements in an effective and desired way. Moreover, conventional ventilators require precise control by professionals or trained doctors and hence can't be operated by a layman.</t>
  </si>
  <si>
    <t>I have designed a ventilator named Vayu Dhara. Currently, in its idea stage, it would be the world's cheapest, smallest and smartest ventilator. It will cost around ₹ 5000 which would be approximately 1% of an average ventilator (i.e.  ₹ 5-65 lakh) price. It would be extremely portable and would easily fit in a pocket. Weighing less than 1kg, it would have a shelf life of around 5-6 years. It would be able to automatically analyze and detect the patient's breathing pattern, the requirement of oxygen and various other parameters using various sensors and then decide the variables for ventilation via a complexly programmed and reliable algorithm</t>
  </si>
  <si>
    <t>Vayu Dhara. will become  the world's cheapest, smallest and smartest ventilator. It will cost around ₹ 5000 which would be approximately 1% of an average ventilator (i.e.  ₹ 5-65 lakh) price. It would be extremely portable and would easily fit in a pocket. Weighing less than 1kg, it would have a shelf life of around 5-6 years. It is portable, you don't need any medical assistance, no oxygen supply and still, it easily fits in the budget of a common man also. It would use open-source microcontrollers to reduce the cost and make it rapidly deployable. It would be easily able to replace conventional ventilators and would be useful not only during pandemics but also in day to day life.</t>
  </si>
  <si>
    <t>it the second ventilator in the world to use this technology. Every part of this machine would be super easy to use. It will feature various sensors like a humidity sensor, temperature sensor, built-in pulse oximeter, etc. It would be able to connect to an android, IOS, Windows, Mac or a web-based app so that the sensor data can be displayed. Moreover if at any point of time, the ventilator develops a malfunction, we would be able to control it remotely. That means that if any problem occurs, no matter where you are, we would be able to control it remotely from our side. It will also not require oxygen supply for 90% cases however in rest 10% cases it might require oxygen supply.</t>
  </si>
  <si>
    <t>https://enpower-school.com/wp-content/uploads/elementor/forms/5fec1a8f0a9d4.mp4</t>
  </si>
  <si>
    <t>December 30, 2020, 11:43 AM</t>
  </si>
  <si>
    <t>IFT343</t>
  </si>
  <si>
    <t>geeta.singh3525@gmail.com</t>
  </si>
  <si>
    <t>Precisely define problem before attempting solving it.</t>
  </si>
  <si>
    <t>Online education is turning out useful as well as burden.</t>
  </si>
  <si>
    <t>Students and teachers</t>
  </si>
  <si>
    <t>Yes i do believe this is critical and needs solution.</t>
  </si>
  <si>
    <t>Implementation is the solution which is of supreme importance in this case.Either change everything or make it more attractive and beneficial.</t>
  </si>
  <si>
    <t>It prevents health issues ans ensures equality among users</t>
  </si>
  <si>
    <t>Cause we are the ones facing it and are thus we understand it better.</t>
  </si>
  <si>
    <r>
      <rPr>
        <rFont val="Calibri"/>
        <sz val="11.0"/>
      </rPr>
      <t xml:space="preserve">https://enpower-school.com/wp-content/uploads/elementor/forms/5fedb53f1bd7e.jpg , https://enpower-school.com/wp-content/uploads/elementor/forms/5fedb53f1d3af.pptx , https://enpower-school.com/wp-content/uploads/elementor/forms/5fedb53f1dc63.jpg , https://enpower-school.com/wp-content/uploads/elementor/forms/5fedb53f357d6.pptx , https://enpower-school.com/wp-content/uploads/elementor/forms/5fedb53f35e02.jpg , https://enpower-school.com/wp-content/uploads/elementor/forms/5fedb53f4d9a8.jpg , https://enpower-school.com/wp-content/uploads/elementor/forms/5fedb53f4ef4f.jpg , https://enpower-school.com/wp-content/uploads/elementor/forms/5fedb53f66798.jpg , </t>
    </r>
    <r>
      <rPr>
        <rFont val="Calibri"/>
        <color rgb="FF1155CC"/>
        <sz val="11.0"/>
        <u/>
      </rPr>
      <t>https://enpower-school.com/wp-content/upload738e.jpg</t>
    </r>
    <r>
      <rPr>
        <rFont val="Calibri"/>
        <sz val="11.0"/>
      </rPr>
      <t xml:space="preserve"> , https://enpower-school.com/wp-content/uploads/elementor/forms/5fedb53faf46a.pptxs/elementor/forms/5fedb53f67ce2.jpg , https://enpower-school.com/wp-content/uploads/elementor/forms/5fedb53f7fab5.jpg , </t>
    </r>
    <r>
      <rPr>
        <rFont val="Calibri"/>
        <color rgb="FF1155CC"/>
        <sz val="11.0"/>
        <u/>
      </rPr>
      <t>https://enpower-school.com/wp-content/uploads/elementor/forms/5fedb53f9</t>
    </r>
  </si>
  <si>
    <t>December 31, 2020, 4:55 PM</t>
  </si>
  <si>
    <t>Not able to open the link</t>
  </si>
  <si>
    <t>IFT287</t>
  </si>
  <si>
    <t>anirudhdagar@icloud.com</t>
  </si>
  <si>
    <t>K.R.Mangalam.World School</t>
  </si>
  <si>
    <t>Rising Pollution, Unemployment And Deuteration Of Performance Of Students Due To Online Schooling</t>
  </si>
  <si>
    <t>The Pollution on our Mother planet Earth is rising day by day causing health disorders, spreading of epidemics etc The Second is that the students are deuterating in performance day day when Teacher is Teaching they are either playing games or doing something else that causes them to cheat in the examinations which they don’t know that they are cheating themselves and not anyone else and the third on is unemployment, there are hundreds of People who have lost there jobs due to Covid. They have come to the roads to earn money they have sold their houses to get some money.</t>
  </si>
  <si>
    <t>The User Group whose Problem I am trying to solve are Students, Their Parents, Teachers, Doctors, Officers, Workers of all types or rather say I am trying to solve everyone’s Problem I am trying to solve EVERYONE’S PROBLEM My solution will Solve EVERYONE’S Problem</t>
  </si>
  <si>
    <t>If Pollution keeps on rising then Global warming will also keep on rising causing to destruction of all mankind there are already break outs of Epidemics and there have been so many disorders due to pollution the wildlife in this world is dying and if children keep on deuterating they will spoil their lives and no one wants children to spoil there lives as they are the people who will handle this world after their parents. If unemployment keeps on rising people will be poor and there will be overload on the working population of the country and country’s Economy has gone 3 times due to which there can be super hard times and this will also lead to rise in taxes and prices of goods that might lead to more unemployment</t>
  </si>
  <si>
    <t>My Solution is Eco Schools. My solution is to open schools but differently that redefines education. Eco schools are made up of material that comes from industry it uses waste that is clean and useable. It puts up barriers and makes up cabins that does not allow to transmit of disease. It covers all aspects in a School. In fact it’s key features are Eco Watch, Sanitiser breaks, no touch doors, U1 and G1 Technologies. These technologies are something that can redefine Education 
PLEASE REFER TO THE DOCUMENT AND OTHER FILES ATTACHED</t>
  </si>
  <si>
    <t>It relieves all the parents who want their students to be studied in schools under guidance of teachers. It reduces pain of those teachers who have difficulty using Online Stuff. It relieves pain of those people who are looking for job. It relieves pain of planet. It relieves pain of unemployed people who lost their jobs due to Covid. It brings happiness to all people’s face as this is a solution for everything. It relieves the pain of those who are located away from their old parents, who are insecure about their health and do not want anything to happen to them 
I am always Together Towards Tomorrow. We should always learn from the past and do something great to solve present in future and this is what I did I say what COVID did and what pollution is doing and made it into a mod</t>
  </si>
  <si>
    <t>I am best equipped with the thing that everyone has its Technology. Everything in my solution uses Advanced sensors and bionic processors that make it best in its class my work is to build technology that inspire people’s life so that they can do best out of them. Technology is just a word but it depends on How we use it. Remember Once Gandhi Ji Said be the change you want to see in the world we always have to look for the welfare of people my technology is what makes my model so special. All sensors work and make it best. The Technology of U1 and G1 really revolutionise everything to ensure Social distancing that is so important it’s not only that everything made in it is eco friendly. And I really Believe that this can change everyone’s life I really want my country to progress my idea is a Planet size Plan to know more please refer the document and other files I have attaches</t>
  </si>
  <si>
    <t>https://enpower-school.com/wp-content/uploads/elementor/forms/5feca2b940901.mp4</t>
  </si>
  <si>
    <t>December 30, 2020, 9:24 PM</t>
  </si>
  <si>
    <t>repeat-disqualified</t>
  </si>
  <si>
    <t>IFT293</t>
  </si>
  <si>
    <t>sambhav.sirohi02@gmail.com</t>
  </si>
  <si>
    <t>Unemployment</t>
  </si>
  <si>
    <t>India’s employment situation is bad. The current unemployment rate is the highest in the last 45 years. The unemployment among urban youth (age 15-29 years) is alarmingly high at 22.5 per cent. The high unemployment rates is but just one of the problems with India’s employment scenario. The labour force participation rate has come down to 46.5 per cent for those who are 15 years and above. A large proportion of the employed workers get low wage and are stuck in ‘employed poverty’ trap. In some areas people are not able to get enough wages to even buy food and basic necessities. This is a major problem as many deaths takes place due to malnutrition which directly or indirectly is related to unemployment.</t>
  </si>
  <si>
    <t>I am trying to solve the problem of person who is suffering from unemployment and is not getting enough wages to live a happy life.</t>
  </si>
  <si>
    <t>This is a critical problem as due to unemployment many are suffering from malnutrition and disease as the person isn’t able to buy enough food or not get basic necessities to live life.</t>
  </si>
  <si>
    <t>My solution is to build an app or website which offers an interactive learning portal and opportunities to people to learn and do work. The work provided will be according to their capabilities and it may vary from IT services to Labour work. The main target of the app is to keep the person employed for more time so that he can earn more. Work can be both part-time job or permanent job.</t>
  </si>
  <si>
    <t>The app will keep the user updated of current available jobs for them so that they can earn money by working also they can learn new skills from the e-learning portal.</t>
  </si>
  <si>
    <t>I understand the problem faced due to unemployment and the problem faced when the only earning person in the family is unemployed or getting low wages so I think I am the best equipped to offer this solution as I know the problems faced and the solution also I know how to make app pr website.</t>
  </si>
  <si>
    <t>December 30, 2020, 10:18 PM</t>
  </si>
  <si>
    <t>no education related-job portal app idea-nothing concrete-just suggestion</t>
  </si>
  <si>
    <t>IFT294</t>
  </si>
  <si>
    <t>lipsalohumi@yahoo.com</t>
  </si>
  <si>
    <t>The problem statement that we are trying to solve is to redefine education</t>
  </si>
  <si>
    <t>The description of the problem will be the problems teachers face while they are teaching their students.</t>
  </si>
  <si>
    <t>The user group who's problem we are attempting to solve is the teachers.</t>
  </si>
  <si>
    <t>This is because the problem creates stress within people's mind. stress being a threat to the body makes it urgent to solve the problem.</t>
  </si>
  <si>
    <t>There are many solutions as we have divided the main problem into sub problems then solving this. one of these is allotting many students a particular class which specializes in their weak subject</t>
  </si>
  <si>
    <t>This reduces stress that teachers face daily and also makes it easier to teach students</t>
  </si>
  <si>
    <t>This is because we had a big journey. In this journey we tried our best to do this and also had many debates. This made trust between us</t>
  </si>
  <si>
    <t>https://enpower-school.com/wp-content/uploads/elementor/forms/5fecb0eac7321.pptx</t>
  </si>
  <si>
    <t>December 30, 2020, 10:25 PM</t>
  </si>
  <si>
    <t>no concrete idea, several suggestions-repeat entry</t>
  </si>
  <si>
    <t>IFT298</t>
  </si>
  <si>
    <t>divyanshbansal9888@gmail.com</t>
  </si>
  <si>
    <t>Divyansh</t>
  </si>
  <si>
    <t>Maintaining standard of education in more than a million schools nationwide, offering training programs to teachers, and keeping good balance with education system worldwide is a big challenge. Schools vary in size and resources and are forced compromise in the all round development opportunities they must provide to students.
Due to lack of infrastructural constraints and social issues, it becomes harder to make education accessible to all segments of the society (women, minorities, poor).
The cost of education is very high even for the people and places where it is accessible. .
As we know that in today's scenario education is the key to success. Students go to schools to gain knowledge but sometimes it is not enough. They need an outside source such as tuitions .Also we noticed the availability of unemployed people who have qualified the TET EXAM (Teachers Eligibility Test).
So to solve all the problems we have found an idea.</t>
  </si>
  <si>
    <t>The student teacher ratio of India clarifies that school teachers are not able to focus on every students Also the quality of education in some schools is very poor and sometimes Students are not able to get a suitable source of education rather than schools and many teachers who are unemployed are not getting students to teach. Due to this, students cannot find teachers who can only focus on them.</t>
  </si>
  <si>
    <t>Our users are STUDENTS and TEACHERS who both are the key members of sharing knowledge.</t>
  </si>
  <si>
    <t>For good quality of education, every parent is finding a good tuition but they are some problem while finding a tuition .As it is related to children's education it is the most important problem because it can affect child's future. Also unemployment of teachers is becoming a major social as well as an economical concern in India.</t>
  </si>
  <si>
    <t>So to bring out the best use of qualified teachers and to provide education to students at low cost, we will make a website that will help in connecting teachers and students.
Our app will provide 3 types of facilities. In each type, teachers will have to enroll themselves and will have to give their details such as their:-1) qualification 2) field of specialization etc. 
1) Online classes- Students can find teacher on the basis of ratings given by other students. Once they find the perfect teacher they can apply for a trial session.
2) INSTITUTE CLASSES-If a student finds that the suitable teaching method for them is group study then we have an option of Coaching Centre.
3) Home Tuition -Students can also apply for home tuition if the teacher finds it possible and if they both can manage the timings.</t>
  </si>
  <si>
    <t>Our users are students and teachers
Our solution helps both the users in many ways 
1)	Benefit to the STUDENTS
Students go to schools to gain knowledge but sometimes it is not enough. They need an outside source such as tuitions so Students will no longer need to spend so much time in finding tuition based on review of only few, they could easily find tuition for themselves based on rating of hundreds. In this way students are getting education from an outside source which fully concentrates on them
2)	Benefits to the TEACHERS
There are a lot of teachers who have qualified the TET EXAM (Teachers Eligibility Test) but are still unemployed. So the teachers can easily find students and could get themselves employed.
Further teachers will no longer have the problem of not having their own institutes as they can teach the students through CLASSYFYME`S platform.</t>
  </si>
  <si>
    <t>We believe that we are the best equipped to offer this solution because we are also students and we understand the problem very well. Also we come in direct contact with those teachers who provide outside source of education and therefore we can understand the problems faced by them.
Also we are well aware of the existing and the upcoming technology that could benefit the society in many different ways.
And only the concerned group and their well wishers can provide the best solution to their problems and no one can ever provide a better solution.
Therefore we believe that we are the best equipped to offer this solution.</t>
  </si>
  <si>
    <t>https://enpower-school.com/wp-content/uploads/elementor/forms/5fecb8931000c.pptx</t>
  </si>
  <si>
    <t>December 30, 2020, 10:57 PM</t>
  </si>
  <si>
    <t>app for creating tutions by connecting student to teachers- nothing to pursue-no idea as such</t>
  </si>
  <si>
    <t>IFT299</t>
  </si>
  <si>
    <t>prajwalkesari9769@gmail.com</t>
  </si>
  <si>
    <t xml:space="preserve">9686606406, </t>
  </si>
  <si>
    <t>》THERE ARE TWO CASES 
¤ CASE 1
•there is a teacher and teaches in the government school 
•students are power 
• they can't afford the mobile or computer 
• they are interested in to learn 
¤  CASE 2 
• teacher teaches in the private school 
•students can afford mobile phones or desktop 
•but students are getting distracted 
I have tried to solve the problem above considering both the cases</t>
  </si>
  <si>
    <t>I have tried to solve the problem of Online education which has still many problems like 
1. Teacher just explains orally and It becomes difficult  for the student to understand the concept 
2. In most of the schools the time is wasted in taking attendance , some students just join at the time of attendance and will leave the meeting 
3. Continue classes also make students bore and get distracted 
4. For group discussion there should be teams made but in our schools it is being difficult</t>
  </si>
  <si>
    <t>I am solving the problem of teacher and a student in online education,</t>
  </si>
  <si>
    <t>I am solving the problem of online education which is really important and need  a urgent solution as students and teacher are unable to teach and learn and the year is passed away , and there is a roomer that there is a new stream of corona virus so it should be as early as possible</t>
  </si>
  <si>
    <t>Problem 1. Teacher is just saying and explaining orally which is difficult to understand 
Solution . In zoom and Google meet there is a feature called "share screen" which enables us to share the screen,  and the teacher has to use the app like squid or inotes and the students are enable to see and understand 
Problem 2. In most of the schools the time is wasted in taking attendance , some students just join at the time of attendance and will leave the meeting  after giving the attendance 
Solution. In zoom premium account there is a feature which enables the host to see the timing of login and log out  ,
3.Continue classes also make students bore and get distracted 
Solution. After completing one topic the teacher can show some curious or informative video on YouTube by sharing screen , and also. Play quiz on kahoot , kahoot is a platform which enables us to create quiz and host. ! Which others can play by using other device on there home
4. For group discussion there should be teams made but in our schools it is being difficult 
Solution. There should be software which enables to break the groups in the meeting , can can discuss and also Google's jamboard enables to write on the screen everyone on one same screen</t>
  </si>
  <si>
    <t>my Solution may help the online education to improve as if we make education intresting by playing quiz , videos etc the students might not get distracted 
The time might not be wasted in taking attendance 
Google jamboard also help in group discussion 
Students can understand when teacher by sharing screen
I have given a detailed explanation above</t>
  </si>
  <si>
    <t>I think I have think in all the ways and this will improve the education 
Thank you</t>
  </si>
  <si>
    <t>https://enpower-school.com/wp-content/uploads/elementor/forms/5fecbd6d3f33a.pptx</t>
  </si>
  <si>
    <t>December 30, 2020, 11:18 PM</t>
  </si>
  <si>
    <t>lots of suggestions-no concrete idea</t>
  </si>
  <si>
    <t>IFT303</t>
  </si>
  <si>
    <t>razaamir6858@gmail.com</t>
  </si>
  <si>
    <t>A system based on ancient traditional techniques and method of educating people, an ancient word isn't the bad word to describe Our Indian education system, over the years everything changed what remains unchanged is our education system just to produce Labour, and yes I am not ashamed to admit that what we all are learning in our schools and colleges to work for others, and just to become someone's donkey to work 9-5, what the teachers expect that he or she is a brilliant student and he will bag a decent position if some recruiter will come on placement days, what they don't say that this brilliant student will fabricate his empire and generation will get inspiration from him and other will also strive to become an entrepreneur and change the world or will bring the revolution, that's what I hate the factory that produces the labours nor the game-changer, and this is the problem why we are so undeveloped.</t>
  </si>
  <si>
    <t>There are still several issues which are required to be taken care of.
• Indian education has a lack of understanding that not everyone likes what they enforce to read, nor everyone wants to follow the cat rat race if a student who wants to do scientific research or become an entrepreneur to change the way of learning then why he has to complete the 15-20 years of learning for the research and starting their venture if he/she is capable to do at the age of 9/10 then why the education system isn't permitting the syllabus they need?</t>
  </si>
  <si>
    <t>The education system I want is for everyone beginning with the kindergarten to the university students, based on skills, mental health, technology, law, research. An education system where no limitations of course and classes where a child who is 11/12  can start their venture or start research where no constraints to follow the footprints of ancient people rather we want to refresh the thought and innovation in everyone's life.
User Group- Kindergarten to university and professionals.</t>
  </si>
  <si>
    <t>This problem is critical yes because the numbers of Nobel laureate or the entrepreneurs or unicorn companies, we are not in the list of top countries where we have 1000s of the university where the government spends crores of money, and we are not capable to deliver what it wants, rather we are just producing a 9-5 labour, for brain drain.</t>
  </si>
  <si>
    <t>We want to modernise and liberalize the education system as the modernity in technology, we want to use AI, VR, 3D PRINTING etc, to teach rather than conventional classes, we think that the education is the need and everyone need at minimal cost, however, we want to teach with virtual reality and no bounds of classes and courses, we want to produce entrepreneur to boost our economy.</t>
  </si>
  <si>
    <t>India a country with more than 1billion population but a very nominal per cent of people are skilled and the educated in real means, the conventional education system is a burden that everyone wants to punch and throw away, we think we can fabricate the revolution.</t>
  </si>
  <si>
    <t>Our idea is systematically approachable on the ground, what we have analysed is that we need skilled in every era rather than educated with some formal degree, we have a whole footprint of practical education that we want to implement and refresh the education system. We want to use technology like AI, VR, 3D PRINTING, HOLOGRAMS, by which we can teach 1000s of places just by delivering our speech at one place and the practical approach we will cover with the affiliated companies where they will not ask for the educational background and the age, just the skill.</t>
  </si>
  <si>
    <t>December 31, 2020, 1:26 AM</t>
  </si>
  <si>
    <t>just an idea for skill building</t>
  </si>
  <si>
    <t>IFT613</t>
  </si>
  <si>
    <t>vishalkumar28011978@gmail.com</t>
  </si>
  <si>
    <t>By seeing the present situation, it has now become necessity that we should boycott chinese products and should build our own industries. Though industrialisation will help to increase  the economy of India but at the same time many harmful gases will also be released by industries. So, it is important to manage this problem. Industries release many gases such as methane, halocarbons, nitrogen dioxide, carbon monoxide etc. One the most dangerous gas released by industries is carbon monoxide. If a person is closed in a room where carbon monoxide is there, that person may die as it directly affects the lungs of that person. And if it will be released in the atmosphere then it can also create difficulty for people to breath.</t>
  </si>
  <si>
    <t>Inhalation causes central nervous system damage and asphyxiation. Prolonged exposure to carbon monoxide rich atmospheres may be fatal. It is easily ignited. It is just lighter than air and a flame can flash back to the source of leak very easily. Under prolonged exposure to fire or intense heat the containers may violently rupture and rocket. Carbon monoxide gas leaves the body the same way it got in lungs. In fresh air, it takes four to six hours for a victim of carbon monoxide to exhale about half of the inhaled carbon monoxide in their blood. Given below are some dangerous effects which can be caused by carbon monoxide.</t>
  </si>
  <si>
    <t>Workers working in industry may die due to CO or carbon monoxide. Or people that live near industrial areas can also get affected by CO. The managers of that company, infact any people near the industry can get affected.</t>
  </si>
  <si>
    <t>This problem is critical and needs an urgent solution as not only because of boycott of chinese products but also because of increasing population in India, it is mandatory to increase industrialisation in India. And if industries will be built then it will release some harmful gases also as everything have some advantages and disadvantages. Though it will help to make the economy of India stronger, at the same time if not taken care of this problem, then most of the population can get affected and then in their treatment money will be used. At last, economy will again come at the previous rank.</t>
  </si>
  <si>
    <t>The name of my idea is TOXIC TRANSMOGRIFY. Here the toxic refers to carbon monoxide or CO which is a single carbon compound and it is very dangerous for health. As the name suggests it will transform the toxic into a non-harmful substance. My idea will mainly solve the problem of air pollution &amp; can give us fresh air to breath. I know that there are many other gases also in air but this can be startup plan as everyone starts from zero only. Electrochemical sensor will trap CO and then it will react with Cuprous Chloride&amp; Hydrochloric Acid to be non-harmful. It will also help to separate different gases coming out of industries which can be used further for various purposes.</t>
  </si>
  <si>
    <t>My solution gives a distinct benefit to users as it will give everyone the fresh air to breath to great extent. As the population is increasing, with the same way the air pollution is also increasing. I know that when there was lockdown because of COVID-19, the air pollution decreased. But now people are coming back to their normal lives and the same problem is coming again. It can also help to reduce the risk of diseases caused by polluted air such as chronic obstructive pulmonary disease (COPD), ischaemic heart disease, etc.</t>
  </si>
  <si>
    <t>I think I am the best equipped to offer this solution as I have defined everything very clearly. Because others may say to close industries but I am also thinking about the economy and future of India, at the same time I am advising to increase industrialisation but also telling a way to be safe from harmful gases released by industries. This tells that I am thinking multi-dimensionally. I am a responsible citizen of India who wants to make India and its economy stronger by industrialisation and also thinking about the people of India who can get affected with the harmful gases released by industries.</t>
  </si>
  <si>
    <t>https://enpower-school.com/wp-content/uploads/elementor/forms/5ff9f6b3f0419.pptx</t>
  </si>
  <si>
    <t>January 10, 2021, 12:02 AM</t>
  </si>
  <si>
    <t>IFT435</t>
  </si>
  <si>
    <t>aaryanrai.net@gmail.com</t>
  </si>
  <si>
    <t>The Kalyani School</t>
  </si>
  <si>
    <t>How to build an online brand/business and grow it digitally?</t>
  </si>
  <si>
    <t>Building a brand/business is nothing without an online existence nowadays, but young entrepreneurs often tend to ignore the power of digital media. The young curious minds of India have many ideas of business or even a brand but they get confused with, where to start, where to invest, how to do it in very low to no budget, what tools to use and get lost in the digital complexity. They need a proper guidance and trusted to save them time and cost them nothing. So, how can they establish a brand with these issues?</t>
  </si>
  <si>
    <t>The user or the group here is the youth, students and the newbies in the nation. Because they have the knowledge, the idea (concept) and a lot enthusiasm but one thing they lack is experience and budget. Thus they need an experienced guidance which helps them in every way with little to no budget.</t>
  </si>
  <si>
    <t>This is a serious problem as many of the youngsters fail to implement their idea because of the wrong tools and resources and many of them often drop the idea of making a change. If this continues to happen it will gradually lead to a slowdown in the economy and hence stopping the development of India. As startups play an important role in the economy, if the startups don't boost it will take us another century to develop.</t>
  </si>
  <si>
    <t>The solution to this problem is a website platform which provides all the necessary equipments, resources, tools and guides for a startup entrepreneur. I have taken an initiative by making a platform, Aaryan Rai Digital which provides all the digital marketing solutions necessary for an online startup like, SEO, social media marketing, advertisements, and other solutions. One can also build his or her own site with our step by step page to do the same and get real-time results and can also learn about video production and video market their business. There will the lists of tools in the brand building journey of the user and can also use them to excel their growth.</t>
  </si>
  <si>
    <t>What Aaryan Rai Digital has distinct for the users:
1) EFFORTLESS LEARNING: Learn all marketing strategies, digital solutions, and other growth hacks all in one place.
2) REAL-TIME RESULTS: Follow our guides and tutorials and apply it to your brand and get real-time results.
3) EASY UNDERSTANDING: We provide all our resources, guides, and other tutorials both through videos and articles for you to understand better.
4) NO COST: All our services are for you and you can avail it at no cost by just entering your email.
5) LIVE CHAT SUPPORT: Chat with our support for any guidance needed.
6)TRUSTED TOOLS: We recommend you the best rated and reviewed tools in the market backed up with big brands.</t>
  </si>
  <si>
    <t>I am best equipped to provide this solution as I have learned all the marketing strategies from trusted platform but with a lot of struggle and want to put all the knowledge gained from different sources at one place so that the user doesn't have struggle to learn all the things and invest more time learning than in implementing. And I personally use all these strategies and tools for my business and branding. I have been affiliated to big companies like amazon, godaddy and other digital companies.</t>
  </si>
  <si>
    <t>https://enpower-school.com/wp-content/uploads/elementor/forms/5ff0299f5a719.pdf</t>
  </si>
  <si>
    <t>January 2, 2021, 1:37 PM</t>
  </si>
  <si>
    <t>disqualified-not education related</t>
  </si>
  <si>
    <t>IFT302</t>
  </si>
  <si>
    <t>arpit678rana@gmail.com</t>
  </si>
  <si>
    <t>The problem is simple the increase rate of suicides in India because of mental pressure  and depression if a student are not able to clear jee then he or she loose his or her confidence which causes the problem which i mention above</t>
  </si>
  <si>
    <t>In India there is lot of students are not able to clear jee in 2 attempts if a he or she sacrifice lot of but in the end he or she doesn't do that goal which demotivates them</t>
  </si>
  <si>
    <t>My cousin was not able to clear jee he attempts 2  times but unfortunately he didn't clear he got lower class college also which demotivates him alot and he is not able to stand infront of anyone</t>
  </si>
  <si>
    <t>It a critical situation because the demotivates provided them depression which cause suicide as we all know lot of students attempt suicide</t>
  </si>
  <si>
    <t>So you have to increase attempts for jee so that a student should try and there some increase probability to clear it</t>
  </si>
  <si>
    <t>The solution give all of them a big opportunity because in a single attempt the students never show their full potential due to which they never clear the jee</t>
  </si>
  <si>
    <t>Because i am passing through this situation and it is very difficult situation for students</t>
  </si>
  <si>
    <t>December 31, 2020, 12:31 AM</t>
  </si>
  <si>
    <t>suggestion to increase JEE attempts to help demotivated students</t>
  </si>
  <si>
    <t>IFT615</t>
  </si>
  <si>
    <t>harshaagrawal008@gmail.com</t>
  </si>
  <si>
    <t>Many people assume education as only academics. Moreover, our education includes of theory more than practical activities .Many students learn the theory part and are called genius. But in this, the students only achieve marks not academic brilliance.</t>
  </si>
  <si>
    <t>Due to such a vast theory part the student usually consider study as a boring thing. This also leads to a very unattentive class. Most students don’t care to listen to teacher as they have concluded that they will just learn the theory and obtain good marks .More than 50% of our grades in the end-of-the-year report card is usually affected by these theoretical exams.Once students find the subject boring they almost stop putting the effort in it, resulting the teacher has to explain the stuff many times.</t>
  </si>
  <si>
    <t>Some of the students never know what they want to do but have the talent inside them , it may be something very simple but it can help the student very much with a continues practice and focus. Our main motto is to find that talent and let students wok on it. Many students may need time to find their real passion and work on it . So we will give time for thus and let them do that.</t>
  </si>
  <si>
    <t>Where there is a will there is a way, but unless there is something that for a student will look forward for his classes and increase the enthusiasm, there is a very little chance that the student will really learn because understanding the concept is also crucial.A child's personal mode of learning is in fact through experiencing what is happening and recognising things through practical approach. This makes the child enhance her speculative knowledge and she is able to judge in accordance to the facts. The child's practical knowledge paves the way of knowing about things.</t>
  </si>
  <si>
    <t>The solution is simple and worth trying, twice a week there will be practicals compulsory for every subject. For literature subjects like english hindi and even sanskrit , the students either have to play a drama scene from the story present in their textbook or should make a group in which they will make their own storyline and create dialogue and perform them in front of the class , or either, to make this more competitive students may compete with the other section of the class. To make this more helpful, the story they create could also include a moral or something which prepare the students to face the outer world . lt should  be compulsary that a student has to choose a sport and practice that sport for a whole month , after that the sports teacher may choose the players who can play better and the students who want to stay in that group can stay in it. The students should be allowed to choose and try different sports. In addition to this the children at the end of the week can anonymously give reviews on teachers teaching and class interaction. On the basis of this the teachers one-fifth salary may be decided . So that students may have the power and with this there may be monthly inspections on teachers so that students wont misuse their power.</t>
  </si>
  <si>
    <t>The solution does not only helps to boost the confidence and helps to prevent stage fear but it also helps to bring out the creativity of the students and learn valuable morals. Other then this if teachers can elect a storyline for any local magazine then it will also encourage them more. And if the students use their power wisely and the inspections are done properly , the teachers will put more effort in teaching and this will ensure the proper learning of the students.</t>
  </si>
  <si>
    <t>This solution helps to bring out the creativity and the hidden talent, also if once students start feeling enthusiastic then they would try more to understand the subject and it will be worth the teachers hard work . Not students , the teachers will also try to teach them better , this will create a 2 way relation between the students and the teachers . Both teachers and students will have to complete their work.</t>
  </si>
  <si>
    <t>January 10, 2021, 11:50 AM</t>
  </si>
  <si>
    <t>no idea- suggestion to made education experiential with giving examples</t>
  </si>
  <si>
    <t>IFT437</t>
  </si>
  <si>
    <t>cristealoren012@gmail.com</t>
  </si>
  <si>
    <t>The problem I see is related to how women look.  They are too harsh and want to plow the opposite.</t>
  </si>
  <si>
    <t>The problem I see is related to the appearance of women. They are too hard and want to look the opposite, because the fat woman wants to become anorexic and the anorexic woman wants to be fat and that's not good.</t>
  </si>
  <si>
    <t>I will solve the problem with body fat with the help of fashion.  I will put tendencies in which the woman should not be embarrassed because of kg.</t>
  </si>
  <si>
    <t>It is essential because more and more women do not feel comfortable with their body and this affects both physical and mental health.</t>
  </si>
  <si>
    <t>My solution is to start a new fashion collection that combines both proportions.</t>
  </si>
  <si>
    <t>I believe in this because I will change their thinking</t>
  </si>
  <si>
    <t>Yes because most brands promote products on very weak mannequins.</t>
  </si>
  <si>
    <t>https://enpower-school.com/wp-content/uploads/elementor/forms/5ff075a8a550e.jpeg</t>
  </si>
  <si>
    <t>January 2, 2021, 7:01 PM</t>
  </si>
  <si>
    <t>IFT459</t>
  </si>
  <si>
    <t>daskaushik729@gmail.com</t>
  </si>
  <si>
    <t>Our old ways of education are becoming less affective and useless day by day. The world has witnessed modernization in every sector except education. So, modernization is required in field of education the new ways should be more affective and should focus on learning. We have to redifine education. We have to make a system of education which will not focus on pyhsical presence of students and mugging up.</t>
  </si>
  <si>
    <t>The current process of education destroys the hidden talent of students. And it will help in the development of students.</t>
  </si>
  <si>
    <t>This problems is faced by all students of whole world specially by the students of India.</t>
  </si>
  <si>
    <t>This problem is critical because it erode the core of the students. If the students only mug up and don't try to learn the concept it is very bad for thier future.</t>
  </si>
  <si>
    <t>Solution according to my the education system should focus on learning and educational system also focus specially on sports because it is not important that very has the talent to become a doctor or engineer or it also not important that everyone have to be good in the field of education and may be some students are thier who are very good at sports and can be the future representative of India in the field of sports and thier talent gets destroyed in the current system of education.</t>
  </si>
  <si>
    <t>My solution can reduce the pain of the students because it will help to nourish the hidden talent of students.</t>
  </si>
  <si>
    <t>This system should be equipped in stages gradually and slowly.</t>
  </si>
  <si>
    <t>January 4, 2021, 10:54 AM</t>
  </si>
  <si>
    <t>no idea, just suggestions</t>
  </si>
  <si>
    <t>IFT442</t>
  </si>
  <si>
    <t>dolly.harrel@msn.com</t>
  </si>
  <si>
    <t>Advertise your site FREE here!: https://bit.ly/totally-free-ads</t>
  </si>
  <si>
    <t>Advertise your site free here!: https://bit.ly/totally-free-ads</t>
  </si>
  <si>
    <t>How would you like to promote your website for totally free? Check this out: https://bit.ly/totally-free-ads</t>
  </si>
  <si>
    <t>Groundbreaking new way to advertise your website for TOTALLY FREE! See here: https://bit.ly/totally-free-ads</t>
  </si>
  <si>
    <t>How would you like to promote your website for free? Have a look at this: https://bit.ly/totally-free-ads</t>
  </si>
  <si>
    <t>January 3, 2021, 12:40 PM</t>
  </si>
  <si>
    <t>SPAM</t>
  </si>
  <si>
    <t>IFT434</t>
  </si>
  <si>
    <t>jsarma.1975@gmail.com</t>
  </si>
  <si>
    <t>Nowadays there is problem in teaching</t>
  </si>
  <si>
    <t>The teachers are not giving importance in teaching not all</t>
  </si>
  <si>
    <t>I am trying to say on some school as many schools are like this</t>
  </si>
  <si>
    <t>Definitely it is critical as many students will simply pass out school without learning nicely .It needs an urgent solution else students life will be spoiled</t>
  </si>
  <si>
    <t>My solution for this is to be strict on teaching or appoint new teachers</t>
  </si>
  <si>
    <t>My solution is little bit of beneficial for students also and government or head of the schools as students will get good teaching and the government will also get profit with economical powers thanks</t>
  </si>
  <si>
    <t>I didn't think I am the best  for it but my solution is beneficial and will definitely work</t>
  </si>
  <si>
    <t>January 2, 2021, 12:32 PM</t>
  </si>
  <si>
    <t>IFT123</t>
  </si>
  <si>
    <t>kunalchaitanya@gmail.com</t>
  </si>
  <si>
    <t>It is mentioned in the file attached.</t>
  </si>
  <si>
    <t>December 27, 2020, 6:13 PM</t>
  </si>
  <si>
    <t>IFT452</t>
  </si>
  <si>
    <t>lorimer.remona39@gmail.com</t>
  </si>
  <si>
    <t>Did you know contact form messages like these are in fact an effective method to get more visitors and sales for your business? How can we do it? Very simple, we create an advertisement like the one you're reading now for your site and we submit it to hundreds of thousands website contact pages on sites in whatever niche or country you want to target. Does this work? By reading this now, you just proved that they do! The awesome thing is, this won't cost you much more than $25 a week! Want to get more info? drop us a line vie email here: UlisesDonaldsoni4472@gmail.com</t>
  </si>
  <si>
    <t>Were you aware that messages that come through on your website contact form are in effect a great way to get more sales for your online business? How can we do it? Super easy, we create an ad like the one you're reading right now for you and we mass post it to thousands contact pages on any website and in any business category or area you need. Does this work? Well you're reading this now aren't you? The awesome thing is, this doesn't cost more than $3 a day! Want to find out more? drop us a line vie email here: UlisesDonaldsoni4472@gmail.com</t>
  </si>
  <si>
    <t>Had you heard that notes like these that come through your website's contact page can actually be a great way to get more web traffic, sales, video views etc. for your site? How exactly do we do this? Easy peasy, we put together an ad for your site and we submit it to millions contact pages on any site in any business niche or location you like. Does this method of advertising work? You're living proof that they do since you're reading this message right now The awesome thing is, you can do this for less than a cup of coffee a day! Want to find out more? send a reply here: UlisesDonaldsoni4472@gmail.com</t>
  </si>
  <si>
    <t>Had you heard that messages that come through on your website contact form are in effect a highly effective way to get more web traffic, sales, video views etc. for your website? How exactly do we do this? Simple, we craft an ad like the one you're reading right now for your business and we mass post it to lots of contact pages on sites in whatever niche or country you want to target. Does this method of advertising work? You're living proof that they do since you're reading this message right now The awesome thing is, this won't cost you much more than $3 a day! Want to find out more? fire off a quick email to: HansenAndyc65833@gmail.com</t>
  </si>
  <si>
    <t>Did you know that website contact page messages like this one can actually be a highly effective way to get more sales for your online or offline business? How exactly is this done? Super easy, we craft an ad text like this one for your site and we mass post it to tons of contact pages on any website and in any business category or area you need. Does this work? By reading this now, you just proved that they do! The best part is, this doesn't cost more than $3 a day! Want to get more info? write an email to: ErnestLilliana57358@gmail.com</t>
  </si>
  <si>
    <t>Had you heard that website contact page messages like this one are in effect an excellent way to generate leads for your online business? How can we do it? Very simple, we put together an ad like the one you're reading right now for your online business and we submit it to thousands website contact pages on sites in whatever niche or country you want to target. Does this work? Since you've ready my entire message then you're proof that they do! The awesome thing is, you can do this for less than $3 a day! Want to find out more? just reply to this email address: UlisesDonaldsoni4472@gmail.com</t>
  </si>
  <si>
    <t>Did you know that website contact page messages like this one are in fact an effective method to get more web traffic, sales, video views etc. for your online business? How can we do it? Easy peasy, we put together an ad like the one you're reading right now for you and we blast it out to millions contact forms on any site in any business niche or location you like. Do these types of ads work? You're living proof that they do since you're reading this message right now What's more, you can do this for less than a hundred bucks a month! Want to find out more? fire off a quick email to: HansenAndyc65833@gmail.com</t>
  </si>
  <si>
    <t>January 3, 2021, 9:19 PM</t>
  </si>
  <si>
    <t>spam</t>
  </si>
  <si>
    <t>IFT449</t>
  </si>
  <si>
    <t>mzeeshanahmedkhan.tc@springfieldsschool.com</t>
  </si>
  <si>
    <t>No problem</t>
  </si>
  <si>
    <t>https://enpower-school.com/wp-content/uploads/elementor/forms/5ff1be0753213.pdf</t>
  </si>
  <si>
    <t>January 3, 2021, 6:22 PM</t>
  </si>
  <si>
    <t>no idea-disqualified</t>
  </si>
  <si>
    <t>IFT438</t>
  </si>
  <si>
    <t>pinkaswatidas1969@gmail.com</t>
  </si>
  <si>
    <t>Debjyoti</t>
  </si>
  <si>
    <t>10th Grade</t>
  </si>
  <si>
    <t>Before solving any particular problem,it is better to study about the actual facts surrounding the problem, whenever we can understand  the facts,then it is better to remove the problems step by step systematically</t>
  </si>
  <si>
    <t>Problems are of many kinds . There are lots and lots of problems in 
Everyone's life. All should solve their problems by keeping their mind peaceful and by not worrying.</t>
  </si>
  <si>
    <t>I can try to solve my problems as well as the problems of others</t>
  </si>
  <si>
    <t>All problems are not always critical . When the problems become critical it should be managed very carefully</t>
  </si>
  <si>
    <t>Always solve the problem after understanding the actual facts, I should eliminate the problems step by step systematically</t>
  </si>
  <si>
    <t>My solutions definitely helps the other to reduce their pain because it must be based on their problems after studying the facts vividly</t>
  </si>
  <si>
    <t>In practical ground I followed that my advices to solve the problems of others is very much effective and successful for solving their problems nh</t>
  </si>
  <si>
    <t>January 2, 2021, 10:19 PM</t>
  </si>
  <si>
    <t>IFT429</t>
  </si>
  <si>
    <t>ritrishamondal9@gmail.com</t>
  </si>
  <si>
    <t>India is very lack in running the economic because of uneducated children because many of them belong to poor locality and most of them don't have their own parents . Even the death rate of India is also very high because when parents gets older their children kick them out of the house as they don't able to do work at that age they don't able to income and they die due to hunger and lack of health security.</t>
  </si>
  <si>
    <t>The detailed description is that lack of economic condition due to uneducated persons and huge death rate  because of old aged people don't able to depend on their own child at that stage as their own child kick them out of the house and don't even look over them.</t>
  </si>
  <si>
    <t>I am attempting to solve problem of all the types of people from small child till the old aged people .</t>
  </si>
  <si>
    <t>I believe that this problem needs an urgent solution because whenever I go out I saw small children, adults and aged people all beg so that they can eat one time meal. Even this lead to down of our economic conditions too and leading to huge increase in death rate also.</t>
  </si>
  <si>
    <t>The solution is opening an orphanage where education will be provided to children, old aged people will be provided with food and medicine facilities and also all types of materials so that they also set their small businesses so that they can earn their own living so that they always don't have to depend on me for giving money to them.</t>
  </si>
  <si>
    <t>This will give benefit to children as they will get education and they will get younger they can do job, old aged people can do some their own business and can contribute to economy. This will lead to grow of economic condition and less death rate. 
Old people and small children don't have to beg in front of people and don't have to get more pain.</t>
  </si>
  <si>
    <t>I want to open an orphanage where any homeless and poor people can come , we're small children will also be provided with education system and old aged people can stay their and young people and sometimes old aged people can do some work so they can earn some money and also help the economic condition and also so that they don't have always depend on me and all the necessary products and material will also provided to them so they can do their work easily.</t>
  </si>
  <si>
    <t>https://enpower-school.com/wp-content/uploads/elementor/forms/5fef178ebbafe.jpg</t>
  </si>
  <si>
    <t>January 1, 2021, 6:07 PM</t>
  </si>
  <si>
    <t>IFT447</t>
  </si>
  <si>
    <t>sjeelanibasha@gmail.com</t>
  </si>
  <si>
    <t>people are unable to explain their problem statement.</t>
  </si>
  <si>
    <t>Our user group is " India's biggest youth hunt " competition .</t>
  </si>
  <si>
    <t>Because people are unable to explain their problem statement.</t>
  </si>
  <si>
    <t>we should allow people to explain their problem statement.</t>
  </si>
  <si>
    <t>We can reduce their pain by giving them another chance.</t>
  </si>
  <si>
    <t>Because , I Wanted to do this from many days.</t>
  </si>
  <si>
    <t>https://enpower-school.com/wp-content/uploads/elementor/forms/5ff1a77d4284d.pdf</t>
  </si>
  <si>
    <t>January 3, 2021, 4:46 PM</t>
  </si>
  <si>
    <t>IFT436</t>
  </si>
  <si>
    <t>teamanujha@gmail.com</t>
  </si>
  <si>
    <t>There are a lot of factors when we talk about 'Education' The top most thing extra activitiesbeing neglected. They say 'All work and no play makes jack a full boy.'Obsession  for only Study is depriving a lot of children from real education.  Focusing on other activities and Education both equally will undo the neglected.lt'll improve one's mental health too.</t>
  </si>
  <si>
    <t>Education should be honest. Eqyal treatment, no place fir bullies, focusing on child's interest. I firmly Believe no child should feel left behind.</t>
  </si>
  <si>
    <t>Primary Education is suffering a lot. Survey's show that reading and writing abilities of school children are dipping to alarming levels.</t>
  </si>
  <si>
    <t>Willing teacher and workers are hard to find these days. Primary Education and Expensive Higher Education needs an urgent solution.</t>
  </si>
  <si>
    <t>By giving Quality Education, this problem can be solved.</t>
  </si>
  <si>
    <t>Technology.As we all know that Technology  has become an integral part of our lives.Use of Technology in Education Problems will ease the pain.</t>
  </si>
  <si>
    <t>I don't know that much. I  trust this  can solve Education Problems.</t>
  </si>
  <si>
    <t>January 2, 2021, 1:43 PM</t>
  </si>
  <si>
    <t>IFT439</t>
  </si>
  <si>
    <t>vanshikaroy@dldavppcbsei.com</t>
  </si>
  <si>
    <t>The complication is that,  as per the online education; students now have got liberty to do whatever they want to do.
Many of them are now not focused or self-reliant. There are many distractions that make the students inattentive to what they listen. Then after all this, Why cant we develop a single app , which consist of all the other student applications!</t>
  </si>
  <si>
    <t>In lieu of paying attention to the teacher or any other instructor they get involved in various other activities, games or simply go internet surfing, with which they have their own loss and later they will regret for the same. So to avoid all this problem and to improve the students future, we can take a single step to develop and improve the condition. As the child should understand their own responsibilities.</t>
  </si>
  <si>
    <t>There is not a specific group, whose problem we are trying to solve but according to me now it is national problem, which will later result in the weak reporting of child. So basically we can say that the issue can be related with School, Students and teachers.</t>
  </si>
  <si>
    <t>We can actually develop an app in which almost all the student apps are involved or merged.
Like: We can merge Google Meet, Classroom, Jamboard, PowerPoint and some editing apps as well like Kinemaster and vita etc. so that there is no need for the child to just simply search on the phone.</t>
  </si>
  <si>
    <t>It is simple, because it will surely consume less time, will be rapid and facile for the users, which is the demand of the current modern generation. It will satisfy the basic need/requirements of the student. It will be easier to equip and concentrate. It will build the student to be self dependent, reliant and will improve their self discipline. The main part is it will also result in less consumption of paper.</t>
  </si>
  <si>
    <t>May be our solution is different from others, Actually we cant say that ours is the best because many are there who can or would have performed much better than us but YES! the reason can be that we are working for the benefit of students to enlighten their future and make them successful in being what they want.</t>
  </si>
  <si>
    <t>https://enpower-school.com/wp-content/uploads/elementor/forms/5ff163011cfce.pdf , https://enpower-school.com/wp-content/uploads/elementor/forms/5ff163011fe8b.mp4</t>
  </si>
  <si>
    <t>January 3, 2021, 11:54 AM</t>
  </si>
  <si>
    <t>IFT622</t>
  </si>
  <si>
    <t>WWW.harsimarkaurduggal@yahoo.com</t>
  </si>
  <si>
    <t>Harsimar</t>
  </si>
  <si>
    <t>Kaur Duggal</t>
  </si>
  <si>
    <t>9991655555</t>
  </si>
  <si>
    <t>Convenience and flexibility of online learning environment allows learner to develop new skills and further their education. For all its benefits online learning can sometimes feel isolating for students as and equality question is that what are the problems faced by teachers and the students and how to resolve them the main problem is how to make the sessions interesting as well as impactful for the children</t>
  </si>
  <si>
    <t>Here are the main problem faced by both children as well as the teachers</t>
  </si>
  <si>
    <t>Because it can affect both the present as well as the future of the children as if they will not understand what is going on in the class then Hindi will not be able to survive in the future</t>
  </si>
  <si>
    <t>The teacher mass engage them in competitive examinations and quizzes and should I ask him for the feedback</t>
  </si>
  <si>
    <t>Understand the concept more efficiently and in a better way</t>
  </si>
  <si>
    <t>Because my ideas are simple to understand</t>
  </si>
  <si>
    <t>January 10, 2021, 7:22 PM</t>
  </si>
  <si>
    <t>suggestion-no idea</t>
  </si>
  <si>
    <t>IFT043</t>
  </si>
  <si>
    <t>kaurjashan054@gmail.com</t>
  </si>
  <si>
    <t>Jashanpreet</t>
  </si>
  <si>
    <t xml:space="preserve">GSSSS Lambi, Sri Muktsar Sahib
</t>
  </si>
  <si>
    <t>According to me, biggest problem is poverty. In our country, many people face this problem.</t>
  </si>
  <si>
    <t>Main cause of this problem is lack of employment or job opportunities which are rising poverty. Women and children are most affected by poverty. They are often deprived of their basic human needs. Poverty impacts population. The highly contrasted country has enjoyed growth rates of up to 10% over many years and is one of the largest economies in the world, with a gross domestic product (GDP) of 1,644 billion US dollars.</t>
  </si>
  <si>
    <t>Poverty in India impacts children, families and individuals in a variety of different ways through high infant mortality, child labour, lack of education, child marriage.</t>
  </si>
  <si>
    <t>Illiteracy is the biggest reason behind poverty in India. Illiterate people living in rural areas, villages and small towns are the most vulnerable to unemployment. Educated people can also find new jobs, which can help them overcome poverty.</t>
  </si>
  <si>
    <t>Educated people can also find new jobs, which can help them overcome poverty. Working women can earn and support families, thus giving their kids a better standard of living.</t>
  </si>
  <si>
    <t>This will not only help the country as a whole, but will also give you a lot of happiness and satisfaction.</t>
  </si>
  <si>
    <t>https://enpower-school.com/wp-content/uploads/elementor/forms/5fe07bcaa7fd1.jpg</t>
  </si>
  <si>
    <t>December 21, 2020, 4:11 PM</t>
  </si>
  <si>
    <t>Disqualify: No solution given at all</t>
  </si>
  <si>
    <t>IFT047</t>
  </si>
  <si>
    <t>kartikeyaverma001@gmail.com</t>
  </si>
  <si>
    <t>Kartikeya</t>
  </si>
  <si>
    <t>Vea</t>
  </si>
  <si>
    <t>There no indian battle royale than Faug we have to make India Arthnirbar.</t>
  </si>
  <si>
    <t>The chinese company are being rich and their economy is also growing because of the  chinese games used in India . 70%indian gamers play chinese games or other country games. We have to make a best interesting battle royale games to beat this game and become arth nirbhar.</t>
  </si>
  <si>
    <t>If 70% games use Indian game the Indian economy will grow because video games give 5% to the economy. We have to make better game from Faug ,Pubg,Free Fire And Call of Duty Mobile</t>
  </si>
  <si>
    <t>Yes it is critical because it is the data of Indian gamers</t>
  </si>
  <si>
    <t>We have to make good name "Modern Fight " . It should not contain missions . It should be like Free fire And pubg but more good from them in graphics , 15 minutes survival, big events, and in more than 500 mb but less than 3 gb and give best effort to make this game so that no one can give their bad rating.</t>
  </si>
  <si>
    <t>They will reduce the use of other countries games and give  the economical boost.</t>
  </si>
  <si>
    <t>I will give diamond bonuses new event to attract gamers .</t>
  </si>
  <si>
    <t>December 22, 2020, 8:20 PM</t>
  </si>
  <si>
    <t>Disqualified its about gaming and that too not explained how and what</t>
  </si>
  <si>
    <t>IFT048</t>
  </si>
  <si>
    <t>saismaran25@gmail.com</t>
  </si>
  <si>
    <t>wearing mask on our spectacles makes are glasses fogged up</t>
  </si>
  <si>
    <t>so to solve the problem of fogging i have invented an IOT MASK a mask which helps to stop  fogging</t>
  </si>
  <si>
    <t>for the people who wear spectacles</t>
  </si>
  <si>
    <t>this problem needs a critical urgent because when people where mask with spectacle on there face the fog appears and when people are driving or walking on streets there spectacle gets fogged up and and our spectacles becomes blur and this can even led to accidents</t>
  </si>
  <si>
    <t>I have created an iot based project based on mask the main motive is to create this project is that the normal mask which we wear when we exhale out we get a fog like air coming out which is too irritating for the people who wear spectacles to remove this air i have used small fan and to control this fan speed have used an application which will be connected to my internet or wifi and then I can control the fan speed by in increasing or decreasing if in case if there's any network issue or any problem with the signal I have used a manual switch to work in offline and when we breathe out the hot air moves up causing fogging on spectacle to remove this hot air i have used small mini fan as it acts like an exhaust it acts like a vaccum and we can get the fresh air from right and it removes the hot air from the left and i wanted to make this a tecnological mask so i made it into an IOT and for controling the fan speed we can use our own MIT APP INVENTOR but i have used a BLYNK app for controlling because it is easy it can be downloaded easyily in play store or app store</t>
  </si>
  <si>
    <t>to stop foggness on spectacles and which makes smoother to breathe and it maintains all safety needs</t>
  </si>
  <si>
    <t>because the normal mask which we wear makes our spectacle fogged up but this IOT MASK makes to remove that fogging air and make are breathing smoother and in more efficient way</t>
  </si>
  <si>
    <t>https://enpower-school.com/wp-content/uploads/elementor/forms/5fe22cfd9e256.mp4</t>
  </si>
  <si>
    <t>December 22, 2020, 10:59 PM</t>
  </si>
  <si>
    <t>Disqualified: Its a good idea about inventing a mask for people wearing specs and gets fog on specs due to mask but not related to education redefine</t>
  </si>
  <si>
    <t>IFT050</t>
  </si>
  <si>
    <t>vkvijikrishna@gmail.com</t>
  </si>
  <si>
    <t>Viji</t>
  </si>
  <si>
    <t>Lakshmi</t>
  </si>
  <si>
    <t xml:space="preserve">PMG matric higher secondary school
</t>
  </si>
  <si>
    <t>automatic thermal detector</t>
  </si>
  <si>
    <t>December 23, 2020, 9:13 AM</t>
  </si>
  <si>
    <t>Nothing mentioned</t>
  </si>
  <si>
    <t>IFT173</t>
  </si>
  <si>
    <t>astin002@gmail.com</t>
  </si>
  <si>
    <t>8383866632 // 9582827443</t>
  </si>
  <si>
    <t>Nowadays we are writing lots of plastics in our world. It is a use problem in our world. Now what how can we make a solution for the plastic?</t>
  </si>
  <si>
    <t>It is the use problem in our environment?</t>
  </si>
  <si>
    <t>Environment</t>
  </si>
  <si>
    <t>Yes it is a critical problem in our society</t>
  </si>
  <si>
    <t>Yes it is a critical problem in our society we have a solution for make a use of plastic.
From plastic we can make cement jelly stone
And using plastic we can make a from plastic bottle we can make pen stand and we can use as a flower pot or plant pot, decorative itemsetc</t>
  </si>
  <si>
    <t>It is comparatively 
Poor people also buy this jellystone 
It is very beautiful to see 
Is comparatively strong and durable</t>
  </si>
  <si>
    <t>Yes I think it is worthy solution for making reuse of plastic.
Thank you</t>
  </si>
  <si>
    <t>December 29, 2020, 5:57 PM</t>
  </si>
  <si>
    <t>Disqualified: nothing related to education redefine</t>
  </si>
  <si>
    <t>IFT027</t>
  </si>
  <si>
    <t>gandhivansh15@gmail.com</t>
  </si>
  <si>
    <t>The problem arises with shaming "Mature" people for playing with toys and not acting their age. What I Aim to do is make a universal toy which is both affordable yet multipurpose.</t>
  </si>
  <si>
    <t>I believe that the toy industry is one of the most important industries in the world. with an increasing population, bringing more and more children in this country, more toys are introduced to fulfill the need of every child. But what about teenagers and adults? After all, not all of them outgrow toys, which is why they "pass on" their toys to their own children.</t>
  </si>
  <si>
    <t>The user group I am trying to solve are teenagers and young adults who have not outgrown playing with toys. I think that this product will be a beautiful commodity for all people male and female alike.</t>
  </si>
  <si>
    <t>I think that this assembly line is necessary, because Indian toy companies are, pardon my bluntness, a joke. No, literally. There are memes on "Funny knockoff" products like baby girl(Barbie fake) and also to show Mattel that we can also innovate new toys. Don't get me wrong, I am a fan of Mattel. I have a hot wheels/matchbox collection exceeding 100 cars. But there is always room for improvement.</t>
  </si>
  <si>
    <t>My solution are dolls small enough to fit inside toy vehicles. Also, many accessories such as malls, Hotels, buildings made from Lego-like bricks. A toy line of dolls to all vehicles: electric Trains, cars, boats, bikes, you name it. At a reasonable price. The RC cars will have an optional manual transmission. Model Trains have always been my best. There are two types, DC and DCC. DC means direct current and DCC means digital command control. But I think that this hobby needs a fresh take. Sound and lighting without DCC complications. I think that will be a great Idea if model railroading kicks off in India.</t>
  </si>
  <si>
    <t>I think that this production line brings people from age and genders together. It also shows what the toy industry can be if only people open up their minds (and wallets) a little more</t>
  </si>
  <si>
    <t>I personally feel that I am best equipped to offer this solution because my ideas are crazy but at the same time realistic. Being from a commerce background with science friends, I could handle the management and finances while I leave the technical aspect to my friends.</t>
  </si>
  <si>
    <t>December 19, 2020, 1:06 AM</t>
  </si>
  <si>
    <t>Disqualified</t>
  </si>
  <si>
    <t>IFT385</t>
  </si>
  <si>
    <t>prisk2003@gmail.com</t>
  </si>
  <si>
    <t>The main concern for the present day individual is that they spend more time thinking anxiously about what created the problem in the first place than to think 'How do I rectify it'</t>
  </si>
  <si>
    <t>The main problem is getting to a solution efficiently, since more often or not, the problem needs to be solved in a finite time with impressive results.</t>
  </si>
  <si>
    <t>The 'user' group would be teenagers and adults alike. They are the ones who are always worried about something.</t>
  </si>
  <si>
    <t>People do not know how to approach to a solution in an efficient way. They more often or not be anxious about reaching the final destination in a single step. The primary concern that this idea deals with is coming up with a solution.</t>
  </si>
  <si>
    <t>The main step is to STEP OUTSIDE. It can be as simple as going for a walk, cycling at dawn, practicing yoga in the open, or walking barefoot on grass. Gazing at green trees in the sunshine with birds chirping - the feeling would fill anybody with elation and contentment. The point is - being one with nature, at least for a moment. It helps an individual get away from distractions and allows the mind to focus on solutions more efficiently and in an immersive manner. Ideas to rectify any issue will come automatically. The individual who has the problem is the one who knows it in great detail, and is the one who can solve it accordingly. Thus, stepping outside is an efficient way of searching for new ideas and is an ingenious way of having a different outlook regarding any problem.</t>
  </si>
  <si>
    <t>Solutions to problems can be easy to discern. The most simple things, that are true to the foundation, are the most effective. This idea is a beautiful example of that. A moment apart, allows the user's mind to relax and rejuvenate, while at the same time come up with solutions to their problems and even new ideas meanwhile.</t>
  </si>
  <si>
    <t>I can most definitely say that almost everyone has at least once in their lifetime gone through such a simple way of getting new ideas and a different outlook without consciously knowing about it.
This is one of those practices that a selected people use to get new ideas.</t>
  </si>
  <si>
    <t>Disqualified: Nothing related to education redefined</t>
  </si>
  <si>
    <t>IFT393</t>
  </si>
  <si>
    <t>dabholkarshardul480@gmail.com</t>
  </si>
  <si>
    <t>If one engeneer is building a dam and there are people who are living where that the dam is going to build and the engeneer will remove them from the place</t>
  </si>
  <si>
    <t>Where nthe people are living there a dam is going to build so they don't have any place to live</t>
  </si>
  <si>
    <t>They are fresstetade and stressed to find the solution</t>
  </si>
  <si>
    <t>Yes it's problem of living of people</t>
  </si>
  <si>
    <t>The engeneer must take the people to build ht dam and they both have profit</t>
  </si>
  <si>
    <t>The people will also get money of there work and the engeneer will get help to build the dam</t>
  </si>
  <si>
    <t>It's good for the people who stay there</t>
  </si>
  <si>
    <t>Disqualified: Its about building dam</t>
  </si>
  <si>
    <t>IFT404</t>
  </si>
  <si>
    <t>eishaankhatri@gmail.com</t>
  </si>
  <si>
    <t>The problem is the greenhouse gases that are present in our atmosphere. Our goal is to eliminate these gases which would help to slow down the process of excess global warming and will bring back the ideal levels of global warming. Also the high air pollution is one of the problem which is attempted by us to solve.</t>
  </si>
  <si>
    <t>Since the human race has started industrialization or globalization, we are continuously releasing greenhouse gases in the atmosphere and these emissions are going to increase in the coming future. These gases then lead to global warming which then leads to extinct species, homeless people, increasing sea level, habitat loss, and many more things. Our goal is to eliminate these gases and slow down (if not stop) the process of global warming.
Also to reduce the heavy air pollution specially during any festival. So that we easily breathe in open air.</t>
  </si>
  <si>
    <t>The problem of global warming is so urgent and important that if proper measures are not taken properly then we would face serious problems of homelessness, extinct species, habitat loss. We have lost 20% of our species in this century only and if global warming continues we would lose 70% of our species. Scientists have already termed this as the 6th mass extinction. And the other problems makes us ill.</t>
  </si>
  <si>
    <t>Our solution is the machine that we are building to eliminate the harmful gases in the atmosphere. And reduce the air pollution.</t>
  </si>
  <si>
    <t>We are best equipped to offer this solution as we are the future generation which will for next 60 - 70 years on this planet - Earth and we will only have to survive with present resources only so its.Also we want to live as freely as our previous generations have lived on this on earth so its our duty to make this Earth better for us.</t>
  </si>
  <si>
    <t>https://enpower-school.com/wp-content/uploads/elementor/forms/5fee0bc982aa0.pptx</t>
  </si>
  <si>
    <t>December 31, 2020, 11:05 PM</t>
  </si>
  <si>
    <t>Disqualified: idea on air pollution</t>
  </si>
  <si>
    <t>IFT178</t>
  </si>
  <si>
    <t>rawatadhyan04@gmail.com</t>
  </si>
  <si>
    <t>The problem I intend to solve with this product is that of underground water and water shortage in areas with high rainfall. Even though India receives a lot of rainfall we still have a huge problem of water shortage. This product will help reduce that</t>
  </si>
  <si>
    <t>Water shortage is a big problems. It effects millions of people especially the rural people and poor people in general. With the amount of rainfall that we have it shouldn't be a problem if our rainfall is handled properly.</t>
  </si>
  <si>
    <t>This product can be used by everyone. From people who have water shortage even though there region receives a lot of rain(Like the state of Mizoram) to general people who live in big urban cities</t>
  </si>
  <si>
    <t>People are suffering a lot from water shortage. Water is a basic necessity for every human being and it's essential that everybody gets clean water</t>
  </si>
  <si>
    <t>My solution is attaching a compartment over the tanks that people use to store water. We can use this to store rain water. It would be covered by a sieve which would only let water pass. Then in case of water shortage we can use that water and if say there isn't water shortage for a particular time It would also have a pipe attached to it so that we can let that water flow in the and replenish our underground water supply</t>
  </si>
  <si>
    <t>It is a simple modification on an existing product and hence people won't have to work very hard to install it. Moreover as more and more people are becoming concerned about our environment this product gives them a chance to replenish our underground water levels and help the environment. Moreover people who suffer from water shortage can use this simple modification to there water tanks without having to install a full water harvesting system. Also this would be cheaper as this is a modification and would cost less than a water harvesting system.</t>
  </si>
  <si>
    <t>I care for the environment and am really concerned with the way we are treating our planet hence I think that all of us should take small steps to improve environmental conditions and this is my attempt at taking that step.</t>
  </si>
  <si>
    <t>https://enpower-school.com/wp-content/uploads/elementor/forms/5feb2e9a24099.docx</t>
  </si>
  <si>
    <t>December 29, 2020, 6:56 PM</t>
  </si>
  <si>
    <t>IFT181</t>
  </si>
  <si>
    <t>pranavpawar1756@gmail.com</t>
  </si>
  <si>
    <t>NA</t>
  </si>
  <si>
    <t>Our body is not made for non-vegetarian food. Research has proven it. If we consume meat, it affects badly to our body and environment. Animals are treated badly by people for milk, honey, meat,etc.</t>
  </si>
  <si>
    <t>Going vegan is the solution.</t>
  </si>
  <si>
    <t>Everyone has to be vegan. I am a vegetarian,  not eating non-vegetarian now. I am still researching more about this.</t>
  </si>
  <si>
    <t>Yes, this problem is very critical and needs an urgent solution. Our planet is facing a lot of problems.</t>
  </si>
  <si>
    <t>I want to open a vegan cafe in future, which will serve vegan snacks and vegan beverages.</t>
  </si>
  <si>
    <t>If people start becoming vegan, they can observe that they are less prone to diseases. They will feel fresh and energetic.</t>
  </si>
  <si>
    <t>I want to change people's thinking about food and make India great. There are no such vegan cafés and I want to bring that one change.</t>
  </si>
  <si>
    <t>December 29, 2020, 7:37 PM</t>
  </si>
  <si>
    <t>IFT005</t>
  </si>
  <si>
    <t>100noodhariwal@gmail.com</t>
  </si>
  <si>
    <t>In today's competitive world education has lost its real mantra or meaning.</t>
  </si>
  <si>
    <t>शिक्षा वह मंत्र जो पत्थर रूपी जानवर को तरास कर सोना रूपी मानव बनाती है . आज शिक्षा पैसे कमाने का जरिया बनता जा रहा है और मानवता , प्रकृति और नैतिक मूल्य आदि की शत्रु.</t>
  </si>
  <si>
    <t>मानवता को खतरा है।</t>
  </si>
  <si>
    <t>मानवता ही मानव की पहचान और धन है. मानवता पर खतरा यानी मानव के पतन का सकेंत है।</t>
  </si>
  <si>
    <t>नैतिक मूल्य और विद्वानी शिक्षा पर भी विज्ञानीक शिक्षा जितना जोर देना चाहिए।</t>
  </si>
  <si>
    <t>नैतिक शिक्षा व्यक्ति को सही मायने मे मानव बनाती है।</t>
  </si>
  <si>
    <t>यह आँखो देखा हाल है</t>
  </si>
  <si>
    <t>https://enpower-school.com/wp-content/uploads/elementor/forms/5fcb81e145b40.jpg</t>
  </si>
  <si>
    <t>IFT009</t>
  </si>
  <si>
    <t>pulkit8905@gmail.com</t>
  </si>
  <si>
    <t>As india is the largest producer in agriculture but due to inconvenience caused by nature farmers have to go through many up and dows loss in crops etc.</t>
  </si>
  <si>
    <t>Farmers</t>
  </si>
  <si>
    <t>Acc. To condition of farmers being seen and the recession in india can only be solved by improving the condition of the  farmer. As they consist of the largest sector (primary). So it is necessary to focis on agriculture sector</t>
  </si>
  <si>
    <t>My idea is to bring Vertical Farming with A.I. Vertical Farming requires alot man work but it can be reduced by A.I.</t>
  </si>
  <si>
    <t>Vertical Farming can help to protect the crop not even protect it will multipy the    production</t>
  </si>
  <si>
    <t>Because vertical farming require men work and i can resolve that issue</t>
  </si>
  <si>
    <t>December 12, 2020, 10:41 AM</t>
  </si>
  <si>
    <t>IFT015</t>
  </si>
  <si>
    <t>thakarharsh2004@gmail.com</t>
  </si>
  <si>
    <t>Stagnant Stock in stores which cannot be converted into cash.  These problem will also give retailers an competitive advantage against E Commerce giants.</t>
  </si>
  <si>
    <t>Usually at month end 20 out of 4 stocks is carry forwarded to next year but these won't happen anymore because of us.</t>
  </si>
  <si>
    <t>Starting with retailers concerned in FMCG supply chain then optimising FMCG supply chain later on expanding</t>
  </si>
  <si>
    <t>Retailers are one of the most important category for both economy and business and there future is in danger because of such unhealthy competitive advantage to e commerce players.</t>
  </si>
  <si>
    <t>A platform for retailers where they can exchange there stagnant stock (only for retailers).  Later optimizing supply chain as we would have good relations with retailers. We have information and it is wealth. Finally creating a marketplace      platform where verified retailers will sell directly to customers.</t>
  </si>
  <si>
    <t>Stagnant stock can be converted into cash or can be exchanged with other products if deal is available. As FMCG supply chain would have been optimized by us retailers could get and sell stock at lower price and thus we would be now ready to defeat E commerce players.</t>
  </si>
  <si>
    <t>My father is an trader/distributor and so I heard him saying problem that retailers faced. I personally have a greater knowledge about problem with proper stage in stage solution as in this world online selling is important but only after optimising whole supply chain. Find problem and then coming up with its solution not only that also giving proper way of acquirung the goal is also important and that where we have aced out</t>
  </si>
  <si>
    <t>December 15, 2020, 10:51 PM</t>
  </si>
  <si>
    <t>IFT020</t>
  </si>
  <si>
    <t>rohan17ai@gmail.com</t>
  </si>
  <si>
    <t>India, the third world country, a country which is rapidly achieving the 4th Industrial revolution is undoubtedly on it's way to join the list of developed countries.
But we need to understand that the reality is completely different. We need to learn from countries like China and Japan that all the developed countries today, had invested
in its people to make them a resource and to do so they invested in education and skill development. Undoubtedly ,India is also following the same path but unfortunately 
current circumstances have already unveiled the arrangements of the Indian Government, considering the current scenerio of online classes we will definitely come accross the considerable 
problem of unavalibility of resoursces among millions of poor kids ,We do dream of a country where every kid can access every single technology to make his/her reading interesting ,which will 
be very beneficial for their families , the country and even for the whole world, but are we really approaching the idea, I guess not.
Their are several kids all over the country who can't even access smartphones , tablets, laptops and many more educational gadgets for their online classes and many more purposes.
This is really affecting not just their lives but also affecting the country's economy and this needs to be solved.During the time of lockdown ,even we have heard several news about suicides among 
children and several parents just because they couldn't meet the needs.</t>
  </si>
  <si>
    <t>The very severe problem we are solving is related to the availibility of resources among several poor kids and this is really affecting their lives. Approximately 1.6 million kids just in Delhi are
being unaddressed to the current scenerio of online classes .They dont have access to any gadget for the purpose. The stakeholders like ed-techs,schools and the government are making a hike of 
introducing a new way of studying by just sitting back at home,but unfortunately the reality is still forbidden.We need to understand that before availing online classes we need to avail resources to access the online classes.
But We,EdGets are upto solving this problem.</t>
  </si>
  <si>
    <t>The user group we are solving this problem for are mainly the poor kids who don't have access to such devices and goods and are kept away from the right of quality education and the parents who can't avail their 
kids the resources for the purpose due to financial problem or residing in remote areas.Moreover,our solution is also usefull to students who want to help such kids and to the sellers who can really avail such students some usefull gadgets at a very low price.
Also our solution will be a promotional platform for several  of our partners.Since our solution will be a place for students, several companies will also love to promote themselves on our platform.</t>
  </si>
  <si>
    <t>The reason we think this problem is really critical is that, we have heard of severals news about the increasing cases of suicides and depressions among students of today.Their are several possible reasons but the lack of resources and greater expectations from one 
can lead the student to take wrong steps.Moreover, this problem will cause a big rate of illetracy ,which will itself increase and ratio of unemployment and poverty
which will definitely affect the country's economy. Therefore,this problem is really severe for the country.</t>
  </si>
  <si>
    <t>Talking about our solution,We mainly deal with ensuring the availibility of educational gadgets for all students.
EdGets recreates the practice of borrowing and lending of educational gadget like electronics, books, notes ,etc among different group of students in a different way.
EdGets does the task with full legitemacy and security of an individual.EdGets is a place where students in your region can borrow or lend several Education-Pooling 
gadgets ,notes and even provide electronics like Printer, Laptops, CPU, etc on rentals so that their learning doesn't stop just because of resources.EdGets can be accessed through a website and further with a full fledged application.
Unlike other competitive ideas, EdGets cares about the easy accessibility of students to every gadget which can help them to make reading interesting.
-----Revenue Model-------
EdGets can generate a good revenue through various sources and can even capture a huge profit out of it .
since, Advertisement has been one of the greatest sources of  income.  Featuring original and exclusive products like Books ,Tablets ,and Laptops by some of the biggies like Pearson,
HP, Amazon, etc, will lead to generation of a good sum of money.
Moreover ,we are providing subscriptions of online learning platforms like Unacademy at lowest ever prices.
The expected revenue of EdGets can be made out to be comparable to some of the big e-commerce ,edtech and e-learning startups.
For a better understanding of our idea , please watch the attached  video .</t>
  </si>
  <si>
    <t>Unlike other competitive ideas, EdGets cares about the easy accessibility of students to every gadget which can help them to make reading interesting.We dont just think about a good revenue but we are actually focussed in solving the problem
in a very efficient way, where no student goes back bare handed and every student finds solution for their problem or deficiency.According to EdGets,this is actually a very efficient way to solve the problem and this will actually work.
Undoubtedly,Our idea can definitely be proven effective and can solve the problem with for security and legitemacy.</t>
  </si>
  <si>
    <t>The reason we consider ourselves the best to solve this problem is that we ourself are students and we know the importance of such gadgets and somehow it is not even possible for us to access every single gadget, so the solution will help us too to lend and borrow
edu-gadgets for working efficiently. Therefore we witness the problem at a personal level too, that's why we consider ourselves as the best to offer this solution.</t>
  </si>
  <si>
    <t>https://enpower-school.com/wp-content/uploads/elementor/forms/5fda0456ed22e.mp4</t>
  </si>
  <si>
    <t>December 16, 2020, 6:28 PM</t>
  </si>
  <si>
    <t>IFT154</t>
  </si>
  <si>
    <t>getpeopleio@gmail.com</t>
  </si>
  <si>
    <t>Hello  Experience the Journey of Venture Building IDEA Labs – Pro - ENpower team,
My name is Kennith I’m working for GetPeople.io, I think that we have the perfect audience for your website enpower-school.com, we can bring you up to 500 targeted visitors per day that will like your content and buy your product.
You can try our service for free right here : https://bit.ly/2QSRqnQ
Of course, our website traffic is niche and location targeted. :)
If you have any question you can reach out to me at hello@getpeople.io, I look forward working with you !
Best regards,
Kennith from GetPeople.io</t>
  </si>
  <si>
    <t>December 28, 2020, 11:35 PM</t>
  </si>
  <si>
    <t>https://enpower-school.com/courses/experience-the-journey-of-venture-building-idea-labs-pro/</t>
  </si>
  <si>
    <t>IFT155</t>
  </si>
  <si>
    <t>offerzone12312@gmail.com</t>
  </si>
  <si>
    <t>As a 15 year old I had attend many birthday parties and events of kids of age 1-8 year old and talked a lot with them, I discovered a big problem that even if its their birthday they could not feel special, They just cut cakes at their home and some parents call their 3-4 friends and that's it. They could not  feel like today is our day and we are god (not god) kind of feeling is missing. This covid time made this situation more bad no friends no parties children are stuck at home, and I believe that this problem needs an urgent solution.</t>
  </si>
  <si>
    <t>The problem is huge and market size I think is large. In future we can turn into full party solution app by adding few more services for youth and adults.</t>
  </si>
  <si>
    <t>Children aged from 0 to 8 YEARS</t>
  </si>
  <si>
    <t>I believe that problem is very critical and needs an urgent solution because of the corona virus problem has accelerated and if implemented now, There are high chances of it getting viral and people getting habituated to use our services.</t>
  </si>
  <si>
    <t>As we all know kids love cartoons and they just are mad for them, so what we can do is we can design cartoons similar to what they like ( different for both boys and girls). Our employee would wear  costumes of those cartoons and would go to  kids party and play, dance and show some magic tricks to them and make them feel special. Cakes and Games, Gifts will also be sold trough our apps which will help us add extra income and Parents will also dont have to go anywhere for those  stuffs.</t>
  </si>
  <si>
    <t>Our product makes kids happy which ultimately makes their parents happy and parents dont have to go anywhere for any stuff like cake and gifts. WE will provide them one stop solution for their kids party.</t>
  </si>
  <si>
    <t>I believe that I am best equipped because I have all the future plans ready and I am fully confident that this idea will work, As per my research there is nothing like that in the market. I believe in my plans and idea and I have complete faith in it.</t>
  </si>
  <si>
    <t>December 29, 2020, 12:59 AM</t>
  </si>
  <si>
    <t>IFT160</t>
  </si>
  <si>
    <t>kenzokazuto22@gmail.com</t>
  </si>
  <si>
    <t>The Death Of Army people and old persons. A helping hands to doctors and parents whose work is large . And the future raisings of Ai</t>
  </si>
  <si>
    <t>The problem which i have seen is many army fighters they die they sacrifise thier life for us thier family will be on road cant we help them.
of course we can do by creating a robot using best Ai to protect our country and helps army to survive</t>
  </si>
  <si>
    <t>i want to solve the problems of army people and family and old people</t>
  </si>
  <si>
    <t>Yes this is critical if we did not take an action it will effect the families with sadness and hurt the country emotional state because we lost a person who sacrifised for his country. if it is a robot any thing doesnt happen to anyone</t>
  </si>
  <si>
    <t>Just i want to create a robot which helps army people and old people in case of army people the robot scans the brain waves of army people and fight according to them, In case of old people the robot will be as a family doctor..... I have created this robot Prototype Real model mode need to be done after some tests</t>
  </si>
  <si>
    <t>Pain is of two types : emotional pain , pain . emotional pain is one which we cant forget .......   Robot is not of any family it dont have a parent and its an  Ai that fights and all people and families will be safe</t>
  </si>
  <si>
    <t>Problems Were every where. there will be some people who will think of a problem to create solution. now the question is : Why do you think you are the best equipped to offer this solution ? . Its our wish to think our idea is best or not but i have hope my idea is best because Iam working on this robot for two years and my hard work will get best.....</t>
  </si>
  <si>
    <t>https://enpower-school.com/wp-content/uploads/elementor/forms/5feaceaf0c614.docx</t>
  </si>
  <si>
    <t>December 29, 2020, 12:07 PM</t>
  </si>
  <si>
    <t>IFT547</t>
  </si>
  <si>
    <t>ak7042003@gmail.com</t>
  </si>
  <si>
    <t>The basic problem is lack of awareness about what we are thinking of doing. And the most common problem that I am facing too is of course lack of money . All these are problem for me just because I don't have a very strong reason to star my business right away.</t>
  </si>
  <si>
    <t>I was wondering that what all things I need to start my business right now,and what I don't have is my problem and therefore my problem is lack of awareness because I don't know that from where to start, how to execute what I am thinking. Money is definitely a problem because I am 18 years old and at this age I have not be able to earn what I require to star my business, I have mentioned it as a problem just because if I get the amount of money I require I can start my business right away.</t>
  </si>
  <si>
    <t>I am attempting to share the idea for solving the problem of 16 - 18 years student.</t>
  </si>
  <si>
    <t>Yess this is not just my problem but thousand's of my kind. So it definitely require an urgent solution.</t>
  </si>
  <si>
    <t>I have the idea for solution too. And the idea is that if most of the successful business man can share their experience and how they started their business. That will help a lot for getting an idea for how can we start. And they can also spread the awareness about how to execute your thoughts.</t>
  </si>
  <si>
    <t>This can show them a clear path to start their business.</t>
  </si>
  <si>
    <t>I can't offer the solution because I am not an experienced person but yess what I am thinking can be the one of the best way to solve the problem if executed in the right way.</t>
  </si>
  <si>
    <t>January 7, 2021, 2:16 PM</t>
  </si>
  <si>
    <t>IFT552</t>
  </si>
  <si>
    <t>tanushree.30088@bhagwanpur.sunbeamschools.com</t>
  </si>
  <si>
    <t>The cosmetics and body care products which we all use in our daily life have different ingredients mentioned at back, but we don't care to read all those, some of which might be harmful to us.</t>
  </si>
  <si>
    <t>It's certain that some people are allergic to some body care products or cosmetics they use. It may be because of the harmful chemicals present in them. Although the ingredients are mentioned on the back we tend to egnore them or sometimes they are just too complex to understand. And we buy them anyway.</t>
  </si>
  <si>
    <t>Almost everyone use packed body care or cosmetics products in our day to day life. So this idea can be helpful for all.</t>
  </si>
  <si>
    <t>Even if the company claims that their products don't contain any chemicals, they might be there just written in more complicated names, we don't know about. This might cause harm to our skin and body, as we use them almost everyday. So its important to know what are we applying on our skin.</t>
  </si>
  <si>
    <t>My solution is to make a platform (website or app) which would tell and explain the content present in any particular product which we scan. It would explain every ingredients present in the product and if are they harmful or not. It can also tell their common names.</t>
  </si>
  <si>
    <t>By scanning a product by my app or website they will get an instant information about each and every chemicals present in them, weather they are harmful or not. Thus, the person can make a decision to buy it or not, will it do any damage to their body/skin ect.</t>
  </si>
  <si>
    <t>Because this is my original idea, and I can understand the situation they are facing. And after all this I came with this idea. Which i think only i can explain.</t>
  </si>
  <si>
    <t>January 7, 2021, 4:43 PM</t>
  </si>
  <si>
    <t>IFT553</t>
  </si>
  <si>
    <t>akshatnailwal3051@stteresaschool.in</t>
  </si>
  <si>
    <t>yes</t>
  </si>
  <si>
    <t>the problem is good but not great</t>
  </si>
  <si>
    <t>wsqws</t>
  </si>
  <si>
    <t>WSQWSQWS</t>
  </si>
  <si>
    <t>QSSWQS</t>
  </si>
  <si>
    <t>Qswqs</t>
  </si>
  <si>
    <t>wsqSSWQ</t>
  </si>
  <si>
    <t>January 7, 2021, 4:47 PM</t>
  </si>
  <si>
    <t>IFT564</t>
  </si>
  <si>
    <t>naysaarora@yahoo.com</t>
  </si>
  <si>
    <t>January 7, 2021, 8:34 PM</t>
  </si>
  <si>
    <t>IFT211</t>
  </si>
  <si>
    <t>parkhiarora1@gmail.com</t>
  </si>
  <si>
    <t>Water conservation and management.</t>
  </si>
  <si>
    <t>We have to conserve water and manage it properly.</t>
  </si>
  <si>
    <t>Water conservation technices and management too.</t>
  </si>
  <si>
    <t>Water is the most important in pur life and it is important to cpnserve it for future</t>
  </si>
  <si>
    <t>The fact that more and more regions across India are facing droughts and severe water scarcity with each passing year should worry us all enough to seriously start using water more frugally.
A 2018 study ranked India first among 10 countries facing an acute shortage of potable water. 16.31 crore people live without access to safe water close to their home in this country. Which means, just about 19 per cent of the country’s population has access to clean water.</t>
  </si>
  <si>
    <t>It will help many people in the world as most of our population faces this problem.</t>
  </si>
  <si>
    <t>Because i think that i am one those who can get this problem as many people faces this arpund us.</t>
  </si>
  <si>
    <t>December 30, 2020, 11:26 AM</t>
  </si>
  <si>
    <t>IFT479</t>
  </si>
  <si>
    <t>sanskarprabhakar@gmail.com</t>
  </si>
  <si>
    <t>The problem is that 90% of the companies are seeing the market and opportunity in taking their business online, but in order to make it successful they tend to pay thousands of dollar in advertisement on social media platforms but fail to get proper advertisement and targeted audience for their business.</t>
  </si>
  <si>
    <t>To sum up the problem is companies are wasting a lot of money on wrong advertisement because of lack of proper knowledge and we here at moneykicks.co have a solution to this problem with influencer marketing and targeted audience approach.</t>
  </si>
  <si>
    <t>I'm trying to solve the problems of the emerging companies or stores who are following the Trend and taking their business online but are wasting a lot of money in advertisement</t>
  </si>
  <si>
    <t>This problem is critical because as an emerging company you start your business online with very less fund and a lot of hope and without proper knowledge their hard earned money will go in vain and their hopes will also die. So basically many startups and companies could be generating thousands of dollar per month but fail to do so as they spend a lot of money on the wrong thing and ultimately run out of funds and close the business.</t>
  </si>
  <si>
    <t>The solution to this problem is influencer marketing, moneykicks.co is a platform for companies to get their products or services go viral. Basically people are attached to social media icons like instagram and tik tok stars a lot more and are easily influenced by them. So we combine the 2 factors and make the influencers promote the company, the idea is if 20 influencers have your website link posted on instagram or any other social media platform the chances of getting your product is much higher than by using fb ads or other means of advisement and this will not be very costly so it will be worth it.</t>
  </si>
  <si>
    <t>We clearly save them from wasting a lot of money on advertisement when advertisement could be done l lot cheaper and effectively by out methods</t>
  </si>
  <si>
    <t>We are the best equipped to offer this solution because I've worked for 2 years now on social media and haven't seen any company offering this opportunity or idea and for the time being we have a network of 200000+ followers on social media platforms and so it will be far more easier to get the influencers together and advertise as we have the experience and skill level</t>
  </si>
  <si>
    <t>January 5, 2021, 4:24 PM</t>
  </si>
  <si>
    <t>IFT475</t>
  </si>
  <si>
    <t>mmoabamsa@gmail.com</t>
  </si>
  <si>
    <t>Those were wise words, but from what I have observed, most organization's don’t heed them when tackling innovation projects. Indeed, when developing new products, processes, or even businesses, most companies aren’t sufficiently rigorous in defining the problems they’re attempting to solve and articulating why those issues are important.</t>
  </si>
  <si>
    <t>people are not able to define there problem statement.</t>
  </si>
  <si>
    <t>Our user group is ''India's biggest youth hunt '' competition.</t>
  </si>
  <si>
    <t>if we don't give a chance to the people to define their problem statements, it will be a big problem in the society.</t>
  </si>
  <si>
    <t>we should give a chance to the people to define there problem statement, it will reduce the problems.</t>
  </si>
  <si>
    <t>By this we can reduce the pain of people by giving a chance to explain their problems.</t>
  </si>
  <si>
    <t>i don't think i am confident that  i am the best, because i made this presentation by doing so much of hard work</t>
  </si>
  <si>
    <t>https://enpower-school.com/wp-content/uploads/elementor/forms/5ff437a776313.pptx</t>
  </si>
  <si>
    <t>January 5, 2021, 3:26 PM</t>
  </si>
  <si>
    <t>IFT314</t>
  </si>
  <si>
    <t>agamya2306@gmail.com</t>
  </si>
  <si>
    <t>1.Lack of interest and attentiveness among students about online classes 
2.Teachers not able to interact with the students and clear their concepts</t>
  </si>
  <si>
    <t>I am resolving the problem under the area of teaching and learning techniques. The online classes are going in this new normal developed by Covid -19 and the presenters, as well as the students, are neither interested in attending online classes nor they are attentive. They do not get the mood or the scene like a class going on. Moreover, the instructors tend to focus on the theory rather than practicals while it also lacks face-to-face communications, so the teachers are also not able to interact or clear the concepts of the students.</t>
  </si>
  <si>
    <t>I am attempting to solve the problem for the teachers and students who are attending the online classes especially those who are not interested in attending the online classes or face struggles in learning the concepts. As we know that pictures always outlast in the mind rather than the words, Therefore, with my solution they can discover and clarify their concepts easily and in an exciting way.</t>
  </si>
  <si>
    <t>This problem is very important and is crucial to solving as it seems that the online classes are going to continue for further sessions but without student’s interaction and attention, it would seriously be a waste of time for the teacher to teach as the teachers have to teach the topics again before exams. As we cannot clap from one hand, so it would make the education successful with learners’ attention and interaction plus the teachers teaching interestingly together.</t>
  </si>
  <si>
    <t>My prototypical solution is executing online classes holographic so that it senses like the teacher is standing in front of the students. These touchable holographic representations and videos are like a present to eyes and are very realistic as it feels like the thing is really existing in front of us. Moreover, touchable holographic models and pictures related to the topic can be used to show students. For example, holographic video of Earth-orbiting in the solar system for geography, the movement and structure of the body of animals as well as humans etc. I have prepared an easy and cheap prototype of a prism-like hologram device that can be used by students at home to see holographic models and online classes. I am still working on the touchable and interacting thing so that the students can interact with the pictures and models as they work on their phones! Prototype pics are in the file attached.</t>
  </si>
  <si>
    <t>It will reduce the pain or support the user to grab the content very quickly which will save time also help the learner to have clear concepts. As we know that pictures remain always in the mind rather than words so it will help the students to learn quickly and be attentive in the classes. Students by being attentive in online classes can retain information better and be more motivated to engage in the lesson. By staying concentrated our creativity will kick too! It will also serve to save time as if the theory gets finished then the teachers will make the children practice which is always beneficial!</t>
  </si>
  <si>
    <t>I am best equipped to offer this solution as my parents and teachers are very supportive. I also have an interest in science and I want to become a scientist or an astronaut when I grow up. And the journey has to start now. I want my nation to be the best known around the world and make it proud. I also want to help people solve their problems and live peacefully. What would be the importance of we living if we don't work for our nation?</t>
  </si>
  <si>
    <t>https://enpower-school.com/wp-content/uploads/elementor/forms/5fed6a9052544.pdf , https://enpower-school.com/wp-content/uploads/elementor/forms/5fed6a9053a3a.mp4</t>
  </si>
  <si>
    <t>December 31, 2020, 11:37 AM</t>
  </si>
  <si>
    <t>IFT643</t>
  </si>
  <si>
    <t>Deepal</t>
  </si>
  <si>
    <t>divyasijwali@gmail.com</t>
  </si>
  <si>
    <t>Sijwali</t>
  </si>
  <si>
    <t>Tagore International School</t>
  </si>
  <si>
    <t>The pandemic has exacerbated the disparities between rich and poor students as a lack of resources hinders the latter’s access to quality education. Project Sehpaathi aims to bridge this gap.</t>
  </si>
  <si>
    <t>From the very beginning, the members of the LGBTQIA+ and the acid attack survivors have been conditioned to prejudice stemming from years’ worth of stereotyping and social conditioning. Their situation in India is so bad that they are often seen begging on roads and most of them don’t have decent jobs because of the lack of basic education. The pandemic (Covid-19) has forced a shutdown of schools, institutions and workplaces across India, and the world. So, the idea to start the project ‘Sehpaathi- one for all and all for one’ was conceived. The main aim of our project is to foster and develop seamless learning &amp; development opportunities for the neglected part of society and to build strong relationships with EWS students, acid attack survivors, and the LGBTQIA+ community thereby making it an inclusive space for all to learn and exchange skills.</t>
  </si>
  <si>
    <t>Our project aims to provide support to the members of the LGBTQIA+ community, acid attack survivors and students from underprivileged households. The pandemic has been tough for everyone but more so for people whom the society has people need our support during this time  by giving training sessions and activities that can help shape their  personalities.</t>
  </si>
  <si>
    <t>Education is our basic right, one that enables us to work towards creating an inclusive society as well as lead us to a better life.
Over the course of the past year, as work and schooling shifted online, many of us have had the resources to help us navigate these changes in a comfortable home environment. However, many students, particularly from underprivileged backgrounds and the members of some communities have faced a number of challenges in this regard. Most schools for the underprivileged have not been equipped to take online classes for their students. This time un-utilised for these students, specially for classes 10 and above will have a disastrous effect on their career and hence the urgent need to provide basic help to these students for them to sail through these tough times. Through our project Sehpaathi we aim to provide the support these people might need, be it enhancing their academic and non-academic skills or providing livelihood opportunities to their family members.</t>
  </si>
  <si>
    <t>Our solution started as a project. Our project was based on 3 UN SDG goals namely SDG 3 (Good health and well- being) SDG 4 (Quality education) and SDG 5 (Gender Equality).We made a team of ten students and started off by sending recorded lessons to Samarpan school, Navodaya Vidyalaya, and Sanshil Foundation. In addition to that, we along with my team conducted online sessions with these students every weekend. We had intensive training sessions on topics such as Soft Skills, Public Speaking, Interview Skills, and eloquent delivery, all of which help students in inevident but imperative ways. We also incorporated several customized activities trying to incorporate learning in the sessions in a fun and interesting way.  After every session, we send Google feedback forms so that we can learn ways to improve, know what they want to learn, and how much they learned from the session! 
A part of these sessions was also dedicated to direct conversations between the students of the schools where they all speak about general issues they face in daily life, and personal solutions, by means of which both parties have major takeaways from the sessions. Topics such as hygiene, physical well-being, mental health, anxiety, stress, and the like have been touched base upon.
Sessions with an aim to create a dialogue about ‘Gender Equality’ were also conducted wherein students shared their personal experiences and vocalized their thoughts and feelings. These experiences were indeed very inspiring for all listeners. The most heartwarming part of these sessions was the fact that everyone present agreed that the social bias on the basis of gender was wrong, giving us hope for a non-discriminatory society in the future. 
 And for effective learning, we created WhatsApp groups with 5-6 students and 2 mentors each so that the students could get personal attention and we could resolve their queries and doubts instantly. I also created our very own web page on grammar topics for their ease. This was done to make a personalized web page that the students could access and understand the concepts according to their existing level of English.
With the LGBTQIA+ community (Lakshay Foundation) and the acid attack survivors (Chhanv Foundation), we had online sessions on topics like physical and mental wellbeing, presentation skills, communication skills, and soft skills, to make their lockdown more fruitful. By doing so, it not only benefited them but also us as we improved upon our confidence and Speaking skills. The main aim was to foster open dialogue with the marginalized section of the society and the youth.
Mental health is as important as physical health. Although you often can’t see it with your eyes, a mental health problem can cause serious damage to a person’s life and well being. Hence, we made sure to hold sessions on mental health and well being for not just students but also acid attack survivors and the LGBTQIA+ community.
Under our business project, we are motivating schools across the city to initiate similar campaigns thereby also training and guiding from basics of creating a team, planning and executing such a project. We have made a brochure (which will be uploaded in the uploads section) which we have circulated to different schools so that schools not only work for the LGBTQIA+ community but also start their very own projects, where we will provide our full support to them from initiating to establishing their projects. With this, we started working with St Mary's School in Meerut. With our collaborations with RethinkIndia, UNODC South Asia, YAH India and CAF India, we have strongly worked in the arena of education.</t>
  </si>
  <si>
    <t>Our work with project Sehpaathi was aimed at creating a holistic solution for issues and concerns that students from an underprivileged background may be facing within the sphere of education. This was centred around conducting online sessions, sending recorded videos and gathering feedback. Our online sessions, designed with the idea of enhancing education were not just limited to academic requirements but also focused on skill building, mental health and value promotion. In these sessions, we tried to create a comfortable and interactive atmosphere for the students by asking as well as answering questions, conducting fun activities, showing videos etc. We recorded these sessions and other lecture videos and shared them with the students, allowing them to watch these at their own time and pace. An important aspect of our endeavor was to have a feedback mechanism in place which we did through regular circulation of google forms. This enabled us to assess their specific needs and requirements and allowed them to anonymously give us feedback.</t>
  </si>
  <si>
    <t>Project Sehpaathi highlights inclusivity and accessibility with respect to education. In our efforts towards this cause, the role of youth and students has been fundamental. We, as students, understand issues and concerns other students face, whether these involve attention issues in an online class or difficulty understanding a concept. This thus gives us an advantage in connecting with the students of schools we have worked with. However, as students, we also understand our limitations in providing solutions as we ourselves are still learning and growing. That being said, we do believe, it is important to contribute and bring about change, however little it may be. In this regard we have been guided by our teachers and other organizations we have collaborated with. This has allowed us to make Project Sehpaathi a student-led initiative aiming towards making education accessible and inclusive at low costs.</t>
  </si>
  <si>
    <t>https://enpower-school.com/wp-content/uploads/elementor/forms/5fffad5f1f015.pptx</t>
  </si>
  <si>
    <t>January 14, 2021, 8:03 AM</t>
  </si>
  <si>
    <t>IFT644</t>
  </si>
  <si>
    <t>superruia2007@gmail.com</t>
  </si>
  <si>
    <t>During this pandemic many students have to work from home and teaching through a screen is not only difficult but supervising students is also one of the biggest conflicts in education.</t>
  </si>
  <si>
    <t>Students sometimes lose interest or do something other than paying attention in class as online school can sometimes be monotonous.</t>
  </si>
  <si>
    <t>We attempt to solve the problem of the hardworking teachers and students by developing an interactive website that will be unique while being interesting.</t>
  </si>
  <si>
    <t>None of us know how long the online education scheme may be necessary to carry out and students especially in higher classes have to concentrate on what is being taught for their examination.</t>
  </si>
  <si>
    <t>The IVW (Interactive Virtual Website) is created by using different case- studies of online learning. This website will create opportunities for pupils to interact with subject experiments, with the teacher, and do the learnt experiments at home.</t>
  </si>
  <si>
    <t>The insights and tools for devising a structured learning experience will be provided. It will certainly help not only full professors but also associates to develop online opportunities that will help children more interact with experiment content and the teacher.</t>
  </si>
  <si>
    <t>The knowledge from the research will help promote an exchange of ideas and information among the fellow students.</t>
  </si>
  <si>
    <t>https://enpower-school.com/wp-content/uploads/elementor/forms/5ffd230c6dbb4.jpeg , https://enpower-school.com/wp-content/uploads/elementor/forms/5ffd230c6e1b6.jpeg , https://enpower-school.com/wp-content/uploads/elementor/forms/5ffd230c6ea60.jpeg</t>
  </si>
  <si>
    <t>January 12, 2021, 9:48 AM</t>
  </si>
  <si>
    <t>IFT 645</t>
  </si>
  <si>
    <t>diakang1505@gmail.com</t>
  </si>
  <si>
    <t>Our team is targeting the mental and emotional health struggles faced by school-going children and teenagers. We hope that our idea helps in making their lives better and easier.</t>
  </si>
  <si>
    <t>The 'user' of our idea is school students in India. Nowadays, emotional and mental health struggles are faced by at least 80% of school children, by creating/developing this app we hope that we can reduce a minimum of 30-40% of the school children facing this problem.</t>
  </si>
  <si>
    <t>We think it is a crucial and important topic that needs urgent attention. As it has been proved over and over by the actions of school-going students in form of bullying, harassing, etc as hurt people. We also believe that people suffering from emotional and mental health issues often think that the issue is small and take it lightly and because of this they ignore it and don't disclose it to anyone. So we look forward to building this platform so these people can open up.</t>
  </si>
  <si>
    <t>After understanding and researching our topic, we have come up with a solution to create/develop an app wherein school students in India can share their problems and views to help each other.</t>
  </si>
  <si>
    <t>By providing a safe place for students to share feelings and concerns as well as be a mentor for a peer who needs it, the student community in India will become a source of strength and progress as well as having compassion for fellow humans through understanding what they go through.</t>
  </si>
  <si>
    <t>As experienced teenagers of this topic, we understand how hurtful and bad it is to suffer from emotional and mental health issues. And so as being experienced with the issue we think we can understand people who are going to use the website and help them with accurate and helpful advice.</t>
  </si>
  <si>
    <t>https://enpower-school.com/wp-content/uploads/elementor/forms/5ffb476e2b419.docx</t>
  </si>
  <si>
    <t>IFT 650</t>
  </si>
  <si>
    <t>anupamadhakan111@gmail.com</t>
  </si>
  <si>
    <t>Dhakan</t>
  </si>
  <si>
    <t>Pawar public school kandivali</t>
  </si>
  <si>
    <t>The COVID-19 pandemic has affected educational systems worldwide, leading to the near-total closures of schools, universities and colleges.
Most governments decided to temporarily close educational institutions in an attempt to reduce the spread of COVID-19.[1] As of 30 September 2020, approximately 1.077 billion learners are currently affected due to school closures in response to the pandemic
School closures impact not only students, teachers, and families.but have far-reaching economic and societal consequences.</t>
  </si>
  <si>
    <t>The impact was more severe for disadvantaged children and their families, causing interrupted learning, compromised nutrition, childcare problems, and consequent economic cost to families who could not work.
In response to school closures, UNESCO recommended the use of distance learning programmes and open educational applications and platforms that schools and teachers can use to reach learners remotely and limit the disruption of education.</t>
  </si>
  <si>
    <t>The user group involve in the problem are schools, teachers parents, relatives and community education boards coaching classes online learning government of country</t>
  </si>
  <si>
    <t>The problem of education is quite too critical and it need an urgent situation becuase if this huge problem doesn't gets an urgent solution the one of the side effects will be that most of the students have lost the interest In academics. And they are not attending online classes and are only consertated in scoring marks in online examination. By copying</t>
  </si>
  <si>
    <t>The future is thus a complete revolution in education. Traditional education is surely going to be replaced with a much more innovative model. A model that is student oriented, a model that is flexible, a model that is available for all, a model that can be tailor made, a model that defines education in totality. Every factor that has been associated with traditional education shall continue to stay but will be redefined. Students become the centric point. Teachers evolve as mentors and facilitators, classrooms get transformed in to digital eLearning centres, examinations redefined as assessments, Universities which would become collaborative centres. This is how we would perceive education and the future is all about of exchange of knowledge and all the factors associated are redefined and here to stay.</t>
  </si>
  <si>
    <t>My idea will give a distinct benefit to users by developing their interest in education</t>
  </si>
  <si>
    <t>The future of the world is largely driven by a combination of knowledge plus skills. Technology will continue to be a powerful tool for achieving tasks with greater precision and efficiency, but problem-solving skills will have to become an integral part of the education process.
The most important component of education will necessarily fall within the domain of Socio-Emotional learning. People will have to learn to be kind, compassionate, sensible and sensitive to one another, to society, environment and to the world at large. Without this, the entire education edifice of great intellectual or scholastic content will become meaningless.</t>
  </si>
  <si>
    <t>IFT 651</t>
  </si>
  <si>
    <t>susankanadia29@gmail.com</t>
  </si>
  <si>
    <t>https://enpower-school.com/wp-content/uploads/elementor/forms/5ff9ba5260e41.pptx</t>
  </si>
  <si>
    <t>January 9, 2021, 7:44 PM</t>
  </si>
  <si>
    <t>IFT 652</t>
  </si>
  <si>
    <t>anujsharma16126@cambridgefoundationschool.com</t>
  </si>
  <si>
    <t>I made a ppt on education redefined in this PPT ideas the concern about education in our country and worldwide situation of education of the poor people in this PPT I made 10 slide which reflect the situation of the poor people and the Government of India for how how are these people giving education at the time of coronavirus and what our government is doing for proper education of children's I also tell about and give my opinion and thoughts about what I think ok is wrong or correct about it all the education system of India and worldwide as we all know that India is a very densely and diverse country with collaborate with all types of religion and caste in a country like India  it become very hard to give proper education two children.</t>
  </si>
  <si>
    <t>https://enpower-school.com/wp-content/uploads/elementor/forms/5ff751e45b27f.pptx</t>
  </si>
  <si>
    <t>January 7, 2021, 11:54 PM</t>
  </si>
  <si>
    <t>supritasonu9@gmail.com</t>
  </si>
  <si>
    <t>The problem in our education system is that it shows studying as a burden which we have to carry until we complete our education, but it is not the truth, and it needs to be changed and studying should be showed in a fun way.</t>
  </si>
  <si>
    <t>Studying is just mugging up answers nd writing them in exams as they are is the perspective of most of the students in schools because it is showed to them in the same way by the parents and teachers and they are told to fetch marks in the exams but they should also be knowing that what have they learnt in the class and should apply it in our day to day life .</t>
  </si>
  <si>
    <t>The user group problem is about the expectations parents put on their children like get 90% in boards , get admission in this college but that is wrong , the children must be given their own freedom to choose the field they want to get into.</t>
  </si>
  <si>
    <t>I believe that this problem must be solved urgently because the children in the country today will be the adults of our country tomorrow ,so as soon as we re-define education for them it will be equally beneficial for the future of our country.</t>
  </si>
  <si>
    <t>My solution is that students must be given a chance to teach and it will definitely create a type of enthusiasm and confidence in them which will surely inspire and motivate them to study more but in a fun manner and with interest.</t>
  </si>
  <si>
    <t>My solution gives a distinct benefit to users because it is teaching the students to be ready for the future just like an interview which they might give in their near future by being confident and fully prepared for a topic they have chosen.</t>
  </si>
  <si>
    <t>I think that I have the best occupied solution because it does not require effort but it is giving you great results by boosting up your confidence and help you to self motivate yourself.</t>
  </si>
  <si>
    <t>January 17, 2021, 2:05 PM</t>
  </si>
  <si>
    <t>Mobile</t>
  </si>
  <si>
    <t>Notes</t>
  </si>
  <si>
    <t>Rathoda</t>
  </si>
  <si>
    <t xml:space="preserve">lotus valley int school </t>
  </si>
  <si>
    <t>Gurgoun</t>
  </si>
  <si>
    <t>SAB member</t>
  </si>
  <si>
    <t xml:space="preserve">No partner </t>
  </si>
  <si>
    <t xml:space="preserve">cant find name </t>
  </si>
  <si>
    <t>ranitgorai2005@gmail.com</t>
  </si>
  <si>
    <t xml:space="preserve">Ranit </t>
  </si>
  <si>
    <t xml:space="preserve">Gorai </t>
  </si>
  <si>
    <t>himayshah07@gmail.com</t>
  </si>
  <si>
    <t xml:space="preserve">Himay </t>
  </si>
  <si>
    <t>parthpuri.007@gmail.com</t>
  </si>
  <si>
    <t xml:space="preserve">Parth </t>
  </si>
  <si>
    <t>Puri</t>
  </si>
  <si>
    <t>nidhielza123@gmail.com</t>
  </si>
  <si>
    <t xml:space="preserve">Nidhi E </t>
  </si>
  <si>
    <t>Allel</t>
  </si>
  <si>
    <t xml:space="preserve">Akansha </t>
  </si>
  <si>
    <t xml:space="preserve">Vivekanand world school </t>
  </si>
  <si>
    <t xml:space="preserve">Niket </t>
  </si>
  <si>
    <t>Gidhar</t>
  </si>
  <si>
    <t>barkhaarora888@gmail.com</t>
  </si>
  <si>
    <t xml:space="preserve">Ashish </t>
  </si>
  <si>
    <t>rohan17soccer@gmail.com</t>
  </si>
  <si>
    <t>Ashwini</t>
  </si>
  <si>
    <t xml:space="preserve">Mumbai </t>
  </si>
  <si>
    <t xml:space="preserve">Diya </t>
  </si>
  <si>
    <t>Kang</t>
  </si>
  <si>
    <t>priyanshudevenrawal@gmail.com</t>
  </si>
  <si>
    <t xml:space="preserve">Priyanshu </t>
  </si>
  <si>
    <t>Rawal</t>
  </si>
  <si>
    <t xml:space="preserve">no response </t>
  </si>
  <si>
    <t>riyanshi1982@gmail.com</t>
  </si>
  <si>
    <t>Riyanshi</t>
  </si>
  <si>
    <t>W</t>
  </si>
  <si>
    <t>uday.niranjana@gmail.com</t>
  </si>
  <si>
    <t xml:space="preserve">Niranjana </t>
  </si>
  <si>
    <t xml:space="preserve">No response </t>
  </si>
  <si>
    <t xml:space="preserve">Divina </t>
  </si>
  <si>
    <t xml:space="preserve">R V </t>
  </si>
  <si>
    <t xml:space="preserve"> 404596@rh.balbharati.org</t>
  </si>
  <si>
    <t xml:space="preserve">Purushotma </t>
  </si>
  <si>
    <t xml:space="preserve">Khushboo </t>
  </si>
  <si>
    <t>Cant find name in data base</t>
  </si>
  <si>
    <t xml:space="preserve">Tejas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</si>
</sst>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dd, yyyy"/>
    <numFmt numFmtId="165" formatCode="mmmm d, yyyy"/>
    <numFmt numFmtId="166" formatCode="mmmm dd,yyyy"/>
  </numFmts>
  <fonts count="29">
    <font>
      <sz val="10.0"/>
      <color rgb="FF000000"/>
      <name val="Arial"/>
      <scheme val="minor"/>
    </font>
    <font>
      <b/>
      <sz val="12.0"/>
      <color rgb="FFFFFFFF"/>
      <name val="Calibri"/>
    </font>
    <font>
      <sz val="11.0"/>
      <color rgb="FF000000"/>
      <name val="Calibri"/>
    </font>
    <font>
      <u/>
      <sz val="11.0"/>
      <color rgb="FF000000"/>
      <name val="Calibri"/>
    </font>
    <font>
      <sz val="11.0"/>
      <color theme="1"/>
      <name val="Calibri"/>
    </font>
    <font>
      <sz val="10.0"/>
      <color theme="1"/>
      <name val="Arial"/>
    </font>
    <font>
      <u/>
      <sz val="11.0"/>
      <color rgb="FF000000"/>
      <name val="Calibri"/>
    </font>
    <font>
      <b/>
      <sz val="11.0"/>
      <color theme="1"/>
      <name val="Calibri"/>
    </font>
    <font>
      <sz val="11.0"/>
      <color rgb="FF1155CC"/>
      <name val="Calibri"/>
    </font>
    <font>
      <u/>
      <sz val="11.0"/>
      <color rgb="FF1155CC"/>
      <name val="Calibri"/>
    </font>
    <font>
      <sz val="11.0"/>
      <color rgb="FF222222"/>
      <name val="Calibri"/>
    </font>
    <font>
      <u/>
      <sz val="11.0"/>
      <color rgb="FF0000FF"/>
      <name val="Calibri"/>
    </font>
    <font>
      <u/>
      <sz val="11.0"/>
      <color rgb="FF500050"/>
      <name val="Calibri"/>
    </font>
    <font>
      <u/>
      <sz val="11.0"/>
      <color rgb="FF222222"/>
      <name val="Calibri"/>
    </font>
    <font>
      <u/>
      <sz val="11.0"/>
      <color rgb="FF1155CC"/>
      <name val="Calibri"/>
    </font>
    <font>
      <u/>
      <sz val="11.0"/>
      <color rgb="FF0000FF"/>
      <name val="Calibri"/>
    </font>
    <font>
      <b/>
      <sz val="11.0"/>
      <color rgb="FF222222"/>
      <name val="Calibri"/>
    </font>
    <font>
      <sz val="11.0"/>
      <color rgb="FF980000"/>
      <name val="Calibri"/>
    </font>
    <font>
      <b/>
      <u/>
      <sz val="11.0"/>
      <color rgb="FF1155CC"/>
      <name val="Calibri"/>
    </font>
    <font>
      <sz val="11.0"/>
      <color rgb="FFB45F06"/>
      <name val="Calibri"/>
    </font>
    <font>
      <u/>
      <sz val="11.0"/>
      <color rgb="FF1155CC"/>
      <name val="Calibri"/>
    </font>
    <font>
      <u/>
      <sz val="11.0"/>
      <color rgb="FF1155CC"/>
      <name val="Calibri"/>
    </font>
    <font>
      <u/>
      <sz val="11.0"/>
      <color rgb="FF1155CC"/>
      <name val="Calibri"/>
    </font>
    <font>
      <u/>
      <sz val="11.0"/>
      <color rgb="FF0000FF"/>
      <name val="Calibri"/>
    </font>
    <font>
      <b/>
      <sz val="13.0"/>
      <color rgb="FFFFFFFF"/>
      <name val="Calibri"/>
    </font>
    <font>
      <sz val="12.0"/>
      <color theme="1"/>
      <name val="Calibri"/>
    </font>
    <font>
      <b/>
      <sz val="11.0"/>
      <color rgb="FFFF0000"/>
      <name val="Calibri"/>
    </font>
    <font>
      <u/>
      <sz val="11.0"/>
      <color rgb="FF0000FF"/>
      <name val="Calibri"/>
    </font>
    <font>
      <color theme="1"/>
      <name val="Calibri"/>
    </font>
  </fonts>
  <fills count="7">
    <fill>
      <patternFill patternType="none"/>
    </fill>
    <fill>
      <patternFill patternType="lightGray"/>
    </fill>
    <fill>
      <patternFill patternType="solid">
        <fgColor rgb="FF9900FF"/>
        <bgColor rgb="FF9900FF"/>
      </patternFill>
    </fill>
    <fill>
      <patternFill patternType="solid">
        <fgColor rgb="FFFFFFFF"/>
        <bgColor rgb="FFFFFFFF"/>
      </patternFill>
    </fill>
    <fill>
      <patternFill patternType="solid">
        <fgColor rgb="FFFF0000"/>
        <bgColor rgb="FFFF0000"/>
      </patternFill>
    </fill>
    <fill>
      <patternFill patternType="solid">
        <fgColor rgb="FFF3F3F3"/>
        <bgColor rgb="FFF3F3F3"/>
      </patternFill>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2" fontId="1" numFmtId="0" xfId="0" applyAlignment="1" applyFill="1" applyFont="1">
      <alignment horizontal="left" shrinkToFit="0" vertical="top" wrapText="1"/>
    </xf>
    <xf borderId="0" fillId="0" fontId="2" numFmtId="0" xfId="0" applyAlignment="1" applyFont="1">
      <alignment horizontal="left" shrinkToFit="0" vertical="top" wrapText="1"/>
    </xf>
    <xf borderId="0" fillId="0" fontId="3" numFmtId="0" xfId="0" applyAlignment="1" applyFont="1">
      <alignment horizontal="left" shrinkToFit="0" vertical="top" wrapText="1"/>
    </xf>
    <xf borderId="0" fillId="0" fontId="4" numFmtId="0" xfId="0" applyAlignment="1" applyFont="1">
      <alignment horizontal="left" shrinkToFit="0" vertical="top" wrapText="1"/>
    </xf>
    <xf borderId="0" fillId="0" fontId="5" numFmtId="0" xfId="0" applyAlignment="1" applyFont="1">
      <alignment shrinkToFit="0" vertical="top" wrapText="1"/>
    </xf>
    <xf borderId="1" fillId="0" fontId="2" numFmtId="0" xfId="0" applyAlignment="1" applyBorder="1" applyFont="1">
      <alignment horizontal="left" shrinkToFit="0" vertical="top" wrapText="1"/>
    </xf>
    <xf borderId="1" fillId="0" fontId="6" numFmtId="0" xfId="0" applyAlignment="1" applyBorder="1" applyFont="1">
      <alignment horizontal="left" shrinkToFit="0" vertical="top" wrapText="1"/>
    </xf>
    <xf borderId="1" fillId="0" fontId="4" numFmtId="0" xfId="0" applyAlignment="1" applyBorder="1" applyFont="1">
      <alignment horizontal="left" shrinkToFit="0" wrapText="1"/>
    </xf>
    <xf borderId="1" fillId="3" fontId="7" numFmtId="0" xfId="0" applyAlignment="1" applyBorder="1" applyFill="1" applyFont="1">
      <alignment horizontal="center" shrinkToFit="0" vertical="top" wrapText="1"/>
    </xf>
    <xf borderId="1" fillId="3" fontId="4" numFmtId="0" xfId="0" applyAlignment="1" applyBorder="1" applyFont="1">
      <alignment horizontal="center" shrinkToFit="0" vertical="top" wrapText="1"/>
    </xf>
    <xf borderId="1" fillId="3" fontId="4" numFmtId="0" xfId="0" applyAlignment="1" applyBorder="1" applyFont="1">
      <alignment horizontal="left" shrinkToFit="0" vertical="top" wrapText="1"/>
    </xf>
    <xf borderId="1" fillId="3" fontId="8" numFmtId="0" xfId="0" applyAlignment="1" applyBorder="1" applyFont="1">
      <alignment horizontal="left" shrinkToFit="0" vertical="top" wrapText="1"/>
    </xf>
    <xf borderId="1" fillId="3" fontId="9" numFmtId="0" xfId="0" applyAlignment="1" applyBorder="1" applyFont="1">
      <alignment horizontal="left" shrinkToFit="0" vertical="top" wrapText="1"/>
    </xf>
    <xf borderId="1" fillId="3" fontId="4" numFmtId="0" xfId="0" applyAlignment="1" applyBorder="1" applyFont="1">
      <alignment horizontal="left" readingOrder="0" shrinkToFit="0" vertical="top" wrapText="1"/>
    </xf>
    <xf borderId="1" fillId="4" fontId="4" numFmtId="0" xfId="0" applyAlignment="1" applyBorder="1" applyFill="1" applyFont="1">
      <alignment horizontal="left" shrinkToFit="0" vertical="top" wrapText="1"/>
    </xf>
    <xf borderId="1" fillId="5" fontId="4" numFmtId="0" xfId="0" applyAlignment="1" applyBorder="1" applyFill="1" applyFont="1">
      <alignment horizontal="left" shrinkToFit="0" vertical="top" wrapText="1"/>
    </xf>
    <xf borderId="1" fillId="6" fontId="4" numFmtId="0" xfId="0" applyAlignment="1" applyBorder="1" applyFill="1" applyFont="1">
      <alignment horizontal="left" shrinkToFit="0" vertical="top" wrapText="1"/>
    </xf>
    <xf borderId="1" fillId="3" fontId="10" numFmtId="0" xfId="0" applyAlignment="1" applyBorder="1" applyFont="1">
      <alignment horizontal="left" shrinkToFit="0" vertical="bottom" wrapText="1"/>
    </xf>
    <xf borderId="1" fillId="3" fontId="11" numFmtId="0" xfId="0" applyAlignment="1" applyBorder="1" applyFont="1">
      <alignment horizontal="left" shrinkToFit="0" vertical="top" wrapText="1"/>
    </xf>
    <xf borderId="1" fillId="3" fontId="7" numFmtId="0" xfId="0" applyAlignment="1" applyBorder="1" applyFont="1">
      <alignment horizontal="left" shrinkToFit="0" vertical="top" wrapText="1"/>
    </xf>
    <xf borderId="1" fillId="0" fontId="4" numFmtId="0" xfId="0" applyAlignment="1" applyBorder="1" applyFont="1">
      <alignment horizontal="left" shrinkToFit="0" vertical="bottom" wrapText="1"/>
    </xf>
    <xf borderId="1" fillId="0" fontId="4" numFmtId="11" xfId="0" applyAlignment="1" applyBorder="1" applyFont="1" applyNumberFormat="1">
      <alignment horizontal="left" shrinkToFit="0" vertical="bottom" wrapText="1"/>
    </xf>
    <xf borderId="0" fillId="3" fontId="10" numFmtId="0" xfId="0" applyAlignment="1" applyFont="1">
      <alignment horizontal="left" shrinkToFit="0" vertical="bottom" wrapText="1"/>
    </xf>
    <xf borderId="1" fillId="3" fontId="4" numFmtId="3" xfId="0" applyAlignment="1" applyBorder="1" applyFont="1" applyNumberFormat="1">
      <alignment horizontal="left" shrinkToFit="0" vertical="top" wrapText="1"/>
    </xf>
    <xf quotePrefix="1" borderId="1" fillId="3" fontId="4" numFmtId="0" xfId="0" applyAlignment="1" applyBorder="1" applyFont="1">
      <alignment horizontal="left" shrinkToFit="0" vertical="top" wrapText="1"/>
    </xf>
    <xf borderId="0" fillId="0" fontId="4" numFmtId="0" xfId="0" applyAlignment="1" applyFont="1">
      <alignment horizontal="left" shrinkToFit="0" vertical="bottom" wrapText="1"/>
    </xf>
    <xf borderId="0" fillId="0" fontId="4" numFmtId="11" xfId="0" applyAlignment="1" applyFont="1" applyNumberFormat="1">
      <alignment horizontal="left" shrinkToFit="0" vertical="bottom" wrapText="1"/>
    </xf>
    <xf borderId="1" fillId="3" fontId="4" numFmtId="164" xfId="0" applyAlignment="1" applyBorder="1" applyFont="1" applyNumberFormat="1">
      <alignment horizontal="left" shrinkToFit="0" vertical="top" wrapText="1"/>
    </xf>
    <xf borderId="1" fillId="3" fontId="12" numFmtId="0" xfId="0" applyAlignment="1" applyBorder="1" applyFont="1">
      <alignment horizontal="left" shrinkToFit="0" vertical="top" wrapText="1"/>
    </xf>
    <xf borderId="1" fillId="3" fontId="4" numFmtId="165" xfId="0" applyAlignment="1" applyBorder="1" applyFont="1" applyNumberFormat="1">
      <alignment horizontal="left" shrinkToFit="0" vertical="top" wrapText="1"/>
    </xf>
    <xf borderId="1" fillId="0" fontId="4" numFmtId="0" xfId="0" applyAlignment="1" applyBorder="1" applyFont="1">
      <alignment horizontal="left" shrinkToFit="0" vertical="top" wrapText="1"/>
    </xf>
    <xf borderId="1" fillId="3" fontId="13" numFmtId="0" xfId="0" applyAlignment="1" applyBorder="1" applyFont="1">
      <alignment horizontal="left" shrinkToFit="0" vertical="top" wrapText="1"/>
    </xf>
    <xf borderId="1" fillId="3" fontId="4" numFmtId="166" xfId="0" applyAlignment="1" applyBorder="1" applyFont="1" applyNumberFormat="1">
      <alignment horizontal="left" shrinkToFit="0" vertical="top" wrapText="1"/>
    </xf>
    <xf borderId="1" fillId="0" fontId="14" numFmtId="0" xfId="0" applyAlignment="1" applyBorder="1" applyFont="1">
      <alignment horizontal="left" shrinkToFit="0" vertical="top" wrapText="1"/>
    </xf>
    <xf borderId="1" fillId="0" fontId="15" numFmtId="0" xfId="0" applyAlignment="1" applyBorder="1" applyFont="1">
      <alignment horizontal="left" shrinkToFit="0" vertical="top" wrapText="1"/>
    </xf>
    <xf borderId="0" fillId="3" fontId="4" numFmtId="0" xfId="0" applyAlignment="1" applyFont="1">
      <alignment horizontal="left" shrinkToFit="0" vertical="bottom" wrapText="1"/>
    </xf>
    <xf borderId="0" fillId="3" fontId="16" numFmtId="0" xfId="0" applyAlignment="1" applyFont="1">
      <alignment horizontal="left" shrinkToFit="0" vertical="bottom" wrapText="1"/>
    </xf>
    <xf borderId="1" fillId="3" fontId="17" numFmtId="0" xfId="0" applyAlignment="1" applyBorder="1" applyFont="1">
      <alignment horizontal="left" shrinkToFit="0" vertical="top" wrapText="1"/>
    </xf>
    <xf borderId="1" fillId="3" fontId="18" numFmtId="0" xfId="0" applyAlignment="1" applyBorder="1" applyFont="1">
      <alignment horizontal="left" shrinkToFit="0" vertical="top" wrapText="1"/>
    </xf>
    <xf borderId="1" fillId="3" fontId="4" numFmtId="0" xfId="0" applyAlignment="1" applyBorder="1" applyFont="1">
      <alignment horizontal="left" shrinkToFit="0" vertical="bottom" wrapText="1"/>
    </xf>
    <xf borderId="1" fillId="0" fontId="17" numFmtId="0" xfId="0" applyAlignment="1" applyBorder="1" applyFont="1">
      <alignment horizontal="left" shrinkToFit="0" vertical="bottom" wrapText="1"/>
    </xf>
    <xf borderId="1" fillId="0" fontId="19" numFmtId="0" xfId="0" applyAlignment="1" applyBorder="1" applyFont="1">
      <alignment horizontal="left" shrinkToFit="0" vertical="bottom" wrapText="1"/>
    </xf>
    <xf borderId="1" fillId="3" fontId="8" numFmtId="0" xfId="0" applyAlignment="1" applyBorder="1" applyFont="1">
      <alignment horizontal="left" shrinkToFit="0" vertical="bottom" wrapText="1"/>
    </xf>
    <xf borderId="1" fillId="3" fontId="20" numFmtId="0" xfId="0" applyAlignment="1" applyBorder="1" applyFont="1">
      <alignment horizontal="left" shrinkToFit="0" vertical="bottom" wrapText="1"/>
    </xf>
    <xf borderId="1" fillId="3" fontId="17" numFmtId="0" xfId="0" applyAlignment="1" applyBorder="1" applyFont="1">
      <alignment horizontal="left" shrinkToFit="0" vertical="bottom" wrapText="1"/>
    </xf>
    <xf borderId="1" fillId="4" fontId="4" numFmtId="0" xfId="0" applyAlignment="1" applyBorder="1" applyFont="1">
      <alignment horizontal="left" shrinkToFit="0" vertical="bottom" wrapText="1"/>
    </xf>
    <xf quotePrefix="1" borderId="1" fillId="3" fontId="4" numFmtId="0" xfId="0" applyAlignment="1" applyBorder="1" applyFont="1">
      <alignment horizontal="left" shrinkToFit="0" vertical="bottom" wrapText="1"/>
    </xf>
    <xf borderId="1" fillId="0" fontId="21" numFmtId="0" xfId="0" applyAlignment="1" applyBorder="1" applyFont="1">
      <alignment horizontal="left" shrinkToFit="0" vertical="bottom" wrapText="1"/>
    </xf>
    <xf borderId="0" fillId="0" fontId="22" numFmtId="0" xfId="0" applyAlignment="1" applyFont="1">
      <alignment horizontal="left" shrinkToFit="0" vertical="bottom" wrapText="1"/>
    </xf>
    <xf borderId="0" fillId="0" fontId="23" numFmtId="0" xfId="0" applyAlignment="1" applyFont="1">
      <alignment horizontal="left" shrinkToFit="0" vertical="bottom" wrapText="1"/>
    </xf>
    <xf borderId="1" fillId="2" fontId="24" numFmtId="0" xfId="0" applyAlignment="1" applyBorder="1" applyFont="1">
      <alignment horizontal="center" shrinkToFit="0" vertical="top" wrapText="1"/>
    </xf>
    <xf borderId="0" fillId="3" fontId="25" numFmtId="0" xfId="0" applyAlignment="1" applyFont="1">
      <alignment shrinkToFit="0" vertical="top" wrapText="1"/>
    </xf>
    <xf borderId="1" fillId="3" fontId="25" numFmtId="0" xfId="0" applyAlignment="1" applyBorder="1" applyFont="1">
      <alignment horizontal="left" shrinkToFit="0" vertical="top" wrapText="1"/>
    </xf>
    <xf borderId="0" fillId="3" fontId="25" numFmtId="0" xfId="0" applyAlignment="1" applyFont="1">
      <alignment horizontal="left" shrinkToFit="0" vertical="top" wrapText="1"/>
    </xf>
    <xf borderId="1" fillId="3" fontId="26" numFmtId="0" xfId="0" applyAlignment="1" applyBorder="1" applyFont="1">
      <alignment horizontal="left" shrinkToFit="0" vertical="top" wrapText="1"/>
    </xf>
    <xf borderId="1" fillId="3" fontId="25" numFmtId="0" xfId="0" applyAlignment="1" applyBorder="1" applyFont="1">
      <alignment horizontal="left" shrinkToFit="0" vertical="bottom" wrapText="1"/>
    </xf>
    <xf borderId="1" fillId="0" fontId="25" numFmtId="0" xfId="0" applyAlignment="1" applyBorder="1" applyFont="1">
      <alignment horizontal="left" shrinkToFit="0" vertical="top" wrapText="1"/>
    </xf>
    <xf borderId="1" fillId="3" fontId="27" numFmtId="0" xfId="0" applyAlignment="1" applyBorder="1" applyFont="1">
      <alignment horizontal="left" shrinkToFit="0" vertical="bottom" wrapText="1"/>
    </xf>
    <xf borderId="1" fillId="3" fontId="26" numFmtId="0" xfId="0" applyAlignment="1" applyBorder="1" applyFont="1">
      <alignment horizontal="left" shrinkToFit="0" vertical="bottom" wrapText="1"/>
    </xf>
    <xf borderId="1" fillId="0" fontId="28" numFmtId="0" xfId="0" applyAlignment="1" applyBorder="1" applyFont="1">
      <alignment horizontal="left" shrinkToFit="0" vertical="bottom" wrapText="1"/>
    </xf>
    <xf borderId="0" fillId="3" fontId="25" numFmtId="0" xfId="0" applyAlignment="1" applyFont="1">
      <alignment shrinkToFit="0" vertical="bottom" wrapText="1"/>
    </xf>
    <xf borderId="0" fillId="0" fontId="25" numFmtId="0" xfId="0" applyAlignment="1" applyFont="1">
      <alignment shrinkToFit="0" vertical="top" wrapText="1"/>
    </xf>
    <xf borderId="0" fillId="0" fontId="25"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salmnakum7654433@gmail.com" TargetMode="External"/><Relationship Id="rId2" Type="http://schemas.openxmlformats.org/officeDocument/2006/relationships/hyperlink" Target="mailto:Digambar222@gmail.com" TargetMode="External"/><Relationship Id="rId3" Type="http://schemas.openxmlformats.org/officeDocument/2006/relationships/hyperlink" Target="mailto:Govindsingh238@gmail.com" TargetMode="External"/><Relationship Id="rId4" Type="http://schemas.openxmlformats.org/officeDocument/2006/relationships/hyperlink" Target="mailto:ansurrahaman10012002@gmail.com" TargetMode="External"/><Relationship Id="rId5" Type="http://schemas.openxmlformats.org/officeDocument/2006/relationships/hyperlink" Target="http://s.s.v.m.ps"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enpower-school.com/ld-profile/" TargetMode="External"/><Relationship Id="rId194" Type="http://schemas.openxmlformats.org/officeDocument/2006/relationships/hyperlink" Target="https://enpower-school.com/wp-content/uploads/elementor/forms/5fee0fbb33bf3.pdf" TargetMode="External"/><Relationship Id="rId193" Type="http://schemas.openxmlformats.org/officeDocument/2006/relationships/hyperlink" Target="https://enpower-school.com/ld-profile/" TargetMode="External"/><Relationship Id="rId192" Type="http://schemas.openxmlformats.org/officeDocument/2006/relationships/hyperlink" Target="https://enpower-school.com/wp-content/uploads/elementor/forms/5fe30993dd84c.pptx" TargetMode="External"/><Relationship Id="rId191" Type="http://schemas.openxmlformats.org/officeDocument/2006/relationships/hyperlink" Target="https://enpower-school.com/wp-content/uploads/elementor/forms/5fe30993dd84c.pptx" TargetMode="External"/><Relationship Id="rId187" Type="http://schemas.openxmlformats.org/officeDocument/2006/relationships/hyperlink" Target="https://enpower-school.com/ld-profile/" TargetMode="External"/><Relationship Id="rId186" Type="http://schemas.openxmlformats.org/officeDocument/2006/relationships/hyperlink" Target="https://enpower-school.com/wp-content/uploads/elementor/forms/5fee0d1a4ab29.docx" TargetMode="External"/><Relationship Id="rId185" Type="http://schemas.openxmlformats.org/officeDocument/2006/relationships/hyperlink" Target="https://enpower-school.com/ld-profile/" TargetMode="External"/><Relationship Id="rId184" Type="http://schemas.openxmlformats.org/officeDocument/2006/relationships/hyperlink" Target="https://enpower-school.com/wp-content/uploads/elementor/forms/5fede52fa7a2b.mp4" TargetMode="External"/><Relationship Id="rId189" Type="http://schemas.openxmlformats.org/officeDocument/2006/relationships/hyperlink" Target="https://enpower-school.com/ld-profile/" TargetMode="External"/><Relationship Id="rId188" Type="http://schemas.openxmlformats.org/officeDocument/2006/relationships/hyperlink" Target="https://enpower-school.com/wp-content/uploads/elementor/forms/5fe42ab074c9f.pdf" TargetMode="External"/><Relationship Id="rId183" Type="http://schemas.openxmlformats.org/officeDocument/2006/relationships/hyperlink" Target="https://enpower-school.com/ld-profile/" TargetMode="External"/><Relationship Id="rId182" Type="http://schemas.openxmlformats.org/officeDocument/2006/relationships/hyperlink" Target="https://enpower-school.com/wp-content/uploads/elementor/forms/5fe8b91bc2146.jpg" TargetMode="External"/><Relationship Id="rId181" Type="http://schemas.openxmlformats.org/officeDocument/2006/relationships/hyperlink" Target="https://enpower-school.com/wp-content/uploads/elementor/forms/5fe8b91bc2146.jpg" TargetMode="External"/><Relationship Id="rId180" Type="http://schemas.openxmlformats.org/officeDocument/2006/relationships/hyperlink" Target="https://enpower-school.com/ld-profile/" TargetMode="External"/><Relationship Id="rId176" Type="http://schemas.openxmlformats.org/officeDocument/2006/relationships/hyperlink" Target="https://enpower-school.com/courses/be-a-part-of-indias-biggest-youth-entrepreneurship-hunt/" TargetMode="External"/><Relationship Id="rId297" Type="http://schemas.openxmlformats.org/officeDocument/2006/relationships/hyperlink" Target="https://enpower-school.com/ld-profile/" TargetMode="External"/><Relationship Id="rId175" Type="http://schemas.openxmlformats.org/officeDocument/2006/relationships/hyperlink" Target="https://enpower-school.com/wp-content/uploads/elementor/forms/5fda36c519747.pptx" TargetMode="External"/><Relationship Id="rId296" Type="http://schemas.openxmlformats.org/officeDocument/2006/relationships/hyperlink" Target="https://enpower-school.com/wp-content/uploads/elementor/forms/5fede803a7e88.docx" TargetMode="External"/><Relationship Id="rId174" Type="http://schemas.openxmlformats.org/officeDocument/2006/relationships/hyperlink" Target="https://enpower-school.com/ld-profile/" TargetMode="External"/><Relationship Id="rId295" Type="http://schemas.openxmlformats.org/officeDocument/2006/relationships/hyperlink" Target="https://enpower-school.com/ld-profile/" TargetMode="External"/><Relationship Id="rId173" Type="http://schemas.openxmlformats.org/officeDocument/2006/relationships/hyperlink" Target="https://enpower-school.com/wp-content/uploads/elementor/forms/5feca1cdd239a.pdf" TargetMode="External"/><Relationship Id="rId294" Type="http://schemas.openxmlformats.org/officeDocument/2006/relationships/hyperlink" Target="https://enpower-school.com/wp-content/uploads/elementor/forms/5ff5fb3ad6c0e.pdf" TargetMode="External"/><Relationship Id="rId179" Type="http://schemas.openxmlformats.org/officeDocument/2006/relationships/hyperlink" Target="https://enpower-school.com/wp-content/uploads/elementor/forms/5fef0dc2b4add.pdf" TargetMode="External"/><Relationship Id="rId178" Type="http://schemas.openxmlformats.org/officeDocument/2006/relationships/hyperlink" Target="https://enpower-school.com/ld-profile/" TargetMode="External"/><Relationship Id="rId299" Type="http://schemas.openxmlformats.org/officeDocument/2006/relationships/hyperlink" Target="https://enpower-school.com/ld-profile/" TargetMode="External"/><Relationship Id="rId177" Type="http://schemas.openxmlformats.org/officeDocument/2006/relationships/hyperlink" Target="https://enpower-school.com/wp-content/uploads/elementor/forms/5fe5964a31d71.pptx" TargetMode="External"/><Relationship Id="rId298" Type="http://schemas.openxmlformats.org/officeDocument/2006/relationships/hyperlink" Target="https://enpower-school.com/wp-content/uploads/elementor/forms/5ff441c56088a.pptx" TargetMode="External"/><Relationship Id="rId198" Type="http://schemas.openxmlformats.org/officeDocument/2006/relationships/hyperlink" Target="https://enpower-school.com/ld-profile/" TargetMode="External"/><Relationship Id="rId197" Type="http://schemas.openxmlformats.org/officeDocument/2006/relationships/hyperlink" Target="https://enpower-school.com/wp-content/uploads/elementor/forms/5feddac51d896.pdf" TargetMode="External"/><Relationship Id="rId196" Type="http://schemas.openxmlformats.org/officeDocument/2006/relationships/hyperlink" Target="https://enpower-school.com/ld-profile/" TargetMode="External"/><Relationship Id="rId195" Type="http://schemas.openxmlformats.org/officeDocument/2006/relationships/hyperlink" Target="https://enpower-school.com/ld-profile/" TargetMode="External"/><Relationship Id="rId199" Type="http://schemas.openxmlformats.org/officeDocument/2006/relationships/hyperlink" Target="https://enpower-school.com/ld-profile/" TargetMode="External"/><Relationship Id="rId150" Type="http://schemas.openxmlformats.org/officeDocument/2006/relationships/hyperlink" Target="https://enpower-school.com/ld-profile/" TargetMode="External"/><Relationship Id="rId271" Type="http://schemas.openxmlformats.org/officeDocument/2006/relationships/hyperlink" Target="https://enpower-school.com/wp-content/uploads/elementor/forms/5ff419adab192.pptx" TargetMode="External"/><Relationship Id="rId392" Type="http://schemas.openxmlformats.org/officeDocument/2006/relationships/hyperlink" Target="https://enpower-school.com/ld-profile/" TargetMode="External"/><Relationship Id="rId270" Type="http://schemas.openxmlformats.org/officeDocument/2006/relationships/hyperlink" Target="https://enpower-school.com/courses/be-a-part-of-indias-biggest-youth-entrepreneurship-hunt/" TargetMode="External"/><Relationship Id="rId391" Type="http://schemas.openxmlformats.org/officeDocument/2006/relationships/hyperlink" Target="https://enpower-school.com/wp-content/uploads/elementor/forms/5ff892bdb451a.pdf" TargetMode="External"/><Relationship Id="rId390" Type="http://schemas.openxmlformats.org/officeDocument/2006/relationships/hyperlink" Target="https://enpower-school.com/ld-profile/" TargetMode="External"/><Relationship Id="rId1" Type="http://schemas.openxmlformats.org/officeDocument/2006/relationships/hyperlink" Target="https://enpower-school.com/wp-content/uploads/elementor/forms/5fee01f75b914.pdf" TargetMode="External"/><Relationship Id="rId2" Type="http://schemas.openxmlformats.org/officeDocument/2006/relationships/hyperlink" Target="https://enpower-school.com/ld-profile/" TargetMode="External"/><Relationship Id="rId3" Type="http://schemas.openxmlformats.org/officeDocument/2006/relationships/hyperlink" Target="https://enpower-school.com/wp-content/uploads/elementor/forms/5fee1a0a1b1f0.pptx" TargetMode="External"/><Relationship Id="rId149" Type="http://schemas.openxmlformats.org/officeDocument/2006/relationships/hyperlink" Target="https://enpower-school.com/wp-content/uploads/elementor/forms/5fee13962e11e.pptx" TargetMode="External"/><Relationship Id="rId4" Type="http://schemas.openxmlformats.org/officeDocument/2006/relationships/hyperlink" Target="https://enpower-school.com/ld-profile/" TargetMode="External"/><Relationship Id="rId148" Type="http://schemas.openxmlformats.org/officeDocument/2006/relationships/hyperlink" Target="https://enpower-school.com/ld-profile/" TargetMode="External"/><Relationship Id="rId269" Type="http://schemas.openxmlformats.org/officeDocument/2006/relationships/hyperlink" Target="https://enpower-school.com/ld-profile/" TargetMode="External"/><Relationship Id="rId9" Type="http://schemas.openxmlformats.org/officeDocument/2006/relationships/hyperlink" Target="https://enpower-school.com/wp-content/uploads/elementor/forms/5ff5e3ce16b12.pdf" TargetMode="External"/><Relationship Id="rId143" Type="http://schemas.openxmlformats.org/officeDocument/2006/relationships/hyperlink" Target="https://enpower-school.com/wp-content/uploads/elementor/forms/5ff74e06e34c1.pptx" TargetMode="External"/><Relationship Id="rId264" Type="http://schemas.openxmlformats.org/officeDocument/2006/relationships/hyperlink" Target="https://enpower-school.com/ld-profile/" TargetMode="External"/><Relationship Id="rId385" Type="http://schemas.openxmlformats.org/officeDocument/2006/relationships/hyperlink" Target="https://enpower-school.com/wp-content/uploads/elementor/forms/5fee447cbbf78.pptx" TargetMode="External"/><Relationship Id="rId142" Type="http://schemas.openxmlformats.org/officeDocument/2006/relationships/hyperlink" Target="https://enpower-school.com/ld-profile/" TargetMode="External"/><Relationship Id="rId263" Type="http://schemas.openxmlformats.org/officeDocument/2006/relationships/hyperlink" Target="https://enpower-school.com/ld-profile/" TargetMode="External"/><Relationship Id="rId384" Type="http://schemas.openxmlformats.org/officeDocument/2006/relationships/hyperlink" Target="https://enpower-school.com/ld-profile/" TargetMode="External"/><Relationship Id="rId141" Type="http://schemas.openxmlformats.org/officeDocument/2006/relationships/hyperlink" Target="https://enpower-school.com/wp-content/uploads/elementor/forms/5feddac51d896.pdf" TargetMode="External"/><Relationship Id="rId262" Type="http://schemas.openxmlformats.org/officeDocument/2006/relationships/hyperlink" Target="https://enpower-school.com/wp-content/uploads/elementor/forms/5fe4a6ae79358.pptx" TargetMode="External"/><Relationship Id="rId383" Type="http://schemas.openxmlformats.org/officeDocument/2006/relationships/hyperlink" Target="https://enpower-school.com/wp-content/uploads/elementor/forms/5fe6df28cd4a3.jpg" TargetMode="External"/><Relationship Id="rId140" Type="http://schemas.openxmlformats.org/officeDocument/2006/relationships/hyperlink" Target="https://enpower-school.com/ld-profile/" TargetMode="External"/><Relationship Id="rId261" Type="http://schemas.openxmlformats.org/officeDocument/2006/relationships/hyperlink" Target="https://enpower-school.com/ld-profile/" TargetMode="External"/><Relationship Id="rId382" Type="http://schemas.openxmlformats.org/officeDocument/2006/relationships/hyperlink" Target="https://enpower-school.com/ld-profile/" TargetMode="External"/><Relationship Id="rId5" Type="http://schemas.openxmlformats.org/officeDocument/2006/relationships/hyperlink" Target="https://enpower-school.com/wp-content/uploads/elementor/forms/5ff74d92d2896.mp4" TargetMode="External"/><Relationship Id="rId147" Type="http://schemas.openxmlformats.org/officeDocument/2006/relationships/hyperlink" Target="https://enpower-school.com/ld-profile/" TargetMode="External"/><Relationship Id="rId268" Type="http://schemas.openxmlformats.org/officeDocument/2006/relationships/hyperlink" Target="https://enpower-school.com/wp-content/uploads/elementor/forms/5fe721bf94212.pptx" TargetMode="External"/><Relationship Id="rId389" Type="http://schemas.openxmlformats.org/officeDocument/2006/relationships/hyperlink" Target="https://enpower-school.com/wp-content/uploads/elementor/forms/5ff18402b4d9d.pdf" TargetMode="External"/><Relationship Id="rId6" Type="http://schemas.openxmlformats.org/officeDocument/2006/relationships/hyperlink" Target="https://enpower-school.com/ld-profile/" TargetMode="External"/><Relationship Id="rId146" Type="http://schemas.openxmlformats.org/officeDocument/2006/relationships/hyperlink" Target="https://enpower-school.com/ld-profile/" TargetMode="External"/><Relationship Id="rId267" Type="http://schemas.openxmlformats.org/officeDocument/2006/relationships/hyperlink" Target="https://enpower-school.com/ld-profile/" TargetMode="External"/><Relationship Id="rId388" Type="http://schemas.openxmlformats.org/officeDocument/2006/relationships/hyperlink" Target="https://enpower-school.com/ld-profile/" TargetMode="External"/><Relationship Id="rId7" Type="http://schemas.openxmlformats.org/officeDocument/2006/relationships/hyperlink" Target="https://enpower-school.com/wp-content/uploads/elementor/forms/5fede07727c61.mp4" TargetMode="External"/><Relationship Id="rId145" Type="http://schemas.openxmlformats.org/officeDocument/2006/relationships/hyperlink" Target="https://enpower-school.com/wp-content/uploads/elementor/forms/5ff723d87bdd9.pptx" TargetMode="External"/><Relationship Id="rId266" Type="http://schemas.openxmlformats.org/officeDocument/2006/relationships/hyperlink" Target="https://enpower-school.com/wp-content/uploads/elementor/forms/5feadb7d6c752.pptx" TargetMode="External"/><Relationship Id="rId387" Type="http://schemas.openxmlformats.org/officeDocument/2006/relationships/hyperlink" Target="https://enpower-school.com/wp-content/uploads/elementor/forms/5feb419218189.pptx" TargetMode="External"/><Relationship Id="rId8" Type="http://schemas.openxmlformats.org/officeDocument/2006/relationships/hyperlink" Target="https://enpower-school.com/ld-profile/" TargetMode="External"/><Relationship Id="rId144" Type="http://schemas.openxmlformats.org/officeDocument/2006/relationships/hyperlink" Target="https://enpower-school.com/ld-profile/" TargetMode="External"/><Relationship Id="rId265" Type="http://schemas.openxmlformats.org/officeDocument/2006/relationships/hyperlink" Target="https://enpower-school.com/wp-content/uploads/elementor/forms/5feadb7d6c752.pptx" TargetMode="External"/><Relationship Id="rId386" Type="http://schemas.openxmlformats.org/officeDocument/2006/relationships/hyperlink" Target="https://enpower-school.com/ld-profile/" TargetMode="External"/><Relationship Id="rId260" Type="http://schemas.openxmlformats.org/officeDocument/2006/relationships/hyperlink" Target="https://enpower-school.com/ld-profile/" TargetMode="External"/><Relationship Id="rId381" Type="http://schemas.openxmlformats.org/officeDocument/2006/relationships/hyperlink" Target="https://enpower-school.com/ld-profile/" TargetMode="External"/><Relationship Id="rId380" Type="http://schemas.openxmlformats.org/officeDocument/2006/relationships/hyperlink" Target="https://enpower-school.com/wp-content/uploads/elementor/forms/5fee0dbdb712a.pptx" TargetMode="External"/><Relationship Id="rId139" Type="http://schemas.openxmlformats.org/officeDocument/2006/relationships/hyperlink" Target="https://enpower-school.com/ld-profile/" TargetMode="External"/><Relationship Id="rId138" Type="http://schemas.openxmlformats.org/officeDocument/2006/relationships/hyperlink" Target="https://enpower-school.com/wp-content/uploads/elementor/forms/5fe89ac70d5a5.pptx" TargetMode="External"/><Relationship Id="rId259" Type="http://schemas.openxmlformats.org/officeDocument/2006/relationships/hyperlink" Target="https://enpower-school.com/wp-content/uploads/elementor/forms/5ff5670a8f7c3.pdf" TargetMode="External"/><Relationship Id="rId137" Type="http://schemas.openxmlformats.org/officeDocument/2006/relationships/hyperlink" Target="https://enpower-school.com/wp-content/uploads/elementor/forms/5fe89ac70d5a5.pptx" TargetMode="External"/><Relationship Id="rId258" Type="http://schemas.openxmlformats.org/officeDocument/2006/relationships/hyperlink" Target="https://enpower-school.com/ld-profile/" TargetMode="External"/><Relationship Id="rId379" Type="http://schemas.openxmlformats.org/officeDocument/2006/relationships/hyperlink" Target="https://enpower-school.com/ld-profile/" TargetMode="External"/><Relationship Id="rId132" Type="http://schemas.openxmlformats.org/officeDocument/2006/relationships/hyperlink" Target="https://enpower-school.com/ld-profile/" TargetMode="External"/><Relationship Id="rId253" Type="http://schemas.openxmlformats.org/officeDocument/2006/relationships/hyperlink" Target="https://enpower-school.com/wp-content/uploads/elementor/forms/5ffaf1f57e4fd.pptx" TargetMode="External"/><Relationship Id="rId374" Type="http://schemas.openxmlformats.org/officeDocument/2006/relationships/hyperlink" Target="https://enpower-school.com/ld-profile/" TargetMode="External"/><Relationship Id="rId495" Type="http://schemas.openxmlformats.org/officeDocument/2006/relationships/hyperlink" Target="https://enpower-school.com/ld-profile/" TargetMode="External"/><Relationship Id="rId131" Type="http://schemas.openxmlformats.org/officeDocument/2006/relationships/hyperlink" Target="https://enpower-school.com/ld-profile/" TargetMode="External"/><Relationship Id="rId252" Type="http://schemas.openxmlformats.org/officeDocument/2006/relationships/hyperlink" Target="https://enpower-school.com/ld-profile/" TargetMode="External"/><Relationship Id="rId373" Type="http://schemas.openxmlformats.org/officeDocument/2006/relationships/hyperlink" Target="https://enpower-school.com/wp-content/uploads/elementor/forms/5ff7515a73308.pptx" TargetMode="External"/><Relationship Id="rId494" Type="http://schemas.openxmlformats.org/officeDocument/2006/relationships/hyperlink" Target="https://enpower-school.com/ld-profile/" TargetMode="External"/><Relationship Id="rId130" Type="http://schemas.openxmlformats.org/officeDocument/2006/relationships/hyperlink" Target="https://enpower-school.com/wp-content/uploads/elementor/forms/5fedd1885a99f.pptx" TargetMode="External"/><Relationship Id="rId251" Type="http://schemas.openxmlformats.org/officeDocument/2006/relationships/hyperlink" Target="https://enpower-school.com/ld-profile/" TargetMode="External"/><Relationship Id="rId372" Type="http://schemas.openxmlformats.org/officeDocument/2006/relationships/hyperlink" Target="https://enpower-school.com/ld-profile/" TargetMode="External"/><Relationship Id="rId493" Type="http://schemas.openxmlformats.org/officeDocument/2006/relationships/hyperlink" Target="https://enpower-school.com/ld-profile/" TargetMode="External"/><Relationship Id="rId250" Type="http://schemas.openxmlformats.org/officeDocument/2006/relationships/hyperlink" Target="https://enpower-school.com/ld-profile/" TargetMode="External"/><Relationship Id="rId371" Type="http://schemas.openxmlformats.org/officeDocument/2006/relationships/hyperlink" Target="https://enpower-school.com/wp-content/uploads/elementor/forms/5fedff6623b0c.docx" TargetMode="External"/><Relationship Id="rId492" Type="http://schemas.openxmlformats.org/officeDocument/2006/relationships/hyperlink" Target="https://enpower-school.com/ld-profile/?profiletab=main" TargetMode="External"/><Relationship Id="rId136" Type="http://schemas.openxmlformats.org/officeDocument/2006/relationships/hyperlink" Target="https://enpower-school.com/ld-profile/" TargetMode="External"/><Relationship Id="rId257" Type="http://schemas.openxmlformats.org/officeDocument/2006/relationships/hyperlink" Target="https://enpower-school.com/wp-content/uploads/elementor/forms/5ff539c49ed23.doc" TargetMode="External"/><Relationship Id="rId378" Type="http://schemas.openxmlformats.org/officeDocument/2006/relationships/hyperlink" Target="https://enpower-school.com/ld-profile/" TargetMode="External"/><Relationship Id="rId499" Type="http://schemas.openxmlformats.org/officeDocument/2006/relationships/hyperlink" Target="https://enpower-school.com/ld-profile/" TargetMode="External"/><Relationship Id="rId135" Type="http://schemas.openxmlformats.org/officeDocument/2006/relationships/hyperlink" Target="https://enpower-school.com/ld-profile/" TargetMode="External"/><Relationship Id="rId256" Type="http://schemas.openxmlformats.org/officeDocument/2006/relationships/hyperlink" Target="https://enpower-school.com/ld-profile/" TargetMode="External"/><Relationship Id="rId377" Type="http://schemas.openxmlformats.org/officeDocument/2006/relationships/hyperlink" Target="https://enpower-school.com/wp-content/uploads/elementor/forms/5feac283d7eb1.pdf" TargetMode="External"/><Relationship Id="rId498" Type="http://schemas.openxmlformats.org/officeDocument/2006/relationships/hyperlink" Target="https://enpower-school.com/ld-profile/" TargetMode="External"/><Relationship Id="rId134" Type="http://schemas.openxmlformats.org/officeDocument/2006/relationships/hyperlink" Target="https://enpower-school.com/ld-profile/" TargetMode="External"/><Relationship Id="rId255" Type="http://schemas.openxmlformats.org/officeDocument/2006/relationships/hyperlink" Target="https://enpower-school.com/wp-content/uploads/elementor/forms/5fe93b91c2e94.pdf" TargetMode="External"/><Relationship Id="rId376" Type="http://schemas.openxmlformats.org/officeDocument/2006/relationships/hyperlink" Target="https://enpower-school.com/ld-profile/" TargetMode="External"/><Relationship Id="rId497" Type="http://schemas.openxmlformats.org/officeDocument/2006/relationships/hyperlink" Target="https://enpower-school.com/wp-content/uploads/elementor/forms/5fededb0b780b.pptx" TargetMode="External"/><Relationship Id="rId133" Type="http://schemas.openxmlformats.org/officeDocument/2006/relationships/hyperlink" Target="https://enpower-school.com/wp-content/uploads/elementor/forms/5ff5630dc2cea.docx" TargetMode="External"/><Relationship Id="rId254" Type="http://schemas.openxmlformats.org/officeDocument/2006/relationships/hyperlink" Target="https://enpower-school.com/ld-profile/" TargetMode="External"/><Relationship Id="rId375" Type="http://schemas.openxmlformats.org/officeDocument/2006/relationships/hyperlink" Target="https://enpower-school.com/wp-content/uploads/elementor/forms/5fe6d9bbdebf8.docx" TargetMode="External"/><Relationship Id="rId496" Type="http://schemas.openxmlformats.org/officeDocument/2006/relationships/hyperlink" Target="https://enpower-school.com/ld-profile/" TargetMode="External"/><Relationship Id="rId172" Type="http://schemas.openxmlformats.org/officeDocument/2006/relationships/hyperlink" Target="https://enpower-school.com/ld-profile/" TargetMode="External"/><Relationship Id="rId293" Type="http://schemas.openxmlformats.org/officeDocument/2006/relationships/hyperlink" Target="https://enpower-school.com/ld-profile/" TargetMode="External"/><Relationship Id="rId171" Type="http://schemas.openxmlformats.org/officeDocument/2006/relationships/hyperlink" Target="https://enpower-school.com/wp-content/uploads/elementor/forms/5fedf4a45cd8b.jpg" TargetMode="External"/><Relationship Id="rId292" Type="http://schemas.openxmlformats.org/officeDocument/2006/relationships/hyperlink" Target="https://enpower-school.com/wp-content/uploads/elementor/forms/5fe35777ba718.docx" TargetMode="External"/><Relationship Id="rId170" Type="http://schemas.openxmlformats.org/officeDocument/2006/relationships/hyperlink" Target="https://enpower-school.com/ld-profile/" TargetMode="External"/><Relationship Id="rId291" Type="http://schemas.openxmlformats.org/officeDocument/2006/relationships/hyperlink" Target="https://enpower-school.com/ld-profile/" TargetMode="External"/><Relationship Id="rId290" Type="http://schemas.openxmlformats.org/officeDocument/2006/relationships/hyperlink" Target="https://enpower-school.com/ld-profile/" TargetMode="External"/><Relationship Id="rId165" Type="http://schemas.openxmlformats.org/officeDocument/2006/relationships/hyperlink" Target="https://enpower-school.com/ld-profile/" TargetMode="External"/><Relationship Id="rId286" Type="http://schemas.openxmlformats.org/officeDocument/2006/relationships/hyperlink" Target="https://enpower-school.com/wp-content/uploads/elementor/forms/5ff7115887efc.docx" TargetMode="External"/><Relationship Id="rId164" Type="http://schemas.openxmlformats.org/officeDocument/2006/relationships/hyperlink" Target="https://enpower-school.com/wp-content/uploads/elementor/forms/5ff6a63627ec8.pptx" TargetMode="External"/><Relationship Id="rId285" Type="http://schemas.openxmlformats.org/officeDocument/2006/relationships/hyperlink" Target="https://enpower-school.com/ld-profile/" TargetMode="External"/><Relationship Id="rId163" Type="http://schemas.openxmlformats.org/officeDocument/2006/relationships/hyperlink" Target="https://enpower-school.com/ld-profile/" TargetMode="External"/><Relationship Id="rId284" Type="http://schemas.openxmlformats.org/officeDocument/2006/relationships/hyperlink" Target="https://enpower-school.com/wp-content/uploads/elementor/forms/5ff68b4eb5d22.pdf" TargetMode="External"/><Relationship Id="rId162" Type="http://schemas.openxmlformats.org/officeDocument/2006/relationships/hyperlink" Target="https://enpower-school.com/ld-profile/" TargetMode="External"/><Relationship Id="rId283" Type="http://schemas.openxmlformats.org/officeDocument/2006/relationships/hyperlink" Target="https://enpower-school.com/ld-profile/" TargetMode="External"/><Relationship Id="rId169" Type="http://schemas.openxmlformats.org/officeDocument/2006/relationships/hyperlink" Target="https://enpower-school.com/ld-profile/" TargetMode="External"/><Relationship Id="rId168" Type="http://schemas.openxmlformats.org/officeDocument/2006/relationships/hyperlink" Target="https://enpower-school.com/wp-content/uploads/elementor/forms/5fee73ce1e5f7.jpg" TargetMode="External"/><Relationship Id="rId289" Type="http://schemas.openxmlformats.org/officeDocument/2006/relationships/hyperlink" Target="https://enpower-school.com/wp-content/uploads/elementor/forms/5fe36e23ea5c2.pptx" TargetMode="External"/><Relationship Id="rId167" Type="http://schemas.openxmlformats.org/officeDocument/2006/relationships/hyperlink" Target="https://enpower-school.com/ld-profile/" TargetMode="External"/><Relationship Id="rId288" Type="http://schemas.openxmlformats.org/officeDocument/2006/relationships/hyperlink" Target="https://enpower-school.com/ld-profile/" TargetMode="External"/><Relationship Id="rId166" Type="http://schemas.openxmlformats.org/officeDocument/2006/relationships/hyperlink" Target="https://enpower-school.com/wp-content/uploads/elementor/forms/5ff7509e83087.pptx" TargetMode="External"/><Relationship Id="rId287" Type="http://schemas.openxmlformats.org/officeDocument/2006/relationships/hyperlink" Target="https://enpower-school.com/ld-profile/" TargetMode="External"/><Relationship Id="rId161" Type="http://schemas.openxmlformats.org/officeDocument/2006/relationships/hyperlink" Target="https://enpower-school.com/ld-profile/" TargetMode="External"/><Relationship Id="rId282" Type="http://schemas.openxmlformats.org/officeDocument/2006/relationships/hyperlink" Target="https://enpower-school.com/wp-content/uploads/elementor/forms/5fe8848386877.pdf" TargetMode="External"/><Relationship Id="rId160" Type="http://schemas.openxmlformats.org/officeDocument/2006/relationships/hyperlink" Target="https://enpower-school.com/wp-content/uploads/elementor/forms/5ff708ba9c22e.docx" TargetMode="External"/><Relationship Id="rId281" Type="http://schemas.openxmlformats.org/officeDocument/2006/relationships/hyperlink" Target="https://enpower-school.com/ld-profile/" TargetMode="External"/><Relationship Id="rId280" Type="http://schemas.openxmlformats.org/officeDocument/2006/relationships/hyperlink" Target="https://enpower-school.com/ld-profile/" TargetMode="External"/><Relationship Id="rId159" Type="http://schemas.openxmlformats.org/officeDocument/2006/relationships/hyperlink" Target="https://enpower-school.com/ld-profile/" TargetMode="External"/><Relationship Id="rId154" Type="http://schemas.openxmlformats.org/officeDocument/2006/relationships/hyperlink" Target="https://enpower-school.com/ld-profile/" TargetMode="External"/><Relationship Id="rId275" Type="http://schemas.openxmlformats.org/officeDocument/2006/relationships/hyperlink" Target="https://enpower-school.com/ld-profile/" TargetMode="External"/><Relationship Id="rId396" Type="http://schemas.openxmlformats.org/officeDocument/2006/relationships/hyperlink" Target="https://enpower-school.com/wp-content/uploads/elementor/forms/5ffb470656147.pdf" TargetMode="External"/><Relationship Id="rId153" Type="http://schemas.openxmlformats.org/officeDocument/2006/relationships/hyperlink" Target="https://enpower-school.com/wp-content/uploads/elementor/forms/5fedefaccc114.mp4" TargetMode="External"/><Relationship Id="rId274" Type="http://schemas.openxmlformats.org/officeDocument/2006/relationships/hyperlink" Target="https://enpower-school.com/ld-profile/" TargetMode="External"/><Relationship Id="rId395" Type="http://schemas.openxmlformats.org/officeDocument/2006/relationships/hyperlink" Target="https://enpower-school.com/ld-profile/" TargetMode="External"/><Relationship Id="rId152" Type="http://schemas.openxmlformats.org/officeDocument/2006/relationships/hyperlink" Target="https://enpower-school.com/ld-profile/" TargetMode="External"/><Relationship Id="rId273" Type="http://schemas.openxmlformats.org/officeDocument/2006/relationships/hyperlink" Target="https://enpower-school.com/ld-profile/" TargetMode="External"/><Relationship Id="rId394" Type="http://schemas.openxmlformats.org/officeDocument/2006/relationships/hyperlink" Target="https://drive.google.com/drive/folders/18QCYM6tgcCprMggFQ818XWWfZcsFinzB?usp=sharing" TargetMode="External"/><Relationship Id="rId151" Type="http://schemas.openxmlformats.org/officeDocument/2006/relationships/hyperlink" Target="https://enpower-school.com/wp-content/uploads/elementor/forms/5fe6b03a8ab3e.pptx" TargetMode="External"/><Relationship Id="rId272" Type="http://schemas.openxmlformats.org/officeDocument/2006/relationships/hyperlink" Target="https://enpower-school.com/ld-profile/" TargetMode="External"/><Relationship Id="rId393" Type="http://schemas.openxmlformats.org/officeDocument/2006/relationships/hyperlink" Target="https://enpower-school.com/ld-profile/" TargetMode="External"/><Relationship Id="rId158" Type="http://schemas.openxmlformats.org/officeDocument/2006/relationships/hyperlink" Target="https://enpower-school.com/ld-profile/" TargetMode="External"/><Relationship Id="rId279" Type="http://schemas.openxmlformats.org/officeDocument/2006/relationships/hyperlink" Target="https://enpower-school.com/wp-content/uploads/elementor/forms/5fe43f322d719.pptx" TargetMode="External"/><Relationship Id="rId157" Type="http://schemas.openxmlformats.org/officeDocument/2006/relationships/hyperlink" Target="https://enpower-school.com/wp-content/uploads/elementor/forms/5ff5928f74476.pptx" TargetMode="External"/><Relationship Id="rId278" Type="http://schemas.openxmlformats.org/officeDocument/2006/relationships/hyperlink" Target="https://enpower-school.com/ld-profile/" TargetMode="External"/><Relationship Id="rId399" Type="http://schemas.openxmlformats.org/officeDocument/2006/relationships/hyperlink" Target="https://enpower-school.com/ld-profile/" TargetMode="External"/><Relationship Id="rId156" Type="http://schemas.openxmlformats.org/officeDocument/2006/relationships/hyperlink" Target="https://enpower-school.com/ld-profile/" TargetMode="External"/><Relationship Id="rId277" Type="http://schemas.openxmlformats.org/officeDocument/2006/relationships/hyperlink" Target="https://enpower-school.com/wp-content/uploads/elementor/forms/5fe9da977f39d.pdf" TargetMode="External"/><Relationship Id="rId398" Type="http://schemas.openxmlformats.org/officeDocument/2006/relationships/hyperlink" Target="https://enpower-school.com/wp-content/uploads/elementor/forms/5ffbfb00ca13b.pdf" TargetMode="External"/><Relationship Id="rId155" Type="http://schemas.openxmlformats.org/officeDocument/2006/relationships/hyperlink" Target="https://enpower-school.com/wp-content/uploads/elementor/forms/5ff73d2b65aed.pptx" TargetMode="External"/><Relationship Id="rId276" Type="http://schemas.openxmlformats.org/officeDocument/2006/relationships/hyperlink" Target="https://enpower-school.com/wp-content/uploads/elementor/forms/5fe9da977f39d.pdf" TargetMode="External"/><Relationship Id="rId397" Type="http://schemas.openxmlformats.org/officeDocument/2006/relationships/hyperlink" Target="https://enpower-school.com/ld-profile/" TargetMode="External"/><Relationship Id="rId40" Type="http://schemas.openxmlformats.org/officeDocument/2006/relationships/hyperlink" Target="https://enpower-school.com/wp-content/uploads/elementor/forms/5fede96074ceb.mp4" TargetMode="External"/><Relationship Id="rId42" Type="http://schemas.openxmlformats.org/officeDocument/2006/relationships/hyperlink" Target="https://enpower-school.com/ld-profile/" TargetMode="External"/><Relationship Id="rId41" Type="http://schemas.openxmlformats.org/officeDocument/2006/relationships/hyperlink" Target="https://enpower-school.com/ld-profile/" TargetMode="External"/><Relationship Id="rId44" Type="http://schemas.openxmlformats.org/officeDocument/2006/relationships/hyperlink" Target="https://enpower-school.com/wp-content/uploads/elementor/forms/5fe9d6fbee5ec.pptx" TargetMode="External"/><Relationship Id="rId43" Type="http://schemas.openxmlformats.org/officeDocument/2006/relationships/hyperlink" Target="https://enpower-school.com/wp-content/uploads/elementor/forms/5fe9d6fbee5ec.pptx" TargetMode="External"/><Relationship Id="rId46" Type="http://schemas.openxmlformats.org/officeDocument/2006/relationships/hyperlink" Target="https://enpower-school.com/wp-content/uploads/elementor/forms/5ff6e08caf3c1.pdf" TargetMode="External"/><Relationship Id="rId45" Type="http://schemas.openxmlformats.org/officeDocument/2006/relationships/hyperlink" Target="https://enpower-school.com/ld-profile/" TargetMode="External"/><Relationship Id="rId509" Type="http://schemas.openxmlformats.org/officeDocument/2006/relationships/hyperlink" Target="https://enpower-school.com/wp-content/uploads/elementor/forms/5ff932a213abc.docx" TargetMode="External"/><Relationship Id="rId508" Type="http://schemas.openxmlformats.org/officeDocument/2006/relationships/hyperlink" Target="https://enpower-school.com/ld-profile/" TargetMode="External"/><Relationship Id="rId629" Type="http://schemas.openxmlformats.org/officeDocument/2006/relationships/hyperlink" Target="https://enpower-school.com/wp-content/uploads/elementor/forms/5ff1a77d4284d.pdf" TargetMode="External"/><Relationship Id="rId503" Type="http://schemas.openxmlformats.org/officeDocument/2006/relationships/hyperlink" Target="https://enpower-school.com/ld-profile/" TargetMode="External"/><Relationship Id="rId624" Type="http://schemas.openxmlformats.org/officeDocument/2006/relationships/hyperlink" Target="https://enpower-school.com/wp-content/uploads/elementor/forms/5ff1be0753213.pdf" TargetMode="External"/><Relationship Id="rId502" Type="http://schemas.openxmlformats.org/officeDocument/2006/relationships/hyperlink" Target="https://enpower-school.com/ld-profile/" TargetMode="External"/><Relationship Id="rId623" Type="http://schemas.openxmlformats.org/officeDocument/2006/relationships/hyperlink" Target="https://enpower-school.com/contact/" TargetMode="External"/><Relationship Id="rId501" Type="http://schemas.openxmlformats.org/officeDocument/2006/relationships/hyperlink" Target="https://enpower-school.com/ld-profile/" TargetMode="External"/><Relationship Id="rId622" Type="http://schemas.openxmlformats.org/officeDocument/2006/relationships/hyperlink" Target="https://enpower-school.com/ld-profile/" TargetMode="External"/><Relationship Id="rId500" Type="http://schemas.openxmlformats.org/officeDocument/2006/relationships/hyperlink" Target="https://enpower-school.com/wp-content/uploads/elementor/forms/5feb6610834ea.pptx" TargetMode="External"/><Relationship Id="rId621" Type="http://schemas.openxmlformats.org/officeDocument/2006/relationships/hyperlink" Target="https://enpower-school.com/ld-profile/" TargetMode="External"/><Relationship Id="rId507" Type="http://schemas.openxmlformats.org/officeDocument/2006/relationships/hyperlink" Target="https://enpower-school.com/wp-content/uploads/elementor/forms/5fee1473749af.docx" TargetMode="External"/><Relationship Id="rId628" Type="http://schemas.openxmlformats.org/officeDocument/2006/relationships/hyperlink" Target="https://enpower-school.com/ld-profile/" TargetMode="External"/><Relationship Id="rId506" Type="http://schemas.openxmlformats.org/officeDocument/2006/relationships/hyperlink" Target="https://enpower-school.com/ld-profile/" TargetMode="External"/><Relationship Id="rId627" Type="http://schemas.openxmlformats.org/officeDocument/2006/relationships/hyperlink" Target="https://enpower-school.com/wp-content/uploads/elementor/forms/5fef178ebbafe.jpg" TargetMode="External"/><Relationship Id="rId505" Type="http://schemas.openxmlformats.org/officeDocument/2006/relationships/hyperlink" Target="https://enpower-school.com/ld-profile/" TargetMode="External"/><Relationship Id="rId626" Type="http://schemas.openxmlformats.org/officeDocument/2006/relationships/hyperlink" Target="https://enpower-school.com/ld-profile/" TargetMode="External"/><Relationship Id="rId504" Type="http://schemas.openxmlformats.org/officeDocument/2006/relationships/hyperlink" Target="https://enpower-school.com/wp-content/uploads/elementor/forms/5fe88690aea8f.pdf" TargetMode="External"/><Relationship Id="rId625" Type="http://schemas.openxmlformats.org/officeDocument/2006/relationships/hyperlink" Target="https://enpower-school.com/ld-profile/" TargetMode="External"/><Relationship Id="rId48" Type="http://schemas.openxmlformats.org/officeDocument/2006/relationships/hyperlink" Target="https://enpower-school.com/ld-profile/" TargetMode="External"/><Relationship Id="rId47" Type="http://schemas.openxmlformats.org/officeDocument/2006/relationships/hyperlink" Target="https://enpower-school.com/ld-profile/" TargetMode="External"/><Relationship Id="rId49" Type="http://schemas.openxmlformats.org/officeDocument/2006/relationships/hyperlink" Target="https://enpower-school.com/wp-content/uploads/elementor/forms/5ff1c4464fc68.docx" TargetMode="External"/><Relationship Id="rId620" Type="http://schemas.openxmlformats.org/officeDocument/2006/relationships/hyperlink" Target="https://enpower-school.com/contact/" TargetMode="External"/><Relationship Id="rId31" Type="http://schemas.openxmlformats.org/officeDocument/2006/relationships/hyperlink" Target="https://enpower-school.com/wp-content/uploads/elementor/forms/5fedefaccc114.mp4" TargetMode="External"/><Relationship Id="rId30" Type="http://schemas.openxmlformats.org/officeDocument/2006/relationships/hyperlink" Target="https://enpower-school.com/ld-profile/" TargetMode="External"/><Relationship Id="rId33" Type="http://schemas.openxmlformats.org/officeDocument/2006/relationships/hyperlink" Target="https://enpower-school.com/wp-content/uploads/elementor/forms/5fe7127391787.pptx" TargetMode="External"/><Relationship Id="rId32" Type="http://schemas.openxmlformats.org/officeDocument/2006/relationships/hyperlink" Target="https://enpower-school.com/ld-profile/" TargetMode="External"/><Relationship Id="rId35" Type="http://schemas.openxmlformats.org/officeDocument/2006/relationships/hyperlink" Target="https://enpower-school.com/wp-content/uploads/elementor/forms/5fe87caf15a93.pptx" TargetMode="External"/><Relationship Id="rId34" Type="http://schemas.openxmlformats.org/officeDocument/2006/relationships/hyperlink" Target="https://enpower-school.com/ld-profile/" TargetMode="External"/><Relationship Id="rId619" Type="http://schemas.openxmlformats.org/officeDocument/2006/relationships/hyperlink" Target="https://enpower-school.com/ld-profile/" TargetMode="External"/><Relationship Id="rId618" Type="http://schemas.openxmlformats.org/officeDocument/2006/relationships/hyperlink" Target="https://enpower-school.com/ld-profile/" TargetMode="External"/><Relationship Id="rId613" Type="http://schemas.openxmlformats.org/officeDocument/2006/relationships/hyperlink" Target="https://enpower-school.com/wp-content/uploads/elementor/forms/5ff0299f5a719.pdf" TargetMode="External"/><Relationship Id="rId612" Type="http://schemas.openxmlformats.org/officeDocument/2006/relationships/hyperlink" Target="https://enpower-school.com/ld-profile/" TargetMode="External"/><Relationship Id="rId611" Type="http://schemas.openxmlformats.org/officeDocument/2006/relationships/hyperlink" Target="https://enpower-school.com/wp-content/uploads/elementor/forms/5ff9f6b3f0419.pptx" TargetMode="External"/><Relationship Id="rId610" Type="http://schemas.openxmlformats.org/officeDocument/2006/relationships/hyperlink" Target="https://enpower-school.com/ld-profile/" TargetMode="External"/><Relationship Id="rId617" Type="http://schemas.openxmlformats.org/officeDocument/2006/relationships/hyperlink" Target="https://enpower-school.com/wp-content/uploads/elementor/forms/5ff075a8a550e.jpeg" TargetMode="External"/><Relationship Id="rId616" Type="http://schemas.openxmlformats.org/officeDocument/2006/relationships/hyperlink" Target="https://enpower-school.com/ld-profile/" TargetMode="External"/><Relationship Id="rId615" Type="http://schemas.openxmlformats.org/officeDocument/2006/relationships/hyperlink" Target="https://enpower-school.com/ld-profile/" TargetMode="External"/><Relationship Id="rId614" Type="http://schemas.openxmlformats.org/officeDocument/2006/relationships/hyperlink" Target="https://enpower-school.com/ld-profile/" TargetMode="External"/><Relationship Id="rId37" Type="http://schemas.openxmlformats.org/officeDocument/2006/relationships/hyperlink" Target="https://enpower-school.com/ld-profile/" TargetMode="External"/><Relationship Id="rId36" Type="http://schemas.openxmlformats.org/officeDocument/2006/relationships/hyperlink" Target="https://enpower-school.com/ld-profile/" TargetMode="External"/><Relationship Id="rId39" Type="http://schemas.openxmlformats.org/officeDocument/2006/relationships/hyperlink" Target="https://enpower-school.com/contact/" TargetMode="External"/><Relationship Id="rId38" Type="http://schemas.openxmlformats.org/officeDocument/2006/relationships/hyperlink" Target="https://enpower-school.com/ld-profile/" TargetMode="External"/><Relationship Id="rId20" Type="http://schemas.openxmlformats.org/officeDocument/2006/relationships/hyperlink" Target="https://enpower-school.com/ld-profile/" TargetMode="External"/><Relationship Id="rId22" Type="http://schemas.openxmlformats.org/officeDocument/2006/relationships/hyperlink" Target="https://enpower-school.com/wp-content/uploads/elementor/forms/5fe8ce7809a87.pdf" TargetMode="External"/><Relationship Id="rId21" Type="http://schemas.openxmlformats.org/officeDocument/2006/relationships/hyperlink" Target="https://enpower-school.com/wp-content/uploads/elementor/forms/5fe8ce7809a87.pdf" TargetMode="External"/><Relationship Id="rId24" Type="http://schemas.openxmlformats.org/officeDocument/2006/relationships/hyperlink" Target="https://enpower-school.com/ld-profile/" TargetMode="External"/><Relationship Id="rId23" Type="http://schemas.openxmlformats.org/officeDocument/2006/relationships/hyperlink" Target="https://enpower-school.com/ld-profile/" TargetMode="External"/><Relationship Id="rId409" Type="http://schemas.openxmlformats.org/officeDocument/2006/relationships/hyperlink" Target="https://enpower-school.com/ld-profile/" TargetMode="External"/><Relationship Id="rId404" Type="http://schemas.openxmlformats.org/officeDocument/2006/relationships/hyperlink" Target="https://enpower-school.com/courses/be-a-part-of-indias-biggest-youth-entrepreneurship-hunt/" TargetMode="External"/><Relationship Id="rId525" Type="http://schemas.openxmlformats.org/officeDocument/2006/relationships/hyperlink" Target="https://enpower-school.com/wp-content/uploads/elementor/forms/5fecb42ace694.pptx" TargetMode="External"/><Relationship Id="rId646" Type="http://schemas.openxmlformats.org/officeDocument/2006/relationships/hyperlink" Target="https://enpower-school.com/wp-content/uploads/elementor/forms/5feb2e9a24099.docx" TargetMode="External"/><Relationship Id="rId403" Type="http://schemas.openxmlformats.org/officeDocument/2006/relationships/hyperlink" Target="https://enpower-school.com/wp-content/uploads/elementor/forms/5fd9f88459dd8.jpg" TargetMode="External"/><Relationship Id="rId524" Type="http://schemas.openxmlformats.org/officeDocument/2006/relationships/hyperlink" Target="https://enpower-school.com/ld-profile/" TargetMode="External"/><Relationship Id="rId645" Type="http://schemas.openxmlformats.org/officeDocument/2006/relationships/hyperlink" Target="https://enpower-school.com/ld-profile/" TargetMode="External"/><Relationship Id="rId402" Type="http://schemas.openxmlformats.org/officeDocument/2006/relationships/hyperlink" Target="https://enpower-school.com/wp-content/uploads/elementor/forms/5fd9f88459dd8.jpg" TargetMode="External"/><Relationship Id="rId523" Type="http://schemas.openxmlformats.org/officeDocument/2006/relationships/hyperlink" Target="https://enpower-school.com/ld-profile/" TargetMode="External"/><Relationship Id="rId644" Type="http://schemas.openxmlformats.org/officeDocument/2006/relationships/hyperlink" Target="https://enpower-school.com/wp-content/uploads/elementor/forms/5fee0bc982aa0.pptx" TargetMode="External"/><Relationship Id="rId401" Type="http://schemas.openxmlformats.org/officeDocument/2006/relationships/hyperlink" Target="https://enpower-school.com/ld-profile/" TargetMode="External"/><Relationship Id="rId522" Type="http://schemas.openxmlformats.org/officeDocument/2006/relationships/hyperlink" Target="https://enpower-school.com/wp-content/uploads/elementor/forms/5feb55164666d.docx" TargetMode="External"/><Relationship Id="rId643" Type="http://schemas.openxmlformats.org/officeDocument/2006/relationships/hyperlink" Target="https://enpower-school.com/ld-profile/" TargetMode="External"/><Relationship Id="rId408" Type="http://schemas.openxmlformats.org/officeDocument/2006/relationships/hyperlink" Target="https://enpower-school.com/ld-profile/" TargetMode="External"/><Relationship Id="rId529" Type="http://schemas.openxmlformats.org/officeDocument/2006/relationships/hyperlink" Target="https://enpower-school.com/ld-profile/?profiletab=comments" TargetMode="External"/><Relationship Id="rId407" Type="http://schemas.openxmlformats.org/officeDocument/2006/relationships/hyperlink" Target="https://enpower-school.com/wp-content/uploads/elementor/forms/5fedf7e242f90.mp3" TargetMode="External"/><Relationship Id="rId528" Type="http://schemas.openxmlformats.org/officeDocument/2006/relationships/hyperlink" Target="https://enpower-school.com/ld-profile/" TargetMode="External"/><Relationship Id="rId649" Type="http://schemas.openxmlformats.org/officeDocument/2006/relationships/hyperlink" Target="mailto:100noodhariwal@gmail.com" TargetMode="External"/><Relationship Id="rId406" Type="http://schemas.openxmlformats.org/officeDocument/2006/relationships/hyperlink" Target="https://enpower-school.com/ld-profile/" TargetMode="External"/><Relationship Id="rId527" Type="http://schemas.openxmlformats.org/officeDocument/2006/relationships/hyperlink" Target="https://enpower-school.com/ld-profile/" TargetMode="External"/><Relationship Id="rId648" Type="http://schemas.openxmlformats.org/officeDocument/2006/relationships/hyperlink" Target="https://enpower-school.com/ld-profile/" TargetMode="External"/><Relationship Id="rId405" Type="http://schemas.openxmlformats.org/officeDocument/2006/relationships/hyperlink" Target="https://enpower-school.com/wp-content/uploads/elementor/forms/5fe5fba61d604.pdf" TargetMode="External"/><Relationship Id="rId526" Type="http://schemas.openxmlformats.org/officeDocument/2006/relationships/hyperlink" Target="https://enpower-school.com/ld-profile/" TargetMode="External"/><Relationship Id="rId647" Type="http://schemas.openxmlformats.org/officeDocument/2006/relationships/hyperlink" Target="https://enpower-school.com/ld-profile/" TargetMode="External"/><Relationship Id="rId26" Type="http://schemas.openxmlformats.org/officeDocument/2006/relationships/hyperlink" Target="https://enpower-school.com/ld-profile/" TargetMode="External"/><Relationship Id="rId25" Type="http://schemas.openxmlformats.org/officeDocument/2006/relationships/hyperlink" Target="https://enpower-school.com/wp-content/uploads/elementor/forms/5ffb4788a0d1f.pdf" TargetMode="External"/><Relationship Id="rId28" Type="http://schemas.openxmlformats.org/officeDocument/2006/relationships/hyperlink" Target="https://enpower-school.com/wp-content/uploads/elementor/forms/5fee18a5cc765.pdf" TargetMode="External"/><Relationship Id="rId27" Type="http://schemas.openxmlformats.org/officeDocument/2006/relationships/hyperlink" Target="https://enpower-school.com/ld-profile/" TargetMode="External"/><Relationship Id="rId400" Type="http://schemas.openxmlformats.org/officeDocument/2006/relationships/hyperlink" Target="https://enpower-school.com/wp-content/uploads/elementor/forms/5fe43823037d5.pptx" TargetMode="External"/><Relationship Id="rId521" Type="http://schemas.openxmlformats.org/officeDocument/2006/relationships/hyperlink" Target="https://enpower-school.com/ld-profile/" TargetMode="External"/><Relationship Id="rId642" Type="http://schemas.openxmlformats.org/officeDocument/2006/relationships/hyperlink" Target="https://enpower-school.com/ld-profile/" TargetMode="External"/><Relationship Id="rId29" Type="http://schemas.openxmlformats.org/officeDocument/2006/relationships/hyperlink" Target="https://enpower-school.com/ld-profile/" TargetMode="External"/><Relationship Id="rId520" Type="http://schemas.openxmlformats.org/officeDocument/2006/relationships/hyperlink" Target="https://enpower-school.com/wp-content/uploads/elementor/forms/5fe5929c676e6.mp4" TargetMode="External"/><Relationship Id="rId641" Type="http://schemas.openxmlformats.org/officeDocument/2006/relationships/hyperlink" Target="https://enpower-school.com/ld-profile/" TargetMode="External"/><Relationship Id="rId640" Type="http://schemas.openxmlformats.org/officeDocument/2006/relationships/hyperlink" Target="https://enpower-school.com/ld-profile/" TargetMode="External"/><Relationship Id="rId11" Type="http://schemas.openxmlformats.org/officeDocument/2006/relationships/hyperlink" Target="https://enpower-school.com/wp-content/uploads/elementor/forms/5fe4bf89869f5.docx" TargetMode="External"/><Relationship Id="rId10" Type="http://schemas.openxmlformats.org/officeDocument/2006/relationships/hyperlink" Target="https://enpower-school.com/ld-profile/" TargetMode="External"/><Relationship Id="rId13" Type="http://schemas.openxmlformats.org/officeDocument/2006/relationships/hyperlink" Target="https://drive.google.com/file/d/1gOy4yunYXnikXDVOINm9qmgCdti1WcFC/view?usp=drivesdk" TargetMode="External"/><Relationship Id="rId12" Type="http://schemas.openxmlformats.org/officeDocument/2006/relationships/hyperlink" Target="https://enpower-school.com/ld-profile/" TargetMode="External"/><Relationship Id="rId519" Type="http://schemas.openxmlformats.org/officeDocument/2006/relationships/hyperlink" Target="https://enpower-school.com/ld-profile/" TargetMode="External"/><Relationship Id="rId514" Type="http://schemas.openxmlformats.org/officeDocument/2006/relationships/hyperlink" Target="https://enpower-school.com/ld-profile/" TargetMode="External"/><Relationship Id="rId635" Type="http://schemas.openxmlformats.org/officeDocument/2006/relationships/hyperlink" Target="https://enpower-school.com/ld-profile/" TargetMode="External"/><Relationship Id="rId513" Type="http://schemas.openxmlformats.org/officeDocument/2006/relationships/hyperlink" Target="https://enpower-school.com/wp-content/uploads/elementor/forms/5feaedafb79b4.pptx" TargetMode="External"/><Relationship Id="rId634" Type="http://schemas.openxmlformats.org/officeDocument/2006/relationships/hyperlink" Target="https://enpower-school.com/wp-content/uploads/elementor/forms/5fe07bcaa7fd1.jpg" TargetMode="External"/><Relationship Id="rId512" Type="http://schemas.openxmlformats.org/officeDocument/2006/relationships/hyperlink" Target="https://enpower-school.com/ld-profile/" TargetMode="External"/><Relationship Id="rId633" Type="http://schemas.openxmlformats.org/officeDocument/2006/relationships/hyperlink" Target="https://enpower-school.com/ld-profile/" TargetMode="External"/><Relationship Id="rId511" Type="http://schemas.openxmlformats.org/officeDocument/2006/relationships/hyperlink" Target="https://enpower-school.com/wp-content/uploads/elementor/forms/5fe04d9fa73ed.mp4" TargetMode="External"/><Relationship Id="rId632" Type="http://schemas.openxmlformats.org/officeDocument/2006/relationships/hyperlink" Target="https://enpower-school.com/ld-profile/" TargetMode="External"/><Relationship Id="rId518" Type="http://schemas.openxmlformats.org/officeDocument/2006/relationships/hyperlink" Target="https://enpower-school.com/wp-content/uploads/elementor/forms/5ff47a6779f49.doc" TargetMode="External"/><Relationship Id="rId639" Type="http://schemas.openxmlformats.org/officeDocument/2006/relationships/hyperlink" Target="https://enpower-school.com/ld-profile/" TargetMode="External"/><Relationship Id="rId517" Type="http://schemas.openxmlformats.org/officeDocument/2006/relationships/hyperlink" Target="https://enpower-school.com/ld-profile/" TargetMode="External"/><Relationship Id="rId638" Type="http://schemas.openxmlformats.org/officeDocument/2006/relationships/hyperlink" Target="https://enpower-school.com/ld-profile/" TargetMode="External"/><Relationship Id="rId516" Type="http://schemas.openxmlformats.org/officeDocument/2006/relationships/hyperlink" Target="https://enpower-school.com/wp-content/uploads/elementor/forms/5fee008773cb9.docx" TargetMode="External"/><Relationship Id="rId637" Type="http://schemas.openxmlformats.org/officeDocument/2006/relationships/hyperlink" Target="https://enpower-school.com/wp-content/uploads/elementor/forms/5fe22cfd9e256.mp4" TargetMode="External"/><Relationship Id="rId515" Type="http://schemas.openxmlformats.org/officeDocument/2006/relationships/hyperlink" Target="https://enpower-school.com/ld-profile/" TargetMode="External"/><Relationship Id="rId636" Type="http://schemas.openxmlformats.org/officeDocument/2006/relationships/hyperlink" Target="https://enpower-school.com/ld-profile/" TargetMode="External"/><Relationship Id="rId15" Type="http://schemas.openxmlformats.org/officeDocument/2006/relationships/hyperlink" Target="https://enpower-school.com/ld-profile/" TargetMode="External"/><Relationship Id="rId14" Type="http://schemas.openxmlformats.org/officeDocument/2006/relationships/hyperlink" Target="https://enpower-school.com/ld-profile/" TargetMode="External"/><Relationship Id="rId17" Type="http://schemas.openxmlformats.org/officeDocument/2006/relationships/hyperlink" Target="https://enpower-school.com/wp-content/uploads/elementor/forms/5fe441518c9de.pdf" TargetMode="External"/><Relationship Id="rId16" Type="http://schemas.openxmlformats.org/officeDocument/2006/relationships/hyperlink" Target="https://enpower-school.com/ld-profile/" TargetMode="External"/><Relationship Id="rId19" Type="http://schemas.openxmlformats.org/officeDocument/2006/relationships/hyperlink" Target="https://enpower-school.com/wp-content/uploads/elementor/forms/5fe746d2b5c91.pdf" TargetMode="External"/><Relationship Id="rId510" Type="http://schemas.openxmlformats.org/officeDocument/2006/relationships/hyperlink" Target="https://enpower-school.com/ld-profile/" TargetMode="External"/><Relationship Id="rId631" Type="http://schemas.openxmlformats.org/officeDocument/2006/relationships/hyperlink" Target="https://enpower-school.com/ld-profile/" TargetMode="External"/><Relationship Id="rId18" Type="http://schemas.openxmlformats.org/officeDocument/2006/relationships/hyperlink" Target="https://enpower-school.com/ld-profile/" TargetMode="External"/><Relationship Id="rId630" Type="http://schemas.openxmlformats.org/officeDocument/2006/relationships/hyperlink" Target="https://enpower-school.com/ld-profile/general/?updated=account" TargetMode="External"/><Relationship Id="rId84" Type="http://schemas.openxmlformats.org/officeDocument/2006/relationships/hyperlink" Target="https://enpower-school.com/ld-profile/" TargetMode="External"/><Relationship Id="rId83" Type="http://schemas.openxmlformats.org/officeDocument/2006/relationships/hyperlink" Target="https://enpower-school.com/ld-profile/" TargetMode="External"/><Relationship Id="rId86" Type="http://schemas.openxmlformats.org/officeDocument/2006/relationships/hyperlink" Target="https://enpower-school.com/wp-content/uploads/elementor/forms/5fedfac5597b9.mp4" TargetMode="External"/><Relationship Id="rId85" Type="http://schemas.openxmlformats.org/officeDocument/2006/relationships/hyperlink" Target="https://enpower-school.com/ld-profile/" TargetMode="External"/><Relationship Id="rId88" Type="http://schemas.openxmlformats.org/officeDocument/2006/relationships/hyperlink" Target="https://enpower-school.com/ld-profile/" TargetMode="External"/><Relationship Id="rId87" Type="http://schemas.openxmlformats.org/officeDocument/2006/relationships/hyperlink" Target="https://enpower-school.com/ld-profile/" TargetMode="External"/><Relationship Id="rId89" Type="http://schemas.openxmlformats.org/officeDocument/2006/relationships/hyperlink" Target="https://enpower-school.com/wp-content/uploads/elementor/forms/5fdefa64db41b.pptx" TargetMode="External"/><Relationship Id="rId80" Type="http://schemas.openxmlformats.org/officeDocument/2006/relationships/hyperlink" Target="https://enpower-school.com/ld-profile/" TargetMode="External"/><Relationship Id="rId82" Type="http://schemas.openxmlformats.org/officeDocument/2006/relationships/hyperlink" Target="https://enpower-school.com/wp-content/uploads/elementor/forms/5fe5d8f624c3c.jpg" TargetMode="External"/><Relationship Id="rId81" Type="http://schemas.openxmlformats.org/officeDocument/2006/relationships/hyperlink" Target="http://bit.ly/ssosvideo" TargetMode="External"/><Relationship Id="rId73" Type="http://schemas.openxmlformats.org/officeDocument/2006/relationships/hyperlink" Target="https://enpower-school.com/wp-content/uploads/elementor/forms/5feb491ea4ccb.docx" TargetMode="External"/><Relationship Id="rId72" Type="http://schemas.openxmlformats.org/officeDocument/2006/relationships/hyperlink" Target="https://enpower-school.com/ld-profile/" TargetMode="External"/><Relationship Id="rId75" Type="http://schemas.openxmlformats.org/officeDocument/2006/relationships/hyperlink" Target="https://enpower-school.com/wp-content/uploads/elementor/forms/5ff74012b9105.pptx" TargetMode="External"/><Relationship Id="rId74" Type="http://schemas.openxmlformats.org/officeDocument/2006/relationships/hyperlink" Target="https://enpower-school.com/ld-profile/" TargetMode="External"/><Relationship Id="rId77" Type="http://schemas.openxmlformats.org/officeDocument/2006/relationships/hyperlink" Target="https://enpower-school.com/wp-content/uploads/elementor/forms/5feddb5282790.pptx" TargetMode="External"/><Relationship Id="rId76" Type="http://schemas.openxmlformats.org/officeDocument/2006/relationships/hyperlink" Target="https://enpower-school.com/ld-profile/" TargetMode="External"/><Relationship Id="rId79" Type="http://schemas.openxmlformats.org/officeDocument/2006/relationships/hyperlink" Target="https://enpower-school.com/wp-content/uploads/elementor/forms/5ff4754359b76.pptx" TargetMode="External"/><Relationship Id="rId78" Type="http://schemas.openxmlformats.org/officeDocument/2006/relationships/hyperlink" Target="https://enpower-school.com/ld-profile/" TargetMode="External"/><Relationship Id="rId71" Type="http://schemas.openxmlformats.org/officeDocument/2006/relationships/hyperlink" Target="https://enpower-school.com/wp-content/uploads/elementor/forms/5feb2d906e316.docx" TargetMode="External"/><Relationship Id="rId70" Type="http://schemas.openxmlformats.org/officeDocument/2006/relationships/hyperlink" Target="https://enpower-school.com/wp-content/uploads/elementor/forms/5feb2d906e316.docx" TargetMode="External"/><Relationship Id="rId62" Type="http://schemas.openxmlformats.org/officeDocument/2006/relationships/hyperlink" Target="https://enpower-school.com/wp-content/uploads/elementor/forms/5fededb0b780b.pptx" TargetMode="External"/><Relationship Id="rId61" Type="http://schemas.openxmlformats.org/officeDocument/2006/relationships/hyperlink" Target="https://enpower-school.com/ld-profile/" TargetMode="External"/><Relationship Id="rId64" Type="http://schemas.openxmlformats.org/officeDocument/2006/relationships/hyperlink" Target="https://enpower-school.com/wp-content/uploads/elementor/forms/5feb611e8a564.pptx" TargetMode="External"/><Relationship Id="rId63" Type="http://schemas.openxmlformats.org/officeDocument/2006/relationships/hyperlink" Target="https://enpower-school.com/ld-profile/" TargetMode="External"/><Relationship Id="rId66" Type="http://schemas.openxmlformats.org/officeDocument/2006/relationships/hyperlink" Target="https://enpower-school.com/ld-profile/" TargetMode="External"/><Relationship Id="rId65" Type="http://schemas.openxmlformats.org/officeDocument/2006/relationships/hyperlink" Target="https://enpower-school.com/ld-profile/" TargetMode="External"/><Relationship Id="rId68" Type="http://schemas.openxmlformats.org/officeDocument/2006/relationships/hyperlink" Target="https://enpower-school.com/ld-profile/orders/" TargetMode="External"/><Relationship Id="rId67" Type="http://schemas.openxmlformats.org/officeDocument/2006/relationships/hyperlink" Target="https://enpower-school.com/wp-content/uploads/elementor/forms/5ff735be634c0.pdf" TargetMode="External"/><Relationship Id="rId609" Type="http://schemas.openxmlformats.org/officeDocument/2006/relationships/hyperlink" Target="https://enpower-school.com/ld-profile/" TargetMode="External"/><Relationship Id="rId608" Type="http://schemas.openxmlformats.org/officeDocument/2006/relationships/hyperlink" Target="https://enpower-school.com/wp-content/uploads/elementor/forms/5fecbd6d3f33a.pptx" TargetMode="External"/><Relationship Id="rId607" Type="http://schemas.openxmlformats.org/officeDocument/2006/relationships/hyperlink" Target="https://enpower-school.com/ld-profile/general/?updated=account" TargetMode="External"/><Relationship Id="rId60" Type="http://schemas.openxmlformats.org/officeDocument/2006/relationships/hyperlink" Target="https://enpower-school.com/wp-content/uploads/elementor/forms/5ff86f5ff21e3.docx" TargetMode="External"/><Relationship Id="rId602" Type="http://schemas.openxmlformats.org/officeDocument/2006/relationships/hyperlink" Target="https://enpower-school.com/ld-profile/" TargetMode="External"/><Relationship Id="rId601" Type="http://schemas.openxmlformats.org/officeDocument/2006/relationships/hyperlink" Target="https://enpower-school.com/wp-content/uploads/elementor/forms/5feca2b940901.mp4" TargetMode="External"/><Relationship Id="rId600" Type="http://schemas.openxmlformats.org/officeDocument/2006/relationships/hyperlink" Target="https://enpower-school.com/ld-profile/" TargetMode="External"/><Relationship Id="rId606" Type="http://schemas.openxmlformats.org/officeDocument/2006/relationships/hyperlink" Target="https://enpower-school.com/wp-content/uploads/elementor/forms/5fecb8931000c.pptx" TargetMode="External"/><Relationship Id="rId605" Type="http://schemas.openxmlformats.org/officeDocument/2006/relationships/hyperlink" Target="https://enpower-school.com/ld-profile/" TargetMode="External"/><Relationship Id="rId604" Type="http://schemas.openxmlformats.org/officeDocument/2006/relationships/hyperlink" Target="https://enpower-school.com/wp-content/uploads/elementor/forms/5fecb0eac7321.pptx" TargetMode="External"/><Relationship Id="rId603" Type="http://schemas.openxmlformats.org/officeDocument/2006/relationships/hyperlink" Target="https://enpower-school.com/ld-profile/" TargetMode="External"/><Relationship Id="rId69" Type="http://schemas.openxmlformats.org/officeDocument/2006/relationships/hyperlink" Target="https://enpower-school.com/ld-profile/" TargetMode="External"/><Relationship Id="rId51" Type="http://schemas.openxmlformats.org/officeDocument/2006/relationships/hyperlink" Target="https://enpower-school.com/ld-profile/" TargetMode="External"/><Relationship Id="rId50" Type="http://schemas.openxmlformats.org/officeDocument/2006/relationships/hyperlink" Target="https://enpower-school.com/ld-profile/" TargetMode="External"/><Relationship Id="rId53" Type="http://schemas.openxmlformats.org/officeDocument/2006/relationships/hyperlink" Target="https://enpower-school.com/ld-profile/" TargetMode="External"/><Relationship Id="rId52" Type="http://schemas.openxmlformats.org/officeDocument/2006/relationships/hyperlink" Target="https://enpower-school.com/ld-profile/" TargetMode="External"/><Relationship Id="rId55" Type="http://schemas.openxmlformats.org/officeDocument/2006/relationships/hyperlink" Target="https://enpower-school.com/wp-content/uploads/elementor/forms/5fee3eb4d0d9f.pptx" TargetMode="External"/><Relationship Id="rId54" Type="http://schemas.openxmlformats.org/officeDocument/2006/relationships/hyperlink" Target="https://enpower-school.com/ld-profile/" TargetMode="External"/><Relationship Id="rId57" Type="http://schemas.openxmlformats.org/officeDocument/2006/relationships/hyperlink" Target="https://enpower-school.com/courses/be-a-part-of-indias-biggest-youth-entrepreneurship-hunt/" TargetMode="External"/><Relationship Id="rId56" Type="http://schemas.openxmlformats.org/officeDocument/2006/relationships/hyperlink" Target="https://enpower-school.com/ld-profile/" TargetMode="External"/><Relationship Id="rId59" Type="http://schemas.openxmlformats.org/officeDocument/2006/relationships/hyperlink" Target="https://enpower-school.com/ld-profile/" TargetMode="External"/><Relationship Id="rId58" Type="http://schemas.openxmlformats.org/officeDocument/2006/relationships/hyperlink" Target="https://enpower-school.com/ld-profile/" TargetMode="External"/><Relationship Id="rId590" Type="http://schemas.openxmlformats.org/officeDocument/2006/relationships/hyperlink" Target="https://enpower-school.com/ld-profile/" TargetMode="External"/><Relationship Id="rId107" Type="http://schemas.openxmlformats.org/officeDocument/2006/relationships/hyperlink" Target="https://enpower-school.com/wp-content/uploads/elementor/forms/5ffb4a43100d9.pptx" TargetMode="External"/><Relationship Id="rId228" Type="http://schemas.openxmlformats.org/officeDocument/2006/relationships/hyperlink" Target="https://enpower-school.com/wp-content/uploads/elementor/forms/5ff5e2b0563e3.pptx" TargetMode="External"/><Relationship Id="rId349" Type="http://schemas.openxmlformats.org/officeDocument/2006/relationships/hyperlink" Target="https://enpower-school.com/wp-content/uploads/elementor/forms/5fee17b422980.pptx" TargetMode="External"/><Relationship Id="rId106" Type="http://schemas.openxmlformats.org/officeDocument/2006/relationships/hyperlink" Target="https://enpower-school.com/ld-profile/" TargetMode="External"/><Relationship Id="rId227" Type="http://schemas.openxmlformats.org/officeDocument/2006/relationships/hyperlink" Target="https://enpower-school.com/wp-content/uploads/elementor/forms/5ff5e2b0563e3.pptx" TargetMode="External"/><Relationship Id="rId348" Type="http://schemas.openxmlformats.org/officeDocument/2006/relationships/hyperlink" Target="https://enpower-school.com/ld-profile/" TargetMode="External"/><Relationship Id="rId469" Type="http://schemas.openxmlformats.org/officeDocument/2006/relationships/hyperlink" Target="https://enpower-school.com/ld-profile/" TargetMode="External"/><Relationship Id="rId105" Type="http://schemas.openxmlformats.org/officeDocument/2006/relationships/hyperlink" Target="https://enpower-school.com/ld-profile/" TargetMode="External"/><Relationship Id="rId226" Type="http://schemas.openxmlformats.org/officeDocument/2006/relationships/hyperlink" Target="https://enpower-school.com/ld-profile/" TargetMode="External"/><Relationship Id="rId347" Type="http://schemas.openxmlformats.org/officeDocument/2006/relationships/hyperlink" Target="https://enpower-school.com/wp-content/uploads/elementor/forms/5ff6bcf51fab4.pptx" TargetMode="External"/><Relationship Id="rId468" Type="http://schemas.openxmlformats.org/officeDocument/2006/relationships/hyperlink" Target="https://enpower-school.com/wp-content/uploads/elementor/forms/5fdddf22396d0.pptx" TargetMode="External"/><Relationship Id="rId589" Type="http://schemas.openxmlformats.org/officeDocument/2006/relationships/hyperlink" Target="https://enpower-school.com/ld-profile/" TargetMode="External"/><Relationship Id="rId104" Type="http://schemas.openxmlformats.org/officeDocument/2006/relationships/hyperlink" Target="https://enpower-school.com/wp-content/uploads/elementor/forms/5fe7fa8075ea4.pptx" TargetMode="External"/><Relationship Id="rId225" Type="http://schemas.openxmlformats.org/officeDocument/2006/relationships/hyperlink" Target="https://enpower-school.com/wp-content/uploads/elementor/forms/5ffaa66cc7a57.mp4" TargetMode="External"/><Relationship Id="rId346" Type="http://schemas.openxmlformats.org/officeDocument/2006/relationships/hyperlink" Target="https://enpower-school.com/wp-content/uploads/elementor/forms/5ff6bcf51fab4.pptx" TargetMode="External"/><Relationship Id="rId467" Type="http://schemas.openxmlformats.org/officeDocument/2006/relationships/hyperlink" Target="https://enpower-school.com/ld-profile/" TargetMode="External"/><Relationship Id="rId588" Type="http://schemas.openxmlformats.org/officeDocument/2006/relationships/hyperlink" Target="https://enpower-school.com/ld-profile/" TargetMode="External"/><Relationship Id="rId109" Type="http://schemas.openxmlformats.org/officeDocument/2006/relationships/hyperlink" Target="https://enpower-school.com/wp-content/uploads/elementor/forms/5fe7823624583.jpg" TargetMode="External"/><Relationship Id="rId108" Type="http://schemas.openxmlformats.org/officeDocument/2006/relationships/hyperlink" Target="https://enpower-school.com/ld-profile/" TargetMode="External"/><Relationship Id="rId229" Type="http://schemas.openxmlformats.org/officeDocument/2006/relationships/hyperlink" Target="https://enpower-school.com/ld-profile/" TargetMode="External"/><Relationship Id="rId220" Type="http://schemas.openxmlformats.org/officeDocument/2006/relationships/hyperlink" Target="https://enpower-school.com/ld-profile/" TargetMode="External"/><Relationship Id="rId341" Type="http://schemas.openxmlformats.org/officeDocument/2006/relationships/hyperlink" Target="https://enpower-school.com/ld-profile/" TargetMode="External"/><Relationship Id="rId462" Type="http://schemas.openxmlformats.org/officeDocument/2006/relationships/hyperlink" Target="https://enpower-school.com/wp-content/uploads/elementor/forms/5ff73c77dc51c.pdf" TargetMode="External"/><Relationship Id="rId583" Type="http://schemas.openxmlformats.org/officeDocument/2006/relationships/hyperlink" Target="https://enpower-school.com/wp-content/uploads/elementor/forms/5fec91a0f0b1d.docx" TargetMode="External"/><Relationship Id="rId340" Type="http://schemas.openxmlformats.org/officeDocument/2006/relationships/hyperlink" Target="https://enpower-school.com/wp-content/uploads/elementor/forms/5ffb428044213.pdf" TargetMode="External"/><Relationship Id="rId461" Type="http://schemas.openxmlformats.org/officeDocument/2006/relationships/hyperlink" Target="https://enpower-school.com/ld-profile/" TargetMode="External"/><Relationship Id="rId582" Type="http://schemas.openxmlformats.org/officeDocument/2006/relationships/hyperlink" Target="https://enpower-school.com/ld-profile/" TargetMode="External"/><Relationship Id="rId460" Type="http://schemas.openxmlformats.org/officeDocument/2006/relationships/hyperlink" Target="https://enpower-school.com/wp-content/uploads/elementor/forms/5ff70dce013d8.pdf" TargetMode="External"/><Relationship Id="rId581" Type="http://schemas.openxmlformats.org/officeDocument/2006/relationships/hyperlink" Target="https://enpower-school.com/ld-profile/" TargetMode="External"/><Relationship Id="rId580" Type="http://schemas.openxmlformats.org/officeDocument/2006/relationships/hyperlink" Target="https://enpower-school.com/wp-content/uploads/elementor/forms/5fec8ebf6254d.docx" TargetMode="External"/><Relationship Id="rId103" Type="http://schemas.openxmlformats.org/officeDocument/2006/relationships/hyperlink" Target="https://enpower-school.com/ld-profile/" TargetMode="External"/><Relationship Id="rId224" Type="http://schemas.openxmlformats.org/officeDocument/2006/relationships/hyperlink" Target="https://enpower-school.com/ld-profile/" TargetMode="External"/><Relationship Id="rId345" Type="http://schemas.openxmlformats.org/officeDocument/2006/relationships/hyperlink" Target="https://enpower-school.com/ld-profile/" TargetMode="External"/><Relationship Id="rId466" Type="http://schemas.openxmlformats.org/officeDocument/2006/relationships/hyperlink" Target="https://enpower-school.com/wp-content/uploads/elementor/forms/5fe705fcc4d66.docx" TargetMode="External"/><Relationship Id="rId587" Type="http://schemas.openxmlformats.org/officeDocument/2006/relationships/hyperlink" Target="https://enpower-school.com/ld-profile/" TargetMode="External"/><Relationship Id="rId102" Type="http://schemas.openxmlformats.org/officeDocument/2006/relationships/hyperlink" Target="https://enpower-school.com/ld-profile/" TargetMode="External"/><Relationship Id="rId223" Type="http://schemas.openxmlformats.org/officeDocument/2006/relationships/hyperlink" Target="https://enpower-school.com/ld-profile/" TargetMode="External"/><Relationship Id="rId344" Type="http://schemas.openxmlformats.org/officeDocument/2006/relationships/hyperlink" Target="https://enpower-school.com/wp-content/uploads/elementor/forms/5fe72a9c28956.pptx" TargetMode="External"/><Relationship Id="rId465" Type="http://schemas.openxmlformats.org/officeDocument/2006/relationships/hyperlink" Target="https://enpower-school.com/ld-profile/" TargetMode="External"/><Relationship Id="rId586" Type="http://schemas.openxmlformats.org/officeDocument/2006/relationships/hyperlink" Target="https://enpower-school.com/ld-profile/" TargetMode="External"/><Relationship Id="rId101" Type="http://schemas.openxmlformats.org/officeDocument/2006/relationships/hyperlink" Target="https://enpower-school.com/wp-content/uploads/elementor/forms/5fe6e1331bc98.pdf" TargetMode="External"/><Relationship Id="rId222" Type="http://schemas.openxmlformats.org/officeDocument/2006/relationships/hyperlink" Target="https://enpower-school.com/wp-content/uploads/elementor/forms/5fede046379fd.mp4" TargetMode="External"/><Relationship Id="rId343" Type="http://schemas.openxmlformats.org/officeDocument/2006/relationships/hyperlink" Target="https://enpower-school.com/ld-profile/" TargetMode="External"/><Relationship Id="rId464" Type="http://schemas.openxmlformats.org/officeDocument/2006/relationships/hyperlink" Target="https://enpower-school.com/wp-content/uploads/elementor/forms/5ffb02347947c.mp4" TargetMode="External"/><Relationship Id="rId585" Type="http://schemas.openxmlformats.org/officeDocument/2006/relationships/hyperlink" Target="https://enpower-school.com/wp-content/uploads/elementor/forms/5fec900bc67db.docx" TargetMode="External"/><Relationship Id="rId100" Type="http://schemas.openxmlformats.org/officeDocument/2006/relationships/hyperlink" Target="https://enpower-school.com/ld-profile/" TargetMode="External"/><Relationship Id="rId221" Type="http://schemas.openxmlformats.org/officeDocument/2006/relationships/hyperlink" Target="https://enpower-school.com/ld-profile/" TargetMode="External"/><Relationship Id="rId342" Type="http://schemas.openxmlformats.org/officeDocument/2006/relationships/hyperlink" Target="https://enpower-school.com/wp-content/uploads/elementor/forms/5ff9e629e6f93.pdf" TargetMode="External"/><Relationship Id="rId463" Type="http://schemas.openxmlformats.org/officeDocument/2006/relationships/hyperlink" Target="https://enpower-school.com/ld-profile/" TargetMode="External"/><Relationship Id="rId584" Type="http://schemas.openxmlformats.org/officeDocument/2006/relationships/hyperlink" Target="https://enpower-school.com/ld-profile/" TargetMode="External"/><Relationship Id="rId217" Type="http://schemas.openxmlformats.org/officeDocument/2006/relationships/hyperlink" Target="https://enpower-school.com/ld-profile/" TargetMode="External"/><Relationship Id="rId338" Type="http://schemas.openxmlformats.org/officeDocument/2006/relationships/hyperlink" Target="https://enpower-school.com/wp-content/uploads/elementor/forms/5fd72455bc2d2.png" TargetMode="External"/><Relationship Id="rId459" Type="http://schemas.openxmlformats.org/officeDocument/2006/relationships/hyperlink" Target="https://enpower-school.com/ld-profile/" TargetMode="External"/><Relationship Id="rId216" Type="http://schemas.openxmlformats.org/officeDocument/2006/relationships/hyperlink" Target="https://enpower-school.com/wp-content/uploads/elementor/forms/5fee035434d00.pdf" TargetMode="External"/><Relationship Id="rId337" Type="http://schemas.openxmlformats.org/officeDocument/2006/relationships/hyperlink" Target="https://enpower-school.com/courses/be-a-part-of-indias-biggest-youth-entrepreneurship-hunt/" TargetMode="External"/><Relationship Id="rId458" Type="http://schemas.openxmlformats.org/officeDocument/2006/relationships/hyperlink" Target="https://enpower-school.com/ld-profile/" TargetMode="External"/><Relationship Id="rId579" Type="http://schemas.openxmlformats.org/officeDocument/2006/relationships/hyperlink" Target="https://enpower-school.com/ld-profile/" TargetMode="External"/><Relationship Id="rId215" Type="http://schemas.openxmlformats.org/officeDocument/2006/relationships/hyperlink" Target="https://enpower-school.com/ld-profile/" TargetMode="External"/><Relationship Id="rId336" Type="http://schemas.openxmlformats.org/officeDocument/2006/relationships/hyperlink" Target="https://enpower-school.com/ld-profile/general/?updated=account" TargetMode="External"/><Relationship Id="rId457" Type="http://schemas.openxmlformats.org/officeDocument/2006/relationships/hyperlink" Target="https://enpower-school.com/wp-content/uploads/elementor/forms/5fede52fa7a2b.mp4" TargetMode="External"/><Relationship Id="rId578" Type="http://schemas.openxmlformats.org/officeDocument/2006/relationships/hyperlink" Target="https://enpower-school.com/ld-profile/" TargetMode="External"/><Relationship Id="rId214" Type="http://schemas.openxmlformats.org/officeDocument/2006/relationships/hyperlink" Target="https://enpower-school.com/wp-content/uploads/elementor/forms/5fca58f83dea7.png" TargetMode="External"/><Relationship Id="rId335" Type="http://schemas.openxmlformats.org/officeDocument/2006/relationships/hyperlink" Target="https://enpower-school.com/ld-profile/" TargetMode="External"/><Relationship Id="rId456" Type="http://schemas.openxmlformats.org/officeDocument/2006/relationships/hyperlink" Target="https://enpower-school.com/ld-profile/" TargetMode="External"/><Relationship Id="rId577" Type="http://schemas.openxmlformats.org/officeDocument/2006/relationships/hyperlink" Target="https://enpower-school.com/ld-profile/" TargetMode="External"/><Relationship Id="rId219" Type="http://schemas.openxmlformats.org/officeDocument/2006/relationships/hyperlink" Target="https://enpower-school.com/wp-content/uploads/elementor/forms/5feabc8398e15.pdf" TargetMode="External"/><Relationship Id="rId218" Type="http://schemas.openxmlformats.org/officeDocument/2006/relationships/hyperlink" Target="https://enpower-school.com/wp-content/uploads/elementor/forms/5feabc8398e15.pdf" TargetMode="External"/><Relationship Id="rId339" Type="http://schemas.openxmlformats.org/officeDocument/2006/relationships/hyperlink" Target="https://enpower-school.com/courses/be-a-part-of-indias-biggest-youth-entrepreneurship-hunt/" TargetMode="External"/><Relationship Id="rId330" Type="http://schemas.openxmlformats.org/officeDocument/2006/relationships/hyperlink" Target="https://enpower-school.com/ld-profile/" TargetMode="External"/><Relationship Id="rId451" Type="http://schemas.openxmlformats.org/officeDocument/2006/relationships/hyperlink" Target="https://enpower-school.com/ld-profile/" TargetMode="External"/><Relationship Id="rId572" Type="http://schemas.openxmlformats.org/officeDocument/2006/relationships/hyperlink" Target="https://enpower-school.com/wp-content/uploads/elementor/forms/5fec49e652da1.pdf" TargetMode="External"/><Relationship Id="rId450" Type="http://schemas.openxmlformats.org/officeDocument/2006/relationships/hyperlink" Target="https://enpower-school.com/ld-profile/" TargetMode="External"/><Relationship Id="rId571" Type="http://schemas.openxmlformats.org/officeDocument/2006/relationships/hyperlink" Target="https://enpower-school.com/ld-profile/" TargetMode="External"/><Relationship Id="rId570" Type="http://schemas.openxmlformats.org/officeDocument/2006/relationships/hyperlink" Target="https://enpower-school.com/ld-profile/" TargetMode="External"/><Relationship Id="rId213" Type="http://schemas.openxmlformats.org/officeDocument/2006/relationships/hyperlink" Target="https://enpower-school.com/wp-content/uploads/elementor/forms/5fca58f83dea7.png" TargetMode="External"/><Relationship Id="rId334" Type="http://schemas.openxmlformats.org/officeDocument/2006/relationships/hyperlink" Target="https://enpower-school.com/ld-profile/" TargetMode="External"/><Relationship Id="rId455" Type="http://schemas.openxmlformats.org/officeDocument/2006/relationships/hyperlink" Target="https://enpower-school.com/wp-content/uploads/elementor/forms/5ff59a794c911.pptx" TargetMode="External"/><Relationship Id="rId576" Type="http://schemas.openxmlformats.org/officeDocument/2006/relationships/hyperlink" Target="https://enpower-school.com/ld-profile/orders/" TargetMode="External"/><Relationship Id="rId212" Type="http://schemas.openxmlformats.org/officeDocument/2006/relationships/hyperlink" Target="mailto:nihalnihz95@gmail.com" TargetMode="External"/><Relationship Id="rId333" Type="http://schemas.openxmlformats.org/officeDocument/2006/relationships/hyperlink" Target="https://enpower-school.com/wp-content/uploads/elementor/forms/5fe89ca9571f0.jpg" TargetMode="External"/><Relationship Id="rId454" Type="http://schemas.openxmlformats.org/officeDocument/2006/relationships/hyperlink" Target="https://enpower-school.com/wp-content/uploads/elementor/forms/5ff59a794c911.pptx" TargetMode="External"/><Relationship Id="rId575" Type="http://schemas.openxmlformats.org/officeDocument/2006/relationships/hyperlink" Target="https://enpower-school.com/ld-profile/" TargetMode="External"/><Relationship Id="rId211" Type="http://schemas.openxmlformats.org/officeDocument/2006/relationships/hyperlink" Target="mailto:nihalnihz95@gmail.com" TargetMode="External"/><Relationship Id="rId332" Type="http://schemas.openxmlformats.org/officeDocument/2006/relationships/hyperlink" Target="https://enpower-school.com/wp-content/uploads/elementor/forms/5fe89ca9571f0.jpg" TargetMode="External"/><Relationship Id="rId453" Type="http://schemas.openxmlformats.org/officeDocument/2006/relationships/hyperlink" Target="https://enpower-school.com/ld-profile/" TargetMode="External"/><Relationship Id="rId574" Type="http://schemas.openxmlformats.org/officeDocument/2006/relationships/hyperlink" Target="https://enpower-school.com/wp-content/uploads/elementor/forms/5fedcae05b505.pptx" TargetMode="External"/><Relationship Id="rId210" Type="http://schemas.openxmlformats.org/officeDocument/2006/relationships/hyperlink" Target="https://www.diygenius.com/hacking-your-brain-waves/" TargetMode="External"/><Relationship Id="rId331" Type="http://schemas.openxmlformats.org/officeDocument/2006/relationships/hyperlink" Target="https://enpower-school.com/ld-profile/" TargetMode="External"/><Relationship Id="rId452" Type="http://schemas.openxmlformats.org/officeDocument/2006/relationships/hyperlink" Target="https://enpower-school.com/wp-content/uploads/elementor/forms/5fe85c1344bea.pptx" TargetMode="External"/><Relationship Id="rId573" Type="http://schemas.openxmlformats.org/officeDocument/2006/relationships/hyperlink" Target="https://enpower-school.com/ld-profile/" TargetMode="External"/><Relationship Id="rId370" Type="http://schemas.openxmlformats.org/officeDocument/2006/relationships/hyperlink" Target="https://enpower-school.com/ld-profile/" TargetMode="External"/><Relationship Id="rId491" Type="http://schemas.openxmlformats.org/officeDocument/2006/relationships/hyperlink" Target="https://enpower-school.com/wp-content/uploads/elementor/forms/5fe4a4e00ef13.mp4" TargetMode="External"/><Relationship Id="rId490" Type="http://schemas.openxmlformats.org/officeDocument/2006/relationships/hyperlink" Target="https://enpower-school.com/ld-profile/" TargetMode="External"/><Relationship Id="rId129" Type="http://schemas.openxmlformats.org/officeDocument/2006/relationships/hyperlink" Target="https://enpower-school.com/ld-profile/" TargetMode="External"/><Relationship Id="rId128" Type="http://schemas.openxmlformats.org/officeDocument/2006/relationships/hyperlink" Target="https://enpower-school.com/wp-content/uploads/elementor/forms/5feab89f8bac1.docx" TargetMode="External"/><Relationship Id="rId249" Type="http://schemas.openxmlformats.org/officeDocument/2006/relationships/hyperlink" Target="https://enpower-school.com/wp-content/uploads/elementor/forms/5fe309920d880.pptx" TargetMode="External"/><Relationship Id="rId127" Type="http://schemas.openxmlformats.org/officeDocument/2006/relationships/hyperlink" Target="https://enpower-school.com/ld-profile/" TargetMode="External"/><Relationship Id="rId248" Type="http://schemas.openxmlformats.org/officeDocument/2006/relationships/hyperlink" Target="https://enpower-school.com/wp-content/uploads/elementor/forms/5fe309920d880.pptx" TargetMode="External"/><Relationship Id="rId369" Type="http://schemas.openxmlformats.org/officeDocument/2006/relationships/hyperlink" Target="https://enpower-school.com/wp-content/uploads/elementor/forms/5fee1509cabd1.pptx" TargetMode="External"/><Relationship Id="rId126" Type="http://schemas.openxmlformats.org/officeDocument/2006/relationships/hyperlink" Target="https://enpower-school.com/ld-profile/" TargetMode="External"/><Relationship Id="rId247" Type="http://schemas.openxmlformats.org/officeDocument/2006/relationships/hyperlink" Target="https://enpower-school.com/ld-profile/" TargetMode="External"/><Relationship Id="rId368" Type="http://schemas.openxmlformats.org/officeDocument/2006/relationships/hyperlink" Target="https://enpower-school.com/ld-profile/" TargetMode="External"/><Relationship Id="rId489" Type="http://schemas.openxmlformats.org/officeDocument/2006/relationships/hyperlink" Target="https://enpower-school.com/wp-content/uploads/elementor/forms/5ff9bdedf2138.pdf" TargetMode="External"/><Relationship Id="rId121" Type="http://schemas.openxmlformats.org/officeDocument/2006/relationships/hyperlink" Target="https://enpower-school.com/wp-content/uploads/elementor/forms/5fede046379fd.mp4" TargetMode="External"/><Relationship Id="rId242" Type="http://schemas.openxmlformats.org/officeDocument/2006/relationships/hyperlink" Target="https://enpower-school.com/wp-content/uploads/elementor/forms/5ff5ebfc3e8b9.jpeg" TargetMode="External"/><Relationship Id="rId363" Type="http://schemas.openxmlformats.org/officeDocument/2006/relationships/hyperlink" Target="https://enpower-school.com/wp-content/uploads/elementor/forms/5feb071f430e8.pdf" TargetMode="External"/><Relationship Id="rId484" Type="http://schemas.openxmlformats.org/officeDocument/2006/relationships/hyperlink" Target="https://enpower-school.com/ld-profile/" TargetMode="External"/><Relationship Id="rId120" Type="http://schemas.openxmlformats.org/officeDocument/2006/relationships/hyperlink" Target="https://enpower-school.com/ld-profile/" TargetMode="External"/><Relationship Id="rId241" Type="http://schemas.openxmlformats.org/officeDocument/2006/relationships/hyperlink" Target="https://enpower-school.com/ld-profile/" TargetMode="External"/><Relationship Id="rId362" Type="http://schemas.openxmlformats.org/officeDocument/2006/relationships/hyperlink" Target="https://enpower-school.com/ld-profile/" TargetMode="External"/><Relationship Id="rId483" Type="http://schemas.openxmlformats.org/officeDocument/2006/relationships/hyperlink" Target="https://enpower-school.com/ld-profile/" TargetMode="External"/><Relationship Id="rId240" Type="http://schemas.openxmlformats.org/officeDocument/2006/relationships/hyperlink" Target="https://enpower-school.com/ld-profile/" TargetMode="External"/><Relationship Id="rId361" Type="http://schemas.openxmlformats.org/officeDocument/2006/relationships/hyperlink" Target="https://enpower-school.com/wp-content/uploads/elementor/forms/5ffb05b6a2e5e.pdf" TargetMode="External"/><Relationship Id="rId482" Type="http://schemas.openxmlformats.org/officeDocument/2006/relationships/hyperlink" Target="https://enpower-school.com/wp-content/uploads/elementor/forms/5fe5b24b2856e.jpg" TargetMode="External"/><Relationship Id="rId360" Type="http://schemas.openxmlformats.org/officeDocument/2006/relationships/hyperlink" Target="https://enpower-school.com/ld-profile/" TargetMode="External"/><Relationship Id="rId481" Type="http://schemas.openxmlformats.org/officeDocument/2006/relationships/hyperlink" Target="https://enpower-school.com/ld-profile/" TargetMode="External"/><Relationship Id="rId125" Type="http://schemas.openxmlformats.org/officeDocument/2006/relationships/hyperlink" Target="https://enpower-school.com/wp-content/uploads/elementor/forms/5ff95369de6b7.mp4" TargetMode="External"/><Relationship Id="rId246" Type="http://schemas.openxmlformats.org/officeDocument/2006/relationships/hyperlink" Target="https://enpower-school.com/wp-content/uploads/elementor/forms/5fe71a4e736c3.pptx" TargetMode="External"/><Relationship Id="rId367" Type="http://schemas.openxmlformats.org/officeDocument/2006/relationships/hyperlink" Target="http://olabs.edu/" TargetMode="External"/><Relationship Id="rId488" Type="http://schemas.openxmlformats.org/officeDocument/2006/relationships/hyperlink" Target="https://enpower-school.com/ld-profile/" TargetMode="External"/><Relationship Id="rId124" Type="http://schemas.openxmlformats.org/officeDocument/2006/relationships/hyperlink" Target="https://enpower-school.com/ld-profile/" TargetMode="External"/><Relationship Id="rId245" Type="http://schemas.openxmlformats.org/officeDocument/2006/relationships/hyperlink" Target="https://enpower-school.com/ld-profile/" TargetMode="External"/><Relationship Id="rId366" Type="http://schemas.openxmlformats.org/officeDocument/2006/relationships/hyperlink" Target="https://enpower-school.com/ld-profile/" TargetMode="External"/><Relationship Id="rId487" Type="http://schemas.openxmlformats.org/officeDocument/2006/relationships/hyperlink" Target="https://enpower-school.com/wp-content/uploads/elementor/forms/5ff7541e85638.pptx" TargetMode="External"/><Relationship Id="rId123" Type="http://schemas.openxmlformats.org/officeDocument/2006/relationships/hyperlink" Target="https://enpower-school.com/wp-content/uploads/elementor/forms/5ffb34ab62b72.pdf" TargetMode="External"/><Relationship Id="rId244" Type="http://schemas.openxmlformats.org/officeDocument/2006/relationships/hyperlink" Target="https://enpower-school.com/wp-content/uploads/elementor/forms/5ff739f0aea60.pptx" TargetMode="External"/><Relationship Id="rId365" Type="http://schemas.openxmlformats.org/officeDocument/2006/relationships/hyperlink" Target="https://enpower-school.com/wp-content/uploads/elementor/forms/5feed5b4e1b5f.pdf" TargetMode="External"/><Relationship Id="rId486" Type="http://schemas.openxmlformats.org/officeDocument/2006/relationships/hyperlink" Target="https://enpower-school.com/ld-profile/" TargetMode="External"/><Relationship Id="rId122" Type="http://schemas.openxmlformats.org/officeDocument/2006/relationships/hyperlink" Target="https://enpower-school.com/ld-profile/?profiletab=main" TargetMode="External"/><Relationship Id="rId243" Type="http://schemas.openxmlformats.org/officeDocument/2006/relationships/hyperlink" Target="https://enpower-school.com/ld-profile/" TargetMode="External"/><Relationship Id="rId364" Type="http://schemas.openxmlformats.org/officeDocument/2006/relationships/hyperlink" Target="https://enpower-school.com/ld-profile/" TargetMode="External"/><Relationship Id="rId485" Type="http://schemas.openxmlformats.org/officeDocument/2006/relationships/hyperlink" Target="https://enpower-school.com/wp-content/uploads/elementor/forms/5fecb76dc72b6.pptx" TargetMode="External"/><Relationship Id="rId95" Type="http://schemas.openxmlformats.org/officeDocument/2006/relationships/hyperlink" Target="mailto:siddhantlal103@gmail.com" TargetMode="External"/><Relationship Id="rId94" Type="http://schemas.openxmlformats.org/officeDocument/2006/relationships/hyperlink" Target="mailto:siddhantlal103@gmail.com" TargetMode="External"/><Relationship Id="rId97" Type="http://schemas.openxmlformats.org/officeDocument/2006/relationships/hyperlink" Target="https://enpower-school.com/wp-content/uploads/elementor/forms/5fc9decde1c04.mp4" TargetMode="External"/><Relationship Id="rId96" Type="http://schemas.openxmlformats.org/officeDocument/2006/relationships/hyperlink" Target="https://enpower-school.com/wp-content/uploads/elementor/forms/5fc9decde1c04.mp4" TargetMode="External"/><Relationship Id="rId99" Type="http://schemas.openxmlformats.org/officeDocument/2006/relationships/hyperlink" Target="https://enpower-school.com/wp-content/uploads/elementor/forms/5fe9c5040ddac.mp4" TargetMode="External"/><Relationship Id="rId480" Type="http://schemas.openxmlformats.org/officeDocument/2006/relationships/hyperlink" Target="https://enpower-school.com/wp-content/uploads/elementor/forms/5ff45bedad24a.pptx" TargetMode="External"/><Relationship Id="rId98" Type="http://schemas.openxmlformats.org/officeDocument/2006/relationships/hyperlink" Target="https://enpower-school.com/wp-content/uploads/elementor/forms/5fe9c5040ddac.mp4" TargetMode="External"/><Relationship Id="rId91" Type="http://schemas.openxmlformats.org/officeDocument/2006/relationships/hyperlink" Target="https://enpower-school.com/ld-profile/" TargetMode="External"/><Relationship Id="rId90" Type="http://schemas.openxmlformats.org/officeDocument/2006/relationships/hyperlink" Target="https://enpower-school.com/ld-profile/" TargetMode="External"/><Relationship Id="rId93" Type="http://schemas.openxmlformats.org/officeDocument/2006/relationships/hyperlink" Target="https://enpower-school.com/wp-content/uploads/elementor/forms/5fcb06a68753a.jpg" TargetMode="External"/><Relationship Id="rId92" Type="http://schemas.openxmlformats.org/officeDocument/2006/relationships/hyperlink" Target="mailto:siddobrawal@gmail.com" TargetMode="External"/><Relationship Id="rId118" Type="http://schemas.openxmlformats.org/officeDocument/2006/relationships/hyperlink" Target="https://enpower-school.com/wp-content/uploads/elementor/forms/5fe9c6065d814.pptx" TargetMode="External"/><Relationship Id="rId239" Type="http://schemas.openxmlformats.org/officeDocument/2006/relationships/hyperlink" Target="https://enpower-school.com/wp-content/uploads/elementor/forms/5fe06b22d9b17.pptx" TargetMode="External"/><Relationship Id="rId117" Type="http://schemas.openxmlformats.org/officeDocument/2006/relationships/hyperlink" Target="https://enpower-school.com/ld-profile/" TargetMode="External"/><Relationship Id="rId238" Type="http://schemas.openxmlformats.org/officeDocument/2006/relationships/hyperlink" Target="https://enpower-school.com/ld-profile/" TargetMode="External"/><Relationship Id="rId359" Type="http://schemas.openxmlformats.org/officeDocument/2006/relationships/hyperlink" Target="https://enpower-school.com/wp-content/uploads/elementor/forms/5ffb4738ac381.pptx" TargetMode="External"/><Relationship Id="rId116" Type="http://schemas.openxmlformats.org/officeDocument/2006/relationships/hyperlink" Target="https://enpower-school.com/wp-content/uploads/elementor/forms/5fead8877344f.pptx" TargetMode="External"/><Relationship Id="rId237" Type="http://schemas.openxmlformats.org/officeDocument/2006/relationships/hyperlink" Target="https://enpower-school.com/wp-content/uploads/elementor/forms/5fee0765a8e97.mp4" TargetMode="External"/><Relationship Id="rId358" Type="http://schemas.openxmlformats.org/officeDocument/2006/relationships/hyperlink" Target="https://enpower-school.com/ld-profile/" TargetMode="External"/><Relationship Id="rId479" Type="http://schemas.openxmlformats.org/officeDocument/2006/relationships/hyperlink" Target="https://enpower-school.com/ld-profile/" TargetMode="External"/><Relationship Id="rId115" Type="http://schemas.openxmlformats.org/officeDocument/2006/relationships/hyperlink" Target="https://enpower-school.com/wp-content/uploads/elementor/forms/5fead8877344f.pptx" TargetMode="External"/><Relationship Id="rId236" Type="http://schemas.openxmlformats.org/officeDocument/2006/relationships/hyperlink" Target="https://enpower-school.com/ld-profile/" TargetMode="External"/><Relationship Id="rId357" Type="http://schemas.openxmlformats.org/officeDocument/2006/relationships/hyperlink" Target="https://enpower-school.com/ld-profile/" TargetMode="External"/><Relationship Id="rId478" Type="http://schemas.openxmlformats.org/officeDocument/2006/relationships/hyperlink" Target="https://enpower-school.com/ld-profile/" TargetMode="External"/><Relationship Id="rId599" Type="http://schemas.openxmlformats.org/officeDocument/2006/relationships/hyperlink" Target="https://enpower-school.com/wp-content/upload738e.jpg" TargetMode="External"/><Relationship Id="rId119" Type="http://schemas.openxmlformats.org/officeDocument/2006/relationships/hyperlink" Target="https://enpower-school.com/wp-content/uploads/elementor/forms/5fe9c6065d814.pptx" TargetMode="External"/><Relationship Id="rId110" Type="http://schemas.openxmlformats.org/officeDocument/2006/relationships/hyperlink" Target="https://enpower-school.com/ld-profile/orders/" TargetMode="External"/><Relationship Id="rId231" Type="http://schemas.openxmlformats.org/officeDocument/2006/relationships/hyperlink" Target="https://enpower-school.com/ld-profile/" TargetMode="External"/><Relationship Id="rId352" Type="http://schemas.openxmlformats.org/officeDocument/2006/relationships/hyperlink" Target="https://enpower-school.com/wp-content/uploads/elementor/forms/5feca88585a22.pptx" TargetMode="External"/><Relationship Id="rId473" Type="http://schemas.openxmlformats.org/officeDocument/2006/relationships/hyperlink" Target="https://enpower-school.com/ld-profile/" TargetMode="External"/><Relationship Id="rId594" Type="http://schemas.openxmlformats.org/officeDocument/2006/relationships/hyperlink" Target="https://enpower-school.com/ld-profile/" TargetMode="External"/><Relationship Id="rId230" Type="http://schemas.openxmlformats.org/officeDocument/2006/relationships/hyperlink" Target="https://enpower-school.com/wp-content/uploads/elementor/forms/5fe0c10d8ac48.pptx" TargetMode="External"/><Relationship Id="rId351" Type="http://schemas.openxmlformats.org/officeDocument/2006/relationships/hyperlink" Target="https://enpower-school.com/ld-profile/" TargetMode="External"/><Relationship Id="rId472" Type="http://schemas.openxmlformats.org/officeDocument/2006/relationships/hyperlink" Target="https://enpower-school.com/wp-content/uploads/elementor/forms/5febbcdb00a90.pptx" TargetMode="External"/><Relationship Id="rId593" Type="http://schemas.openxmlformats.org/officeDocument/2006/relationships/hyperlink" Target="https://enpower-school.com/wp-content/uploads/elementor/forms/5fec1440ad85a.pdf" TargetMode="External"/><Relationship Id="rId350" Type="http://schemas.openxmlformats.org/officeDocument/2006/relationships/hyperlink" Target="https://enpower-school.com/ld-profile/" TargetMode="External"/><Relationship Id="rId471" Type="http://schemas.openxmlformats.org/officeDocument/2006/relationships/hyperlink" Target="https://enpower-school.com/ld-profile/" TargetMode="External"/><Relationship Id="rId592" Type="http://schemas.openxmlformats.org/officeDocument/2006/relationships/hyperlink" Target="https://enpower-school.com/ld-profile/" TargetMode="External"/><Relationship Id="rId470" Type="http://schemas.openxmlformats.org/officeDocument/2006/relationships/hyperlink" Target="https://enpower-school.com/ld-profile/" TargetMode="External"/><Relationship Id="rId591" Type="http://schemas.openxmlformats.org/officeDocument/2006/relationships/hyperlink" Target="https://enpower-school.com/ld-profile/" TargetMode="External"/><Relationship Id="rId114" Type="http://schemas.openxmlformats.org/officeDocument/2006/relationships/hyperlink" Target="https://enpower-school.com/ld-profile/" TargetMode="External"/><Relationship Id="rId235" Type="http://schemas.openxmlformats.org/officeDocument/2006/relationships/hyperlink" Target="https://enpower-school.com/wp-content/uploads/elementor/forms/5feb2abdb5d0e.pdf" TargetMode="External"/><Relationship Id="rId356" Type="http://schemas.openxmlformats.org/officeDocument/2006/relationships/hyperlink" Target="https://enpower-school.com/wp-content/uploads/elementor/forms/5ff72e7a37e2f.pptx" TargetMode="External"/><Relationship Id="rId477" Type="http://schemas.openxmlformats.org/officeDocument/2006/relationships/hyperlink" Target="https://enpower-school.com/wp-content/uploads/elementor/forms/5ff8e894e6f79.pptx" TargetMode="External"/><Relationship Id="rId598" Type="http://schemas.openxmlformats.org/officeDocument/2006/relationships/hyperlink" Target="https://enpower-school.com/ld-profile/" TargetMode="External"/><Relationship Id="rId113" Type="http://schemas.openxmlformats.org/officeDocument/2006/relationships/hyperlink" Target="https://enpower-school.com/wp-content/uploads/elementor/forms/5ff6dcbc19135.pptx" TargetMode="External"/><Relationship Id="rId234" Type="http://schemas.openxmlformats.org/officeDocument/2006/relationships/hyperlink" Target="https://enpower-school.com/wp-content/uploads/elementor/forms/5feb2abdb5d0e.pdf" TargetMode="External"/><Relationship Id="rId355" Type="http://schemas.openxmlformats.org/officeDocument/2006/relationships/hyperlink" Target="https://enpower-school.com/ld-profile/" TargetMode="External"/><Relationship Id="rId476" Type="http://schemas.openxmlformats.org/officeDocument/2006/relationships/hyperlink" Target="https://enpower-school.com/ld-profile/" TargetMode="External"/><Relationship Id="rId597" Type="http://schemas.openxmlformats.org/officeDocument/2006/relationships/hyperlink" Target="https://enpower-school.com/wp-content/uploads/elementor/forms/5fec1a8f0a9d4.mp4" TargetMode="External"/><Relationship Id="rId112" Type="http://schemas.openxmlformats.org/officeDocument/2006/relationships/hyperlink" Target="https://enpower-school.com/ld-profile/" TargetMode="External"/><Relationship Id="rId233" Type="http://schemas.openxmlformats.org/officeDocument/2006/relationships/hyperlink" Target="https://enpower-school.com/wp-content/uploads/elementor/forms/5fce79e244298.mp4" TargetMode="External"/><Relationship Id="rId354" Type="http://schemas.openxmlformats.org/officeDocument/2006/relationships/hyperlink" Target="https://enpower-school.com/wp-content/uploads/elementor/forms/5ff5c458056b6.pdf" TargetMode="External"/><Relationship Id="rId475" Type="http://schemas.openxmlformats.org/officeDocument/2006/relationships/hyperlink" Target="https://enpower-school.com/ld-profile/" TargetMode="External"/><Relationship Id="rId596" Type="http://schemas.openxmlformats.org/officeDocument/2006/relationships/hyperlink" Target="https://enpower-school.com/ld-profile/" TargetMode="External"/><Relationship Id="rId111" Type="http://schemas.openxmlformats.org/officeDocument/2006/relationships/hyperlink" Target="https://enpower-school.com/wp-content/uploads/elementor/forms/5fec0313d1daf.mp3" TargetMode="External"/><Relationship Id="rId232" Type="http://schemas.openxmlformats.org/officeDocument/2006/relationships/hyperlink" Target="mailto:mukesh.bansal17@gmail.com" TargetMode="External"/><Relationship Id="rId353" Type="http://schemas.openxmlformats.org/officeDocument/2006/relationships/hyperlink" Target="https://enpower-school.com/ld-profile/" TargetMode="External"/><Relationship Id="rId474" Type="http://schemas.openxmlformats.org/officeDocument/2006/relationships/hyperlink" Target="https://enpower-school.com/ld-profile/" TargetMode="External"/><Relationship Id="rId595" Type="http://schemas.openxmlformats.org/officeDocument/2006/relationships/hyperlink" Target="https://enpower-school.com/wp-content/uploads/elementor/forms/5fec15cd396ad.pdf" TargetMode="External"/><Relationship Id="rId305" Type="http://schemas.openxmlformats.org/officeDocument/2006/relationships/hyperlink" Target="https://enpower-school.com/ld-profile/" TargetMode="External"/><Relationship Id="rId426" Type="http://schemas.openxmlformats.org/officeDocument/2006/relationships/hyperlink" Target="https://enpower-school.com/ld-profile/" TargetMode="External"/><Relationship Id="rId547" Type="http://schemas.openxmlformats.org/officeDocument/2006/relationships/hyperlink" Target="https://enpower-school.com/ld-profile/" TargetMode="External"/><Relationship Id="rId668" Type="http://schemas.openxmlformats.org/officeDocument/2006/relationships/hyperlink" Target="https://enpower-school.com/wp-content/uploads/elementor/forms/5fffad5f1f015.pptx" TargetMode="External"/><Relationship Id="rId304" Type="http://schemas.openxmlformats.org/officeDocument/2006/relationships/hyperlink" Target="https://enpower-school.com/ld-profile/" TargetMode="External"/><Relationship Id="rId425" Type="http://schemas.openxmlformats.org/officeDocument/2006/relationships/hyperlink" Target="https://enpower-school.com/wp-content/uploads/elementor/forms/5fe5bf726190c.docx" TargetMode="External"/><Relationship Id="rId546" Type="http://schemas.openxmlformats.org/officeDocument/2006/relationships/hyperlink" Target="https://enpower-school.com/ld-profile/" TargetMode="External"/><Relationship Id="rId667" Type="http://schemas.openxmlformats.org/officeDocument/2006/relationships/hyperlink" Target="https://enpower-school.com/ld-profile/" TargetMode="External"/><Relationship Id="rId303" Type="http://schemas.openxmlformats.org/officeDocument/2006/relationships/hyperlink" Target="https://enpower-school.com/wp-content/uploads/elementor/forms/5ff73d349688c.pptx" TargetMode="External"/><Relationship Id="rId424" Type="http://schemas.openxmlformats.org/officeDocument/2006/relationships/hyperlink" Target="https://enpower-school.com/ld-profile/" TargetMode="External"/><Relationship Id="rId545" Type="http://schemas.openxmlformats.org/officeDocument/2006/relationships/hyperlink" Target="https://enpower-school.com/wp-content/uploads/elementor/forms/5fec5d1ac5e3f.pdf" TargetMode="External"/><Relationship Id="rId666" Type="http://schemas.openxmlformats.org/officeDocument/2006/relationships/hyperlink" Target="https://enpower-school.com/ld-profile/" TargetMode="External"/><Relationship Id="rId302" Type="http://schemas.openxmlformats.org/officeDocument/2006/relationships/hyperlink" Target="https://enpower-school.com/courses/be-a-part-of-indias-biggest-youth-entrepreneurship-hunt/" TargetMode="External"/><Relationship Id="rId423" Type="http://schemas.openxmlformats.org/officeDocument/2006/relationships/hyperlink" Target="https://enpower-school.com/wp-content/uploads/elementor/forms/5fea116b83144.pptx" TargetMode="External"/><Relationship Id="rId544" Type="http://schemas.openxmlformats.org/officeDocument/2006/relationships/hyperlink" Target="https://enpower-school.com/ld-profile/" TargetMode="External"/><Relationship Id="rId665" Type="http://schemas.openxmlformats.org/officeDocument/2006/relationships/hyperlink" Target="https://enpower-school.com/wp-content/uploads/elementor/forms/5ff437a776313.pptx" TargetMode="External"/><Relationship Id="rId309" Type="http://schemas.openxmlformats.org/officeDocument/2006/relationships/hyperlink" Target="https://enpower-school.com/wp-content/uploads/elementor/forms/5fe62007e83ab.jpg" TargetMode="External"/><Relationship Id="rId308" Type="http://schemas.openxmlformats.org/officeDocument/2006/relationships/hyperlink" Target="https://enpower-school.com/ld-profile/" TargetMode="External"/><Relationship Id="rId429" Type="http://schemas.openxmlformats.org/officeDocument/2006/relationships/hyperlink" Target="https://enpower-school.com/wp-content/uploads/elementor/forms/5fea17d63d1f2.pdf" TargetMode="External"/><Relationship Id="rId307" Type="http://schemas.openxmlformats.org/officeDocument/2006/relationships/hyperlink" Target="https://enpower-school.com/wp-content/uploads/elementor/forms/5ff6ba2de9d10.pptx" TargetMode="External"/><Relationship Id="rId428" Type="http://schemas.openxmlformats.org/officeDocument/2006/relationships/hyperlink" Target="https://enpower-school.com/ld-profile/" TargetMode="External"/><Relationship Id="rId549" Type="http://schemas.openxmlformats.org/officeDocument/2006/relationships/hyperlink" Target="https://enpower-school.com/ld-profile/" TargetMode="External"/><Relationship Id="rId306" Type="http://schemas.openxmlformats.org/officeDocument/2006/relationships/hyperlink" Target="https://enpower-school.com/wp-content/uploads/elementor/forms/5ff6ba2de9d10.pptx" TargetMode="External"/><Relationship Id="rId427" Type="http://schemas.openxmlformats.org/officeDocument/2006/relationships/hyperlink" Target="https://enpower-school.com/wp-content/uploads/elementor/forms/5ff702eb82b8a.pptx" TargetMode="External"/><Relationship Id="rId548" Type="http://schemas.openxmlformats.org/officeDocument/2006/relationships/hyperlink" Target="https://enpower-school.com/wp-content/uploads/elementor/forms/5fec37a2a4c2d.pptx" TargetMode="External"/><Relationship Id="rId669" Type="http://schemas.openxmlformats.org/officeDocument/2006/relationships/hyperlink" Target="https://enpower-school.com/wp-content/uploads/elementor/forms/5fffad5f1f015.pptx" TargetMode="External"/><Relationship Id="rId660" Type="http://schemas.openxmlformats.org/officeDocument/2006/relationships/hyperlink" Target="https://enpower-school.com/ld-profile/" TargetMode="External"/><Relationship Id="rId301" Type="http://schemas.openxmlformats.org/officeDocument/2006/relationships/hyperlink" Target="https://enpower-school.com/ld-profile/" TargetMode="External"/><Relationship Id="rId422" Type="http://schemas.openxmlformats.org/officeDocument/2006/relationships/hyperlink" Target="https://enpower-school.com/wp-content/uploads/elementor/forms/5fea116b83144.pptx" TargetMode="External"/><Relationship Id="rId543" Type="http://schemas.openxmlformats.org/officeDocument/2006/relationships/hyperlink" Target="https://enpower-school.com/ld-profile/" TargetMode="External"/><Relationship Id="rId664" Type="http://schemas.openxmlformats.org/officeDocument/2006/relationships/hyperlink" Target="https://enpower-school.com/ld-profile/" TargetMode="External"/><Relationship Id="rId300" Type="http://schemas.openxmlformats.org/officeDocument/2006/relationships/hyperlink" Target="https://enpower-school.com/ld-profile/" TargetMode="External"/><Relationship Id="rId421" Type="http://schemas.openxmlformats.org/officeDocument/2006/relationships/hyperlink" Target="https://enpower-school.com/ld-profile/" TargetMode="External"/><Relationship Id="rId542" Type="http://schemas.openxmlformats.org/officeDocument/2006/relationships/hyperlink" Target="https://enpower-school.com/wp-content/uploads/elementor/forms/5fec7447a99c4.mp4" TargetMode="External"/><Relationship Id="rId663" Type="http://schemas.openxmlformats.org/officeDocument/2006/relationships/hyperlink" Target="https://enpower-school.com/ld-profile/" TargetMode="External"/><Relationship Id="rId420" Type="http://schemas.openxmlformats.org/officeDocument/2006/relationships/hyperlink" Target="https://enpower-school.com/wp-content/uploads/elementor/forms/5fedf75230ed2.docx" TargetMode="External"/><Relationship Id="rId541" Type="http://schemas.openxmlformats.org/officeDocument/2006/relationships/hyperlink" Target="https://enpower-school.com/ld-profile/" TargetMode="External"/><Relationship Id="rId662" Type="http://schemas.openxmlformats.org/officeDocument/2006/relationships/hyperlink" Target="https://enpower-school.com/ld-profile/" TargetMode="External"/><Relationship Id="rId540" Type="http://schemas.openxmlformats.org/officeDocument/2006/relationships/hyperlink" Target="https://enpower-school.com/wp-content/uploads/elementor/forms/5fec2b5761de0.jpg" TargetMode="External"/><Relationship Id="rId661" Type="http://schemas.openxmlformats.org/officeDocument/2006/relationships/hyperlink" Target="https://enpower-school.com/ld-profile/" TargetMode="External"/><Relationship Id="rId415" Type="http://schemas.openxmlformats.org/officeDocument/2006/relationships/hyperlink" Target="https://enpower-school.com/ld-profile/" TargetMode="External"/><Relationship Id="rId536" Type="http://schemas.openxmlformats.org/officeDocument/2006/relationships/hyperlink" Target="https://enpower-school.com/wp-content/uploads/elementor/forms/5feda96c77dc1.pptx" TargetMode="External"/><Relationship Id="rId657" Type="http://schemas.openxmlformats.org/officeDocument/2006/relationships/hyperlink" Target="https://enpower-school.com/wp-content/uploads/elementor/forms/5feaceaf0c614.docx" TargetMode="External"/><Relationship Id="rId414" Type="http://schemas.openxmlformats.org/officeDocument/2006/relationships/hyperlink" Target="https://enpower-school.com/ld-profile/" TargetMode="External"/><Relationship Id="rId535" Type="http://schemas.openxmlformats.org/officeDocument/2006/relationships/hyperlink" Target="https://enpower-school.com/ld-profile/" TargetMode="External"/><Relationship Id="rId656" Type="http://schemas.openxmlformats.org/officeDocument/2006/relationships/hyperlink" Target="https://enpower-school.com/ld-profile/" TargetMode="External"/><Relationship Id="rId413" Type="http://schemas.openxmlformats.org/officeDocument/2006/relationships/hyperlink" Target="https://enpower-school.com/wp-content/uploads/elementor/forms/5ff4b31174b67.mp4" TargetMode="External"/><Relationship Id="rId534" Type="http://schemas.openxmlformats.org/officeDocument/2006/relationships/hyperlink" Target="https://enpower-school.com/wp-content/uploads/elementor/forms/5fedcda94e1cf.pptx" TargetMode="External"/><Relationship Id="rId655" Type="http://schemas.openxmlformats.org/officeDocument/2006/relationships/hyperlink" Target="https://enpower-school.com/courses/experience-the-journey-of-venture-building-idea-labs-pro/" TargetMode="External"/><Relationship Id="rId412" Type="http://schemas.openxmlformats.org/officeDocument/2006/relationships/hyperlink" Target="https://enpower-school.com/ld-profile/" TargetMode="External"/><Relationship Id="rId533" Type="http://schemas.openxmlformats.org/officeDocument/2006/relationships/hyperlink" Target="https://enpower-school.com/ld-profile/" TargetMode="External"/><Relationship Id="rId654" Type="http://schemas.openxmlformats.org/officeDocument/2006/relationships/hyperlink" Target="https://enpower-school.com/courses/be-a-part-of-indias-biggest-youth-entrepreneurship-hunt/" TargetMode="External"/><Relationship Id="rId419" Type="http://schemas.openxmlformats.org/officeDocument/2006/relationships/hyperlink" Target="https://enpower-school.com/ld-profile/" TargetMode="External"/><Relationship Id="rId418" Type="http://schemas.openxmlformats.org/officeDocument/2006/relationships/hyperlink" Target="https://enpower-school.com/wp-content/uploads/elementor/forms/5fff64cf7664c.pptx" TargetMode="External"/><Relationship Id="rId539" Type="http://schemas.openxmlformats.org/officeDocument/2006/relationships/hyperlink" Target="https://enpower-school.com/ld-profile/" TargetMode="External"/><Relationship Id="rId417" Type="http://schemas.openxmlformats.org/officeDocument/2006/relationships/hyperlink" Target="https://enpower-school.com/ld-profile/" TargetMode="External"/><Relationship Id="rId538" Type="http://schemas.openxmlformats.org/officeDocument/2006/relationships/hyperlink" Target="https://enpower-school.com/wp-content/uploads/elementor/forms/5fec7236dec78.pptx" TargetMode="External"/><Relationship Id="rId659" Type="http://schemas.openxmlformats.org/officeDocument/2006/relationships/hyperlink" Target="https://enpower-school.com/ld-profile/" TargetMode="External"/><Relationship Id="rId416" Type="http://schemas.openxmlformats.org/officeDocument/2006/relationships/hyperlink" Target="https://enpower-school.com/ld-profile/" TargetMode="External"/><Relationship Id="rId537" Type="http://schemas.openxmlformats.org/officeDocument/2006/relationships/hyperlink" Target="https://enpower-school.com/ld-profile/" TargetMode="External"/><Relationship Id="rId658" Type="http://schemas.openxmlformats.org/officeDocument/2006/relationships/hyperlink" Target="https://enpower-school.com/ld-profile/" TargetMode="External"/><Relationship Id="rId411" Type="http://schemas.openxmlformats.org/officeDocument/2006/relationships/hyperlink" Target="https://enpower-school.com/ld-profile/general/?updated=account" TargetMode="External"/><Relationship Id="rId532" Type="http://schemas.openxmlformats.org/officeDocument/2006/relationships/hyperlink" Target="https://enpower-school.com/wp-content/uploads/elementor/forms/5fedbc5ff3b80.pptx" TargetMode="External"/><Relationship Id="rId653" Type="http://schemas.openxmlformats.org/officeDocument/2006/relationships/hyperlink" Target="https://enpower-school.com/wp-content/uploads/elementor/forms/5fda0456ed22e.mp4" TargetMode="External"/><Relationship Id="rId410" Type="http://schemas.openxmlformats.org/officeDocument/2006/relationships/hyperlink" Target="https://enpower-school.com/wp-content/uploads/elementor/forms/5fedf9ef71704.pptx" TargetMode="External"/><Relationship Id="rId531" Type="http://schemas.openxmlformats.org/officeDocument/2006/relationships/hyperlink" Target="https://enpower-school.com/ld-profile/" TargetMode="External"/><Relationship Id="rId652" Type="http://schemas.openxmlformats.org/officeDocument/2006/relationships/hyperlink" Target="https://enpower-school.com/courses/be-a-part-of-indias-biggest-youth-entrepreneurship-hunt/" TargetMode="External"/><Relationship Id="rId530" Type="http://schemas.openxmlformats.org/officeDocument/2006/relationships/hyperlink" Target="https://enpower-school.com/wp-content/uploads/elementor/forms/5fedb2e8056e8.pdf" TargetMode="External"/><Relationship Id="rId651" Type="http://schemas.openxmlformats.org/officeDocument/2006/relationships/hyperlink" Target="https://enpower-school.com/courses/be-a-part-of-indias-biggest-youth-entrepreneurship-hunt/" TargetMode="External"/><Relationship Id="rId650" Type="http://schemas.openxmlformats.org/officeDocument/2006/relationships/hyperlink" Target="https://enpower-school.com/wp-content/uploads/elementor/forms/5fcb81e145b40.jpg" TargetMode="External"/><Relationship Id="rId206" Type="http://schemas.openxmlformats.org/officeDocument/2006/relationships/hyperlink" Target="https://enpower-school.com/wp-content/uploads/elementor/forms/5ff5a1a81aa81.pdf" TargetMode="External"/><Relationship Id="rId327" Type="http://schemas.openxmlformats.org/officeDocument/2006/relationships/hyperlink" Target="https://enpower-school.com/ld-profile/" TargetMode="External"/><Relationship Id="rId448" Type="http://schemas.openxmlformats.org/officeDocument/2006/relationships/hyperlink" Target="https://enpower-school.com/wp-content/uploads/elementor/forms/5fe9e569559a7.docx" TargetMode="External"/><Relationship Id="rId569" Type="http://schemas.openxmlformats.org/officeDocument/2006/relationships/hyperlink" Target="https://enpower-school.com/wp-content/uploads/elementor/forms/5feda90615077.mp4" TargetMode="External"/><Relationship Id="rId205" Type="http://schemas.openxmlformats.org/officeDocument/2006/relationships/hyperlink" Target="https://enpower-school.com/wp-content/uploads/elementor/forms/5ff5a1a81aa81.pdf" TargetMode="External"/><Relationship Id="rId326" Type="http://schemas.openxmlformats.org/officeDocument/2006/relationships/hyperlink" Target="https://enpower-school.com/wp-content/uploads/elementor/forms/5ff30a40e1544.pptx" TargetMode="External"/><Relationship Id="rId447" Type="http://schemas.openxmlformats.org/officeDocument/2006/relationships/hyperlink" Target="https://mail.google.com/mail/u/0?ui=2&amp;ik=230b59cf98&amp;attid=0.1&amp;permmsgid=msg-a:r-6323938836454073925&amp;th=176cc6a61d5eb826&amp;view=att&amp;disp=inline&amp;realattid=176cc6a0639c18c36321" TargetMode="External"/><Relationship Id="rId568" Type="http://schemas.openxmlformats.org/officeDocument/2006/relationships/hyperlink" Target="https://enpower-school.com/ld-profile/" TargetMode="External"/><Relationship Id="rId204" Type="http://schemas.openxmlformats.org/officeDocument/2006/relationships/hyperlink" Target="https://enpower-school.com/ld-profile/" TargetMode="External"/><Relationship Id="rId325" Type="http://schemas.openxmlformats.org/officeDocument/2006/relationships/hyperlink" Target="https://enpower-school.com/ld-profile/" TargetMode="External"/><Relationship Id="rId446" Type="http://schemas.openxmlformats.org/officeDocument/2006/relationships/hyperlink" Target="https://enpower-school.com/ld-profile/" TargetMode="External"/><Relationship Id="rId567" Type="http://schemas.openxmlformats.org/officeDocument/2006/relationships/hyperlink" Target="https://enpower-school.com/ld-profile/" TargetMode="External"/><Relationship Id="rId203" Type="http://schemas.openxmlformats.org/officeDocument/2006/relationships/hyperlink" Target="https://enpower-school.com/ld-profile/" TargetMode="External"/><Relationship Id="rId324" Type="http://schemas.openxmlformats.org/officeDocument/2006/relationships/hyperlink" Target="https://enpower-school.com/wp-content/uploads/elementor/forms/5fe5f4adb8118.pptx" TargetMode="External"/><Relationship Id="rId445" Type="http://schemas.openxmlformats.org/officeDocument/2006/relationships/hyperlink" Target="https://enpower-school.com/wp-content/uploads/elementor/forms/5fdb7b34ed004.docx" TargetMode="External"/><Relationship Id="rId566" Type="http://schemas.openxmlformats.org/officeDocument/2006/relationships/hyperlink" Target="https://enpower-school.com/ld-profile/" TargetMode="External"/><Relationship Id="rId209" Type="http://schemas.openxmlformats.org/officeDocument/2006/relationships/hyperlink" Target="https://enpower-school.com/ld-profile/" TargetMode="External"/><Relationship Id="rId208" Type="http://schemas.openxmlformats.org/officeDocument/2006/relationships/hyperlink" Target="https://enpower-school.com/wp-content/uploads/elementor/forms/5fe00fa665a46.pptx" TargetMode="External"/><Relationship Id="rId329" Type="http://schemas.openxmlformats.org/officeDocument/2006/relationships/hyperlink" Target="https://enpower-school.com/wp-content/uploads/elementor/forms/5ff7258763e15.docx" TargetMode="External"/><Relationship Id="rId207" Type="http://schemas.openxmlformats.org/officeDocument/2006/relationships/hyperlink" Target="https://enpower-school.com/ld-profile/" TargetMode="External"/><Relationship Id="rId328" Type="http://schemas.openxmlformats.org/officeDocument/2006/relationships/hyperlink" Target="https://enpower-school.com/ld-profile/orders/" TargetMode="External"/><Relationship Id="rId449" Type="http://schemas.openxmlformats.org/officeDocument/2006/relationships/hyperlink" Target="https://enpower-school.com/wp-content/uploads/elementor/forms/5fe9e569559a7.docx" TargetMode="External"/><Relationship Id="rId440" Type="http://schemas.openxmlformats.org/officeDocument/2006/relationships/hyperlink" Target="https://enpower-school.com/ld-profile/" TargetMode="External"/><Relationship Id="rId561" Type="http://schemas.openxmlformats.org/officeDocument/2006/relationships/hyperlink" Target="https://enpower-school.com/ld-profile/" TargetMode="External"/><Relationship Id="rId682" Type="http://schemas.openxmlformats.org/officeDocument/2006/relationships/hyperlink" Target="https://enpower-school.com/ld-profile/" TargetMode="External"/><Relationship Id="rId560" Type="http://schemas.openxmlformats.org/officeDocument/2006/relationships/hyperlink" Target="https://enpower-school.com/wp-content/uploads/elementor/forms/5fec6c96ce8bb.pptx" TargetMode="External"/><Relationship Id="rId681" Type="http://schemas.openxmlformats.org/officeDocument/2006/relationships/hyperlink" Target="https://enpower-school.com/ld-profile/" TargetMode="External"/><Relationship Id="rId680" Type="http://schemas.openxmlformats.org/officeDocument/2006/relationships/hyperlink" Target="https://enpower-school.com/ld-profile/" TargetMode="External"/><Relationship Id="rId202" Type="http://schemas.openxmlformats.org/officeDocument/2006/relationships/hyperlink" Target="https://enpower-school.com/wp-content/uploads/elementor/forms/5fe5f821337d0.pptx" TargetMode="External"/><Relationship Id="rId323" Type="http://schemas.openxmlformats.org/officeDocument/2006/relationships/hyperlink" Target="https://enpower-school.com/ld-profile/" TargetMode="External"/><Relationship Id="rId444" Type="http://schemas.openxmlformats.org/officeDocument/2006/relationships/hyperlink" Target="https://enpower-school.com/ld-profile/" TargetMode="External"/><Relationship Id="rId565" Type="http://schemas.openxmlformats.org/officeDocument/2006/relationships/hyperlink" Target="https://enpower-school.com/wp-content/uploads/elementor/forms/5fec511f88d44.pptx" TargetMode="External"/><Relationship Id="rId201" Type="http://schemas.openxmlformats.org/officeDocument/2006/relationships/hyperlink" Target="https://enpower-school.com/ld-profile/" TargetMode="External"/><Relationship Id="rId322" Type="http://schemas.openxmlformats.org/officeDocument/2006/relationships/hyperlink" Target="https://enpower-school.com/wp-content/uploads/elementor/forms/5fe8601fb844c.pptx" TargetMode="External"/><Relationship Id="rId443" Type="http://schemas.openxmlformats.org/officeDocument/2006/relationships/hyperlink" Target="https://enpower-school.com/wp-content/uploads/elementor/forms/5ff7333376e3e.pptx" TargetMode="External"/><Relationship Id="rId564" Type="http://schemas.openxmlformats.org/officeDocument/2006/relationships/hyperlink" Target="https://enpower-school.com/ld-profile/" TargetMode="External"/><Relationship Id="rId200" Type="http://schemas.openxmlformats.org/officeDocument/2006/relationships/hyperlink" Target="https://enpower-school.com/ld-profile/" TargetMode="External"/><Relationship Id="rId321" Type="http://schemas.openxmlformats.org/officeDocument/2006/relationships/hyperlink" Target="https://enpower-school.com/ld-profile/" TargetMode="External"/><Relationship Id="rId442" Type="http://schemas.openxmlformats.org/officeDocument/2006/relationships/hyperlink" Target="https://enpower-school.com/ld-profile/" TargetMode="External"/><Relationship Id="rId563" Type="http://schemas.openxmlformats.org/officeDocument/2006/relationships/hyperlink" Target="https://enpower-school.com/ld-profile/" TargetMode="External"/><Relationship Id="rId684" Type="http://schemas.openxmlformats.org/officeDocument/2006/relationships/drawing" Target="../drawings/drawing2.xml"/><Relationship Id="rId320" Type="http://schemas.openxmlformats.org/officeDocument/2006/relationships/hyperlink" Target="https://enpower-school.com/wp-content/uploads/elementor/forms/5fe9c46a67077.pdf" TargetMode="External"/><Relationship Id="rId441" Type="http://schemas.openxmlformats.org/officeDocument/2006/relationships/hyperlink" Target="https://enpower-school.com/wp-content/uploads/elementor/forms/5fef5dda42cbc.docx" TargetMode="External"/><Relationship Id="rId562" Type="http://schemas.openxmlformats.org/officeDocument/2006/relationships/hyperlink" Target="https://enpower-school.com/wp-content/uploads/elementor/forms/5fedb88eaf5a5.pptx" TargetMode="External"/><Relationship Id="rId683" Type="http://schemas.openxmlformats.org/officeDocument/2006/relationships/hyperlink" Target="https://enpower-school.com/ld-profile/" TargetMode="External"/><Relationship Id="rId316" Type="http://schemas.openxmlformats.org/officeDocument/2006/relationships/hyperlink" Target="https://enpower-school.com/wp-content/uploads/elementor/forms/5fedf4a45cd8b.jpg" TargetMode="External"/><Relationship Id="rId437" Type="http://schemas.openxmlformats.org/officeDocument/2006/relationships/hyperlink" Target="https://enpower-school.com/wp-content/uploads/elementor/forms/5fe4c7e8c7ae8.jpg" TargetMode="External"/><Relationship Id="rId558" Type="http://schemas.openxmlformats.org/officeDocument/2006/relationships/hyperlink" Target="https://enpower-school.com/ld-profile/" TargetMode="External"/><Relationship Id="rId679" Type="http://schemas.openxmlformats.org/officeDocument/2006/relationships/hyperlink" Target="https://enpower-school.com/wp-content/uploads/elementor/forms/5ff751e45b27f.pptx" TargetMode="External"/><Relationship Id="rId315" Type="http://schemas.openxmlformats.org/officeDocument/2006/relationships/hyperlink" Target="https://enpower-school.com/ld-profile/" TargetMode="External"/><Relationship Id="rId436" Type="http://schemas.openxmlformats.org/officeDocument/2006/relationships/hyperlink" Target="https://enpower-school.com/ld-profile/" TargetMode="External"/><Relationship Id="rId557" Type="http://schemas.openxmlformats.org/officeDocument/2006/relationships/hyperlink" Target="https://enpower-school.com/wp-content/uploads/elementor/forms/5fec52b5e7206.pdf" TargetMode="External"/><Relationship Id="rId678" Type="http://schemas.openxmlformats.org/officeDocument/2006/relationships/hyperlink" Target="https://enpower-school.com/ld-profile/" TargetMode="External"/><Relationship Id="rId314" Type="http://schemas.openxmlformats.org/officeDocument/2006/relationships/hyperlink" Target="https://enpower-school.com/ld-profile/" TargetMode="External"/><Relationship Id="rId435" Type="http://schemas.openxmlformats.org/officeDocument/2006/relationships/hyperlink" Target="https://enpower-school.com/ld-profile/" TargetMode="External"/><Relationship Id="rId556" Type="http://schemas.openxmlformats.org/officeDocument/2006/relationships/hyperlink" Target="https://enpower-school.com/ld-profile/" TargetMode="External"/><Relationship Id="rId677" Type="http://schemas.openxmlformats.org/officeDocument/2006/relationships/hyperlink" Target="https://enpower-school.com/wp-content/uploads/elementor/forms/5ff9ba5260e41.pptx" TargetMode="External"/><Relationship Id="rId313" Type="http://schemas.openxmlformats.org/officeDocument/2006/relationships/hyperlink" Target="https://enpower-school.com/wp-content/uploads/elementor/forms/5ff2d48f2d5e1.jpg" TargetMode="External"/><Relationship Id="rId434" Type="http://schemas.openxmlformats.org/officeDocument/2006/relationships/hyperlink" Target="https://enpower-school.com/wp-content/uploads/elementor/forms/5ff1f3cabd1ee.pptx" TargetMode="External"/><Relationship Id="rId555" Type="http://schemas.openxmlformats.org/officeDocument/2006/relationships/hyperlink" Target="https://enpower-school.com/wp-content/uploads/elementor/forms/5fedb7a0d0267.pptx" TargetMode="External"/><Relationship Id="rId676" Type="http://schemas.openxmlformats.org/officeDocument/2006/relationships/hyperlink" Target="https://enpower-school.com/ld-profile/" TargetMode="External"/><Relationship Id="rId319" Type="http://schemas.openxmlformats.org/officeDocument/2006/relationships/hyperlink" Target="https://enpower-school.com/wp-content/uploads/elementor/forms/5fe9c46a67077.pdf" TargetMode="External"/><Relationship Id="rId318" Type="http://schemas.openxmlformats.org/officeDocument/2006/relationships/hyperlink" Target="https://enpower-school.com/ld-profile/" TargetMode="External"/><Relationship Id="rId439" Type="http://schemas.openxmlformats.org/officeDocument/2006/relationships/hyperlink" Target="https://enpower-school.com/wp-content/uploads/elementor/forms/5ff73bc751c9f.pptx" TargetMode="External"/><Relationship Id="rId317" Type="http://schemas.openxmlformats.org/officeDocument/2006/relationships/hyperlink" Target="https://enpower-school.com/ld-profile/" TargetMode="External"/><Relationship Id="rId438" Type="http://schemas.openxmlformats.org/officeDocument/2006/relationships/hyperlink" Target="https://enpower-school.com/ld-profile/" TargetMode="External"/><Relationship Id="rId559" Type="http://schemas.openxmlformats.org/officeDocument/2006/relationships/hyperlink" Target="https://enpower-school.com/ld-profile/general/?updated=account" TargetMode="External"/><Relationship Id="rId550" Type="http://schemas.openxmlformats.org/officeDocument/2006/relationships/hyperlink" Target="https://enpower-school.com/wp-content/uploads/elementor/forms/5fedaee37eba6.pptx" TargetMode="External"/><Relationship Id="rId671" Type="http://schemas.openxmlformats.org/officeDocument/2006/relationships/hyperlink" Target="https://enpower-school.com/wp-content/uploads/elementor/forms/5fffad5f1f015.pptx" TargetMode="External"/><Relationship Id="rId670" Type="http://schemas.openxmlformats.org/officeDocument/2006/relationships/hyperlink" Target="https://enpower-school.com/wp-content/uploads/elementor/forms/5fffad5f1f015.pptx" TargetMode="External"/><Relationship Id="rId312" Type="http://schemas.openxmlformats.org/officeDocument/2006/relationships/hyperlink" Target="https://enpower-school.com/ld-profile/" TargetMode="External"/><Relationship Id="rId433" Type="http://schemas.openxmlformats.org/officeDocument/2006/relationships/hyperlink" Target="https://enpower-school.com/ld-profile/" TargetMode="External"/><Relationship Id="rId554" Type="http://schemas.openxmlformats.org/officeDocument/2006/relationships/hyperlink" Target="https://enpower-school.com/ld-profile/" TargetMode="External"/><Relationship Id="rId675" Type="http://schemas.openxmlformats.org/officeDocument/2006/relationships/hyperlink" Target="https://enpower-school.com/ld-profile/" TargetMode="External"/><Relationship Id="rId311" Type="http://schemas.openxmlformats.org/officeDocument/2006/relationships/hyperlink" Target="https://enpower-school.com/wp-content/uploads/elementor/forms/5fe0bffead9d5.png" TargetMode="External"/><Relationship Id="rId432" Type="http://schemas.openxmlformats.org/officeDocument/2006/relationships/hyperlink" Target="https://enpower-school.com/wp-content/uploads/elementor/forms/5fe490d3d808a.pdf" TargetMode="External"/><Relationship Id="rId553" Type="http://schemas.openxmlformats.org/officeDocument/2006/relationships/hyperlink" Target="https://enpower-school.com/wp-content/uploads/elementor/forms/5fec340ba5e38.pdf" TargetMode="External"/><Relationship Id="rId674" Type="http://schemas.openxmlformats.org/officeDocument/2006/relationships/hyperlink" Target="https://enpower-school.com/wp-content/uploads/elementor/forms/5ffb476e2b419.docx" TargetMode="External"/><Relationship Id="rId310" Type="http://schemas.openxmlformats.org/officeDocument/2006/relationships/hyperlink" Target="https://enpower-school.com/ld-profile/" TargetMode="External"/><Relationship Id="rId431" Type="http://schemas.openxmlformats.org/officeDocument/2006/relationships/hyperlink" Target="https://enpower-school.com/ld-profile/" TargetMode="External"/><Relationship Id="rId552" Type="http://schemas.openxmlformats.org/officeDocument/2006/relationships/hyperlink" Target="https://enpower-school.com/ld-profile/" TargetMode="External"/><Relationship Id="rId673" Type="http://schemas.openxmlformats.org/officeDocument/2006/relationships/hyperlink" Target="https://enpower-school.com/ld-profile/" TargetMode="External"/><Relationship Id="rId430" Type="http://schemas.openxmlformats.org/officeDocument/2006/relationships/hyperlink" Target="https://enpower-school.com/wp-content/uploads/elementor/forms/5fea17d63d1f2.pdf" TargetMode="External"/><Relationship Id="rId551" Type="http://schemas.openxmlformats.org/officeDocument/2006/relationships/hyperlink" Target="https://enpower-school.com/ld-profile/" TargetMode="External"/><Relationship Id="rId672" Type="http://schemas.openxmlformats.org/officeDocument/2006/relationships/hyperlink" Target="https://enpower-school.com/ld-profil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rohan17soccer@gmail.com" TargetMode="External"/><Relationship Id="rId2" Type="http://schemas.openxmlformats.org/officeDocument/2006/relationships/hyperlink" Target="mailto:2.riyanshi1982@gmail.com" TargetMode="External"/><Relationship Id="rId3" Type="http://schemas.openxmlformats.org/officeDocument/2006/relationships/hyperlink" Target="mailto:uday.niranjana@gmail.com" TargetMode="Externa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3.25"/>
  </cols>
  <sheetData>
    <row r="1" ht="15.75" customHeight="1">
      <c r="A1" s="1" t="s">
        <v>0</v>
      </c>
      <c r="B1" s="1" t="s">
        <v>1</v>
      </c>
      <c r="C1" s="1" t="s">
        <v>2</v>
      </c>
      <c r="D1" s="1" t="s">
        <v>3</v>
      </c>
      <c r="E1" s="1" t="s">
        <v>4</v>
      </c>
      <c r="F1" s="1" t="s">
        <v>5</v>
      </c>
    </row>
    <row r="2" ht="15.75" customHeight="1">
      <c r="A2" s="2" t="s">
        <v>6</v>
      </c>
      <c r="B2" s="2" t="s">
        <v>7</v>
      </c>
      <c r="C2" s="2" t="s">
        <v>8</v>
      </c>
      <c r="D2" s="2" t="s">
        <v>9</v>
      </c>
      <c r="E2" s="2" t="s">
        <v>10</v>
      </c>
      <c r="F2" s="2">
        <v>8.318713397E9</v>
      </c>
    </row>
    <row r="3" ht="15.75" customHeight="1">
      <c r="A3" s="2" t="s">
        <v>11</v>
      </c>
      <c r="B3" s="2" t="s">
        <v>12</v>
      </c>
      <c r="C3" s="2" t="s">
        <v>13</v>
      </c>
      <c r="D3" s="2" t="s">
        <v>14</v>
      </c>
      <c r="E3" s="2" t="s">
        <v>15</v>
      </c>
      <c r="F3" s="2">
        <v>9.604858739E9</v>
      </c>
    </row>
    <row r="4" ht="15.75" customHeight="1">
      <c r="A4" s="2" t="s">
        <v>16</v>
      </c>
      <c r="B4" s="2" t="s">
        <v>17</v>
      </c>
      <c r="C4" s="2" t="s">
        <v>18</v>
      </c>
      <c r="D4" s="2" t="s">
        <v>14</v>
      </c>
      <c r="E4" s="2" t="s">
        <v>19</v>
      </c>
      <c r="F4" s="2">
        <v>9.820784266E9</v>
      </c>
    </row>
    <row r="5" ht="15.75" customHeight="1">
      <c r="A5" s="2" t="s">
        <v>20</v>
      </c>
      <c r="B5" s="2" t="s">
        <v>21</v>
      </c>
      <c r="C5" s="2" t="s">
        <v>22</v>
      </c>
      <c r="D5" s="2" t="s">
        <v>14</v>
      </c>
      <c r="E5" s="2" t="s">
        <v>23</v>
      </c>
      <c r="F5" s="2">
        <v>7.017436859E9</v>
      </c>
    </row>
    <row r="6" ht="15.75" customHeight="1">
      <c r="A6" s="2" t="s">
        <v>24</v>
      </c>
      <c r="B6" s="2" t="s">
        <v>21</v>
      </c>
      <c r="C6" s="2" t="s">
        <v>25</v>
      </c>
      <c r="D6" s="2" t="s">
        <v>26</v>
      </c>
      <c r="E6" s="2" t="s">
        <v>19</v>
      </c>
      <c r="F6" s="2">
        <v>7.009769012E9</v>
      </c>
    </row>
    <row r="7" ht="15.75" customHeight="1">
      <c r="A7" s="2" t="s">
        <v>27</v>
      </c>
      <c r="B7" s="2" t="s">
        <v>21</v>
      </c>
      <c r="C7" s="2" t="s">
        <v>28</v>
      </c>
      <c r="D7" s="2" t="s">
        <v>29</v>
      </c>
      <c r="E7" s="2" t="s">
        <v>30</v>
      </c>
      <c r="F7" s="2">
        <v>9.012270615E9</v>
      </c>
    </row>
    <row r="8" ht="15.75" customHeight="1">
      <c r="A8" s="2" t="s">
        <v>31</v>
      </c>
      <c r="B8" s="2" t="s">
        <v>21</v>
      </c>
      <c r="C8" s="2" t="s">
        <v>32</v>
      </c>
      <c r="D8" s="2" t="s">
        <v>9</v>
      </c>
      <c r="E8" s="2" t="s">
        <v>19</v>
      </c>
      <c r="F8" s="2">
        <v>8.077791425E9</v>
      </c>
    </row>
    <row r="9" ht="15.75" customHeight="1">
      <c r="A9" s="2" t="s">
        <v>33</v>
      </c>
      <c r="B9" s="2" t="s">
        <v>21</v>
      </c>
      <c r="C9" s="2" t="s">
        <v>34</v>
      </c>
      <c r="D9" s="2" t="s">
        <v>29</v>
      </c>
      <c r="E9" s="2" t="s">
        <v>23</v>
      </c>
      <c r="F9" s="2">
        <v>7.696207133E9</v>
      </c>
    </row>
    <row r="10" ht="15.75" customHeight="1">
      <c r="A10" s="2" t="s">
        <v>35</v>
      </c>
      <c r="B10" s="2" t="s">
        <v>21</v>
      </c>
      <c r="C10" s="2" t="s">
        <v>36</v>
      </c>
      <c r="D10" s="2" t="s">
        <v>9</v>
      </c>
      <c r="E10" s="2" t="s">
        <v>30</v>
      </c>
      <c r="F10" s="2">
        <v>7.901752909E9</v>
      </c>
    </row>
    <row r="11" ht="15.75" customHeight="1">
      <c r="A11" s="2" t="s">
        <v>37</v>
      </c>
      <c r="B11" s="2" t="s">
        <v>21</v>
      </c>
      <c r="C11" s="2" t="s">
        <v>36</v>
      </c>
      <c r="D11" s="2" t="s">
        <v>9</v>
      </c>
      <c r="E11" s="2" t="s">
        <v>23</v>
      </c>
      <c r="F11" s="2">
        <v>9.646225453E9</v>
      </c>
    </row>
    <row r="12" ht="15.75" customHeight="1">
      <c r="A12" s="2" t="s">
        <v>38</v>
      </c>
      <c r="B12" s="2" t="s">
        <v>21</v>
      </c>
      <c r="C12" s="2" t="s">
        <v>39</v>
      </c>
      <c r="D12" s="2" t="s">
        <v>29</v>
      </c>
      <c r="E12" s="2" t="s">
        <v>19</v>
      </c>
      <c r="F12" s="2">
        <v>7.505001945E9</v>
      </c>
    </row>
    <row r="13" ht="15.75" customHeight="1">
      <c r="A13" s="2" t="s">
        <v>40</v>
      </c>
      <c r="B13" s="2" t="s">
        <v>21</v>
      </c>
      <c r="C13" s="2" t="s">
        <v>41</v>
      </c>
      <c r="D13" s="2" t="s">
        <v>9</v>
      </c>
      <c r="E13" s="2" t="s">
        <v>19</v>
      </c>
      <c r="F13" s="2">
        <v>8.054081598E9</v>
      </c>
    </row>
    <row r="14" ht="15.75" customHeight="1">
      <c r="A14" s="2" t="s">
        <v>42</v>
      </c>
      <c r="B14" s="2" t="s">
        <v>21</v>
      </c>
      <c r="C14" s="2" t="s">
        <v>43</v>
      </c>
      <c r="D14" s="2" t="s">
        <v>44</v>
      </c>
      <c r="E14" s="2" t="s">
        <v>45</v>
      </c>
      <c r="F14" s="2">
        <v>9.725503912E9</v>
      </c>
    </row>
    <row r="15" ht="15.75" customHeight="1">
      <c r="A15" s="2" t="s">
        <v>46</v>
      </c>
      <c r="B15" s="2" t="s">
        <v>47</v>
      </c>
      <c r="C15" s="2" t="s">
        <v>48</v>
      </c>
      <c r="D15" s="2" t="s">
        <v>26</v>
      </c>
      <c r="E15" s="2" t="s">
        <v>19</v>
      </c>
      <c r="F15" s="2">
        <v>9.004987703E9</v>
      </c>
    </row>
    <row r="16" ht="15.75" customHeight="1">
      <c r="A16" s="2" t="s">
        <v>49</v>
      </c>
      <c r="B16" s="2" t="s">
        <v>50</v>
      </c>
      <c r="C16" s="2" t="s">
        <v>34</v>
      </c>
      <c r="D16" s="2" t="s">
        <v>26</v>
      </c>
      <c r="E16" s="2" t="s">
        <v>23</v>
      </c>
      <c r="F16" s="2">
        <v>8.447773007E9</v>
      </c>
    </row>
    <row r="17" ht="15.75" customHeight="1">
      <c r="A17" s="2" t="s">
        <v>51</v>
      </c>
      <c r="B17" s="2" t="s">
        <v>52</v>
      </c>
      <c r="C17" s="2" t="s">
        <v>53</v>
      </c>
      <c r="D17" s="2" t="s">
        <v>44</v>
      </c>
      <c r="E17" s="2" t="s">
        <v>19</v>
      </c>
      <c r="F17" s="2">
        <v>7.979019197E9</v>
      </c>
    </row>
    <row r="18" ht="15.75" customHeight="1">
      <c r="A18" s="2" t="s">
        <v>54</v>
      </c>
      <c r="B18" s="2" t="s">
        <v>55</v>
      </c>
      <c r="C18" s="2" t="s">
        <v>34</v>
      </c>
      <c r="D18" s="2" t="s">
        <v>56</v>
      </c>
      <c r="E18" s="2" t="s">
        <v>23</v>
      </c>
      <c r="F18" s="2">
        <v>9.831109482E9</v>
      </c>
    </row>
    <row r="19" ht="15.75" customHeight="1">
      <c r="A19" s="2" t="s">
        <v>57</v>
      </c>
      <c r="B19" s="2" t="s">
        <v>55</v>
      </c>
      <c r="C19" s="2" t="s">
        <v>58</v>
      </c>
      <c r="D19" s="2" t="s">
        <v>44</v>
      </c>
      <c r="E19" s="2" t="s">
        <v>19</v>
      </c>
      <c r="F19" s="2">
        <v>9.343981098E9</v>
      </c>
    </row>
    <row r="20" ht="15.75" customHeight="1">
      <c r="A20" s="2" t="s">
        <v>59</v>
      </c>
      <c r="B20" s="2" t="s">
        <v>60</v>
      </c>
      <c r="C20" s="2" t="s">
        <v>61</v>
      </c>
      <c r="D20" s="2" t="s">
        <v>26</v>
      </c>
      <c r="E20" s="2" t="s">
        <v>23</v>
      </c>
      <c r="F20" s="2">
        <v>9.475207452E9</v>
      </c>
    </row>
    <row r="21" ht="15.75" customHeight="1">
      <c r="A21" s="2" t="s">
        <v>62</v>
      </c>
      <c r="B21" s="2" t="s">
        <v>63</v>
      </c>
      <c r="C21" s="2" t="s">
        <v>58</v>
      </c>
      <c r="D21" s="2" t="s">
        <v>56</v>
      </c>
      <c r="E21" s="2" t="s">
        <v>19</v>
      </c>
      <c r="F21" s="2">
        <v>8.092210418E9</v>
      </c>
    </row>
    <row r="22" ht="15.75" customHeight="1">
      <c r="A22" s="2" t="s">
        <v>64</v>
      </c>
      <c r="B22" s="2" t="s">
        <v>65</v>
      </c>
      <c r="C22" s="2" t="s">
        <v>66</v>
      </c>
      <c r="D22" s="2" t="s">
        <v>56</v>
      </c>
      <c r="E22" s="2" t="s">
        <v>23</v>
      </c>
      <c r="F22" s="2">
        <v>9.006719604E9</v>
      </c>
    </row>
    <row r="23" ht="15.75" customHeight="1">
      <c r="A23" s="2" t="s">
        <v>67</v>
      </c>
      <c r="B23" s="2" t="s">
        <v>68</v>
      </c>
      <c r="C23" s="2" t="s">
        <v>58</v>
      </c>
      <c r="D23" s="2" t="s">
        <v>9</v>
      </c>
      <c r="E23" s="2" t="s">
        <v>19</v>
      </c>
      <c r="F23" s="2">
        <v>9.122626686E9</v>
      </c>
    </row>
    <row r="24" ht="15.75" customHeight="1">
      <c r="A24" s="2" t="s">
        <v>69</v>
      </c>
      <c r="B24" s="2" t="s">
        <v>52</v>
      </c>
      <c r="C24" s="2" t="s">
        <v>34</v>
      </c>
      <c r="D24" s="2" t="s">
        <v>56</v>
      </c>
      <c r="E24" s="2" t="s">
        <v>23</v>
      </c>
      <c r="F24" s="2">
        <v>9.471539629E9</v>
      </c>
    </row>
    <row r="25" ht="15.75" customHeight="1">
      <c r="A25" s="2" t="s">
        <v>69</v>
      </c>
      <c r="B25" s="2" t="s">
        <v>65</v>
      </c>
      <c r="C25" s="2" t="s">
        <v>58</v>
      </c>
      <c r="D25" s="2" t="s">
        <v>56</v>
      </c>
      <c r="E25" s="2" t="s">
        <v>19</v>
      </c>
      <c r="F25" s="2">
        <v>8.298872871E9</v>
      </c>
    </row>
    <row r="26" ht="15.75" customHeight="1">
      <c r="A26" s="2" t="s">
        <v>70</v>
      </c>
      <c r="B26" s="2" t="s">
        <v>71</v>
      </c>
      <c r="C26" s="2" t="s">
        <v>72</v>
      </c>
      <c r="D26" s="2" t="s">
        <v>26</v>
      </c>
      <c r="E26" s="2" t="s">
        <v>23</v>
      </c>
      <c r="F26" s="2">
        <v>8.235008425E9</v>
      </c>
    </row>
    <row r="27" ht="15.75" customHeight="1">
      <c r="A27" s="2" t="s">
        <v>73</v>
      </c>
      <c r="B27" s="2" t="s">
        <v>63</v>
      </c>
      <c r="C27" s="2" t="s">
        <v>58</v>
      </c>
      <c r="D27" s="2" t="s">
        <v>56</v>
      </c>
      <c r="E27" s="2" t="s">
        <v>19</v>
      </c>
      <c r="F27" s="2">
        <v>8.002889907E9</v>
      </c>
    </row>
    <row r="28" ht="15.75" customHeight="1">
      <c r="A28" s="2" t="s">
        <v>74</v>
      </c>
      <c r="B28" s="2" t="s">
        <v>75</v>
      </c>
      <c r="C28" s="2" t="s">
        <v>76</v>
      </c>
      <c r="D28" s="2" t="s">
        <v>9</v>
      </c>
      <c r="E28" s="2" t="s">
        <v>23</v>
      </c>
      <c r="F28" s="2">
        <v>9.07985337E9</v>
      </c>
    </row>
    <row r="29" ht="15.75" customHeight="1">
      <c r="A29" s="2" t="s">
        <v>77</v>
      </c>
      <c r="B29" s="2" t="s">
        <v>78</v>
      </c>
      <c r="C29" s="2" t="s">
        <v>79</v>
      </c>
      <c r="D29" s="2" t="s">
        <v>26</v>
      </c>
      <c r="E29" s="2" t="s">
        <v>19</v>
      </c>
      <c r="F29" s="2">
        <v>9.199772226E9</v>
      </c>
    </row>
    <row r="30" ht="15.75" customHeight="1">
      <c r="A30" s="2" t="s">
        <v>80</v>
      </c>
      <c r="B30" s="2" t="s">
        <v>65</v>
      </c>
      <c r="C30" s="2" t="s">
        <v>34</v>
      </c>
      <c r="D30" s="2" t="s">
        <v>44</v>
      </c>
      <c r="E30" s="2" t="s">
        <v>23</v>
      </c>
      <c r="F30" s="2">
        <v>8.29406137E9</v>
      </c>
    </row>
    <row r="31" ht="15.75" customHeight="1">
      <c r="A31" s="2" t="s">
        <v>81</v>
      </c>
      <c r="B31" s="2" t="s">
        <v>65</v>
      </c>
      <c r="C31" s="2" t="s">
        <v>53</v>
      </c>
      <c r="D31" s="2" t="s">
        <v>56</v>
      </c>
      <c r="E31" s="2" t="s">
        <v>19</v>
      </c>
      <c r="F31" s="2">
        <v>9.934999372E9</v>
      </c>
    </row>
    <row r="32" ht="15.75" customHeight="1">
      <c r="A32" s="2" t="s">
        <v>82</v>
      </c>
      <c r="B32" s="2" t="s">
        <v>21</v>
      </c>
      <c r="C32" s="2" t="s">
        <v>83</v>
      </c>
      <c r="D32" s="2" t="s">
        <v>14</v>
      </c>
      <c r="E32" s="2" t="s">
        <v>23</v>
      </c>
      <c r="F32" s="2">
        <v>7.766911187E9</v>
      </c>
    </row>
    <row r="33" ht="15.75" customHeight="1">
      <c r="A33" s="2" t="s">
        <v>84</v>
      </c>
      <c r="B33" s="2" t="s">
        <v>21</v>
      </c>
      <c r="C33" s="2" t="s">
        <v>53</v>
      </c>
      <c r="D33" s="2" t="s">
        <v>26</v>
      </c>
      <c r="E33" s="2" t="s">
        <v>19</v>
      </c>
      <c r="F33" s="2">
        <v>9.43190344E9</v>
      </c>
    </row>
    <row r="34" ht="15.75" customHeight="1">
      <c r="A34" s="2" t="s">
        <v>85</v>
      </c>
      <c r="B34" s="2" t="s">
        <v>85</v>
      </c>
      <c r="C34" s="2" t="s">
        <v>86</v>
      </c>
      <c r="D34" s="2" t="s">
        <v>26</v>
      </c>
      <c r="E34" s="2" t="s">
        <v>19</v>
      </c>
      <c r="F34" s="2">
        <v>9.437302639E9</v>
      </c>
    </row>
    <row r="35" ht="15.75" customHeight="1">
      <c r="A35" s="2" t="s">
        <v>87</v>
      </c>
      <c r="B35" s="2" t="s">
        <v>88</v>
      </c>
      <c r="C35" s="2" t="s">
        <v>58</v>
      </c>
      <c r="D35" s="2" t="s">
        <v>26</v>
      </c>
      <c r="E35" s="2" t="s">
        <v>19</v>
      </c>
      <c r="F35" s="2">
        <v>8.877140817E9</v>
      </c>
    </row>
    <row r="36" ht="15.75" customHeight="1">
      <c r="A36" s="2" t="s">
        <v>89</v>
      </c>
      <c r="B36" s="2" t="s">
        <v>88</v>
      </c>
      <c r="C36" s="2" t="s">
        <v>34</v>
      </c>
      <c r="D36" s="2" t="s">
        <v>14</v>
      </c>
      <c r="E36" s="2" t="s">
        <v>23</v>
      </c>
      <c r="F36" s="2">
        <v>6.392294221E9</v>
      </c>
    </row>
    <row r="37" ht="15.75" customHeight="1">
      <c r="A37" s="2" t="s">
        <v>90</v>
      </c>
      <c r="B37" s="2" t="s">
        <v>91</v>
      </c>
      <c r="C37" s="2" t="s">
        <v>92</v>
      </c>
      <c r="D37" s="2" t="s">
        <v>26</v>
      </c>
      <c r="E37" s="2" t="s">
        <v>19</v>
      </c>
      <c r="F37" s="2">
        <v>8.87789027E9</v>
      </c>
    </row>
    <row r="38" ht="15.75" customHeight="1">
      <c r="A38" s="2" t="s">
        <v>93</v>
      </c>
      <c r="B38" s="2" t="s">
        <v>88</v>
      </c>
      <c r="C38" s="2" t="s">
        <v>58</v>
      </c>
      <c r="D38" s="2" t="s">
        <v>44</v>
      </c>
      <c r="E38" s="2" t="s">
        <v>19</v>
      </c>
      <c r="F38" s="2">
        <v>8.003703594E9</v>
      </c>
    </row>
    <row r="39" ht="15.75" customHeight="1">
      <c r="A39" s="2" t="s">
        <v>94</v>
      </c>
      <c r="B39" s="2" t="s">
        <v>63</v>
      </c>
      <c r="C39" s="2" t="s">
        <v>34</v>
      </c>
      <c r="D39" s="2" t="s">
        <v>26</v>
      </c>
      <c r="E39" s="2" t="s">
        <v>23</v>
      </c>
      <c r="F39" s="2">
        <v>8.340442184E9</v>
      </c>
    </row>
    <row r="40" ht="15.75" customHeight="1">
      <c r="A40" s="2" t="s">
        <v>95</v>
      </c>
      <c r="B40" s="2" t="s">
        <v>50</v>
      </c>
      <c r="C40" s="2" t="s">
        <v>58</v>
      </c>
      <c r="D40" s="2" t="s">
        <v>26</v>
      </c>
      <c r="E40" s="2" t="s">
        <v>19</v>
      </c>
      <c r="F40" s="2">
        <v>8.709215119E9</v>
      </c>
    </row>
    <row r="41" ht="15.75" customHeight="1">
      <c r="A41" s="2" t="s">
        <v>96</v>
      </c>
      <c r="B41" s="2" t="s">
        <v>96</v>
      </c>
      <c r="C41" s="2" t="s">
        <v>58</v>
      </c>
      <c r="D41" s="2" t="s">
        <v>44</v>
      </c>
      <c r="E41" s="2" t="s">
        <v>19</v>
      </c>
      <c r="F41" s="2">
        <v>8.10273402E9</v>
      </c>
    </row>
    <row r="42" ht="15.75" customHeight="1">
      <c r="A42" s="2" t="s">
        <v>97</v>
      </c>
      <c r="B42" s="2" t="s">
        <v>63</v>
      </c>
      <c r="C42" s="2" t="s">
        <v>34</v>
      </c>
      <c r="D42" s="2" t="s">
        <v>26</v>
      </c>
      <c r="E42" s="2" t="s">
        <v>23</v>
      </c>
      <c r="F42" s="2">
        <v>8.084154188E9</v>
      </c>
    </row>
    <row r="43" ht="15.75" customHeight="1">
      <c r="A43" s="2" t="s">
        <v>98</v>
      </c>
      <c r="B43" s="2" t="s">
        <v>50</v>
      </c>
      <c r="C43" s="2" t="s">
        <v>58</v>
      </c>
      <c r="D43" s="2" t="s">
        <v>56</v>
      </c>
      <c r="E43" s="2" t="s">
        <v>19</v>
      </c>
      <c r="F43" s="2">
        <v>7.488019626E9</v>
      </c>
    </row>
    <row r="44" ht="15.75" customHeight="1">
      <c r="A44" s="2" t="s">
        <v>99</v>
      </c>
      <c r="B44" s="2" t="s">
        <v>21</v>
      </c>
      <c r="C44" s="2" t="s">
        <v>34</v>
      </c>
      <c r="D44" s="2" t="s">
        <v>26</v>
      </c>
      <c r="E44" s="2" t="s">
        <v>23</v>
      </c>
      <c r="F44" s="2">
        <v>9.113785524E9</v>
      </c>
    </row>
    <row r="45" ht="15.75" customHeight="1">
      <c r="A45" s="2" t="s">
        <v>100</v>
      </c>
      <c r="B45" s="2" t="s">
        <v>100</v>
      </c>
      <c r="C45" s="2" t="s">
        <v>101</v>
      </c>
      <c r="D45" s="2" t="s">
        <v>102</v>
      </c>
      <c r="E45" s="2" t="s">
        <v>19</v>
      </c>
      <c r="F45" s="2">
        <v>2.487532678E9</v>
      </c>
    </row>
    <row r="46" ht="15.75" customHeight="1">
      <c r="A46" s="2" t="s">
        <v>103</v>
      </c>
      <c r="B46" s="2" t="s">
        <v>21</v>
      </c>
      <c r="C46" s="2" t="s">
        <v>58</v>
      </c>
      <c r="D46" s="2" t="s">
        <v>44</v>
      </c>
      <c r="E46" s="2" t="s">
        <v>19</v>
      </c>
      <c r="F46" s="2">
        <v>8.21089833E9</v>
      </c>
    </row>
    <row r="47" ht="15.75" customHeight="1">
      <c r="A47" s="2" t="s">
        <v>104</v>
      </c>
      <c r="B47" s="2" t="s">
        <v>88</v>
      </c>
      <c r="C47" s="2" t="s">
        <v>34</v>
      </c>
      <c r="D47" s="2" t="s">
        <v>26</v>
      </c>
      <c r="E47" s="2" t="s">
        <v>23</v>
      </c>
      <c r="F47" s="2">
        <v>9.431792181E9</v>
      </c>
    </row>
    <row r="48" ht="15.75" customHeight="1">
      <c r="A48" s="2" t="s">
        <v>105</v>
      </c>
      <c r="B48" s="2" t="s">
        <v>105</v>
      </c>
      <c r="C48" s="2" t="s">
        <v>106</v>
      </c>
      <c r="D48" s="2" t="s">
        <v>14</v>
      </c>
      <c r="E48" s="2" t="s">
        <v>19</v>
      </c>
      <c r="F48" s="2">
        <v>9.334080522E9</v>
      </c>
    </row>
    <row r="49" ht="15.75" customHeight="1">
      <c r="A49" s="2" t="s">
        <v>107</v>
      </c>
      <c r="B49" s="2" t="s">
        <v>108</v>
      </c>
      <c r="C49" s="2" t="s">
        <v>58</v>
      </c>
      <c r="D49" s="2" t="s">
        <v>26</v>
      </c>
      <c r="E49" s="2" t="s">
        <v>19</v>
      </c>
      <c r="F49" s="2">
        <v>8.210556007E9</v>
      </c>
    </row>
    <row r="50" ht="15.75" customHeight="1">
      <c r="A50" s="2" t="s">
        <v>107</v>
      </c>
      <c r="B50" s="2" t="s">
        <v>65</v>
      </c>
      <c r="C50" s="2" t="s">
        <v>34</v>
      </c>
      <c r="D50" s="2" t="s">
        <v>14</v>
      </c>
      <c r="E50" s="2" t="s">
        <v>23</v>
      </c>
      <c r="F50" s="2">
        <v>8.084377371E9</v>
      </c>
    </row>
    <row r="51" ht="15.75" customHeight="1">
      <c r="A51" s="2" t="s">
        <v>109</v>
      </c>
      <c r="B51" s="2" t="s">
        <v>50</v>
      </c>
      <c r="C51" s="2" t="s">
        <v>58</v>
      </c>
      <c r="D51" s="2" t="s">
        <v>26</v>
      </c>
      <c r="E51" s="2" t="s">
        <v>19</v>
      </c>
      <c r="F51" s="2">
        <v>9.709277057E9</v>
      </c>
    </row>
    <row r="52" ht="15.75" customHeight="1">
      <c r="A52" s="2" t="s">
        <v>110</v>
      </c>
      <c r="B52" s="2" t="s">
        <v>63</v>
      </c>
      <c r="C52" s="2" t="s">
        <v>34</v>
      </c>
      <c r="D52" s="2" t="s">
        <v>9</v>
      </c>
      <c r="E52" s="2" t="s">
        <v>23</v>
      </c>
      <c r="F52" s="2">
        <v>8.80090695E9</v>
      </c>
    </row>
    <row r="53" ht="15.75" customHeight="1">
      <c r="A53" s="2" t="s">
        <v>111</v>
      </c>
      <c r="B53" s="2" t="s">
        <v>112</v>
      </c>
      <c r="C53" s="2" t="s">
        <v>53</v>
      </c>
      <c r="D53" s="2" t="s">
        <v>9</v>
      </c>
      <c r="E53" s="2" t="s">
        <v>19</v>
      </c>
      <c r="F53" s="2">
        <v>9.454749318E9</v>
      </c>
    </row>
    <row r="54" ht="15.75" customHeight="1">
      <c r="A54" s="2" t="s">
        <v>113</v>
      </c>
      <c r="B54" s="2" t="s">
        <v>114</v>
      </c>
      <c r="C54" s="2" t="s">
        <v>83</v>
      </c>
      <c r="D54" s="2" t="s">
        <v>26</v>
      </c>
      <c r="E54" s="2" t="s">
        <v>23</v>
      </c>
      <c r="F54" s="2">
        <v>9.575320588E9</v>
      </c>
    </row>
    <row r="55" ht="15.75" customHeight="1">
      <c r="A55" s="2" t="s">
        <v>115</v>
      </c>
      <c r="B55" s="2" t="s">
        <v>21</v>
      </c>
      <c r="C55" s="2" t="s">
        <v>53</v>
      </c>
      <c r="D55" s="2" t="s">
        <v>56</v>
      </c>
      <c r="E55" s="2" t="s">
        <v>19</v>
      </c>
      <c r="F55" s="2">
        <v>8.987562269E9</v>
      </c>
    </row>
    <row r="56" ht="15.75" customHeight="1">
      <c r="A56" s="2" t="s">
        <v>111</v>
      </c>
      <c r="B56" s="2" t="s">
        <v>50</v>
      </c>
      <c r="C56" s="2" t="s">
        <v>34</v>
      </c>
      <c r="D56" s="2" t="s">
        <v>9</v>
      </c>
      <c r="E56" s="2" t="s">
        <v>23</v>
      </c>
      <c r="F56" s="2">
        <v>8.936055372E9</v>
      </c>
    </row>
    <row r="57" ht="15.75" customHeight="1">
      <c r="A57" s="2" t="s">
        <v>116</v>
      </c>
      <c r="B57" s="2" t="s">
        <v>117</v>
      </c>
      <c r="C57" s="2" t="s">
        <v>58</v>
      </c>
      <c r="D57" s="2" t="s">
        <v>26</v>
      </c>
      <c r="E57" s="2" t="s">
        <v>19</v>
      </c>
      <c r="F57" s="2">
        <v>8.708049464E9</v>
      </c>
    </row>
    <row r="58" ht="15.75" customHeight="1">
      <c r="A58" s="2" t="s">
        <v>118</v>
      </c>
      <c r="B58" s="2" t="s">
        <v>119</v>
      </c>
      <c r="C58" s="2" t="s">
        <v>34</v>
      </c>
      <c r="D58" s="2" t="s">
        <v>44</v>
      </c>
      <c r="E58" s="2" t="s">
        <v>23</v>
      </c>
      <c r="F58" s="2">
        <v>9.407351308E9</v>
      </c>
    </row>
    <row r="59" ht="15.75" customHeight="1">
      <c r="A59" s="2" t="s">
        <v>120</v>
      </c>
      <c r="B59" s="2" t="s">
        <v>65</v>
      </c>
      <c r="C59" s="2" t="s">
        <v>34</v>
      </c>
      <c r="D59" s="2" t="s">
        <v>26</v>
      </c>
      <c r="E59" s="2" t="s">
        <v>23</v>
      </c>
      <c r="F59" s="2">
        <v>8.955581167E9</v>
      </c>
    </row>
    <row r="60" ht="15.75" customHeight="1">
      <c r="A60" s="2" t="s">
        <v>121</v>
      </c>
      <c r="B60" s="2" t="s">
        <v>50</v>
      </c>
      <c r="C60" s="2" t="s">
        <v>34</v>
      </c>
      <c r="D60" s="2" t="s">
        <v>9</v>
      </c>
      <c r="E60" s="2" t="s">
        <v>23</v>
      </c>
      <c r="F60" s="2">
        <v>9.905220599E9</v>
      </c>
    </row>
    <row r="61" ht="15.75" customHeight="1">
      <c r="A61" s="2" t="s">
        <v>122</v>
      </c>
      <c r="B61" s="2" t="s">
        <v>55</v>
      </c>
      <c r="C61" s="2" t="s">
        <v>58</v>
      </c>
      <c r="D61" s="2" t="s">
        <v>26</v>
      </c>
      <c r="E61" s="2" t="s">
        <v>19</v>
      </c>
      <c r="F61" s="2">
        <v>7.808140367E9</v>
      </c>
    </row>
    <row r="62" ht="15.75" customHeight="1">
      <c r="A62" s="2" t="s">
        <v>123</v>
      </c>
      <c r="B62" s="2" t="s">
        <v>55</v>
      </c>
      <c r="C62" s="2" t="s">
        <v>34</v>
      </c>
      <c r="D62" s="2" t="s">
        <v>14</v>
      </c>
      <c r="E62" s="2" t="s">
        <v>23</v>
      </c>
      <c r="F62" s="2">
        <v>7.979782363E9</v>
      </c>
    </row>
    <row r="63" ht="15.75" customHeight="1">
      <c r="A63" s="2" t="s">
        <v>124</v>
      </c>
      <c r="B63" s="2" t="s">
        <v>125</v>
      </c>
      <c r="C63" s="2" t="s">
        <v>58</v>
      </c>
      <c r="D63" s="2" t="s">
        <v>44</v>
      </c>
      <c r="E63" s="2" t="s">
        <v>19</v>
      </c>
      <c r="F63" s="2">
        <v>6.205732936E9</v>
      </c>
    </row>
    <row r="64" ht="15.75" customHeight="1">
      <c r="A64" s="2" t="s">
        <v>126</v>
      </c>
      <c r="B64" s="2" t="s">
        <v>50</v>
      </c>
      <c r="C64" s="2" t="s">
        <v>34</v>
      </c>
      <c r="D64" s="2" t="s">
        <v>26</v>
      </c>
      <c r="E64" s="2" t="s">
        <v>23</v>
      </c>
      <c r="F64" s="2">
        <v>9.57067791E9</v>
      </c>
    </row>
    <row r="65" ht="15.75" customHeight="1">
      <c r="A65" s="2" t="s">
        <v>127</v>
      </c>
      <c r="B65" s="2" t="s">
        <v>50</v>
      </c>
      <c r="C65" s="2" t="s">
        <v>128</v>
      </c>
      <c r="D65" s="2" t="s">
        <v>26</v>
      </c>
      <c r="E65" s="2" t="s">
        <v>19</v>
      </c>
      <c r="F65" s="2">
        <v>7.209430305E9</v>
      </c>
    </row>
    <row r="66" ht="15.75" customHeight="1">
      <c r="A66" s="2" t="s">
        <v>129</v>
      </c>
      <c r="B66" s="2" t="s">
        <v>55</v>
      </c>
      <c r="C66" s="2" t="s">
        <v>128</v>
      </c>
      <c r="D66" s="2" t="s">
        <v>56</v>
      </c>
      <c r="E66" s="2" t="s">
        <v>23</v>
      </c>
      <c r="F66" s="2">
        <v>8.34962161E9</v>
      </c>
    </row>
    <row r="67" ht="15.75" customHeight="1">
      <c r="A67" s="2" t="s">
        <v>51</v>
      </c>
      <c r="B67" s="2" t="s">
        <v>21</v>
      </c>
      <c r="C67" s="2" t="s">
        <v>128</v>
      </c>
      <c r="D67" s="2" t="s">
        <v>26</v>
      </c>
      <c r="E67" s="2" t="s">
        <v>19</v>
      </c>
      <c r="F67" s="2">
        <v>9.123198506E9</v>
      </c>
    </row>
    <row r="68" ht="15.75" customHeight="1">
      <c r="A68" s="2" t="s">
        <v>130</v>
      </c>
      <c r="B68" s="2" t="s">
        <v>21</v>
      </c>
      <c r="C68" s="2" t="s">
        <v>128</v>
      </c>
      <c r="D68" s="2" t="s">
        <v>26</v>
      </c>
      <c r="E68" s="2" t="s">
        <v>23</v>
      </c>
      <c r="F68" s="2">
        <v>9.304710937E9</v>
      </c>
    </row>
    <row r="69" ht="15.75" customHeight="1">
      <c r="A69" s="2" t="s">
        <v>118</v>
      </c>
      <c r="B69" s="2" t="s">
        <v>21</v>
      </c>
      <c r="C69" s="2" t="s">
        <v>128</v>
      </c>
      <c r="D69" s="2" t="s">
        <v>9</v>
      </c>
      <c r="E69" s="2" t="s">
        <v>19</v>
      </c>
      <c r="F69" s="2">
        <v>7.632013057E9</v>
      </c>
    </row>
    <row r="70" ht="15.75" customHeight="1">
      <c r="A70" s="2" t="s">
        <v>131</v>
      </c>
      <c r="B70" s="2" t="s">
        <v>63</v>
      </c>
      <c r="C70" s="2" t="s">
        <v>128</v>
      </c>
      <c r="D70" s="2" t="s">
        <v>44</v>
      </c>
      <c r="E70" s="2" t="s">
        <v>23</v>
      </c>
      <c r="F70" s="2">
        <v>8.40485114E9</v>
      </c>
    </row>
    <row r="71" ht="15.75" customHeight="1">
      <c r="A71" s="2" t="s">
        <v>132</v>
      </c>
      <c r="B71" s="2" t="s">
        <v>132</v>
      </c>
      <c r="C71" s="2" t="s">
        <v>133</v>
      </c>
      <c r="D71" s="2" t="s">
        <v>26</v>
      </c>
      <c r="E71" s="2" t="s">
        <v>19</v>
      </c>
      <c r="F71" s="2">
        <v>7.870086827E9</v>
      </c>
    </row>
    <row r="72" ht="15.75" customHeight="1">
      <c r="A72" s="2" t="s">
        <v>134</v>
      </c>
      <c r="B72" s="2" t="s">
        <v>135</v>
      </c>
      <c r="C72" s="2" t="s">
        <v>136</v>
      </c>
      <c r="D72" s="2" t="s">
        <v>56</v>
      </c>
      <c r="E72" s="2" t="s">
        <v>137</v>
      </c>
      <c r="F72" s="2">
        <v>6.290594196E9</v>
      </c>
    </row>
    <row r="73" ht="15.75" customHeight="1">
      <c r="A73" s="2" t="s">
        <v>138</v>
      </c>
      <c r="B73" s="2" t="s">
        <v>139</v>
      </c>
      <c r="C73" s="2" t="s">
        <v>140</v>
      </c>
      <c r="D73" s="2" t="s">
        <v>29</v>
      </c>
      <c r="E73" s="2" t="s">
        <v>19</v>
      </c>
      <c r="F73" s="2">
        <v>7.870086827E9</v>
      </c>
    </row>
    <row r="74" ht="15.75" customHeight="1">
      <c r="A74" s="2" t="s">
        <v>141</v>
      </c>
      <c r="B74" s="2" t="s">
        <v>108</v>
      </c>
      <c r="C74" s="2" t="s">
        <v>136</v>
      </c>
      <c r="D74" s="2" t="s">
        <v>26</v>
      </c>
      <c r="E74" s="2" t="s">
        <v>137</v>
      </c>
      <c r="F74" s="2">
        <v>6.266718131E9</v>
      </c>
    </row>
    <row r="75" ht="15.75" customHeight="1">
      <c r="A75" s="2" t="s">
        <v>142</v>
      </c>
      <c r="B75" s="2" t="s">
        <v>143</v>
      </c>
      <c r="C75" s="2" t="s">
        <v>136</v>
      </c>
      <c r="D75" s="2" t="s">
        <v>26</v>
      </c>
      <c r="E75" s="2" t="s">
        <v>137</v>
      </c>
      <c r="F75" s="2">
        <v>8.6975293E9</v>
      </c>
    </row>
    <row r="76" ht="15.75" customHeight="1">
      <c r="A76" s="2" t="s">
        <v>144</v>
      </c>
      <c r="B76" s="2" t="s">
        <v>145</v>
      </c>
      <c r="C76" s="2" t="s">
        <v>136</v>
      </c>
      <c r="D76" s="2" t="s">
        <v>44</v>
      </c>
      <c r="E76" s="2" t="s">
        <v>137</v>
      </c>
      <c r="F76" s="2">
        <v>7.44936287E9</v>
      </c>
    </row>
    <row r="77" ht="15.75" customHeight="1">
      <c r="A77" s="2" t="s">
        <v>146</v>
      </c>
      <c r="B77" s="2" t="s">
        <v>147</v>
      </c>
      <c r="C77" s="2" t="s">
        <v>136</v>
      </c>
      <c r="D77" s="2" t="s">
        <v>14</v>
      </c>
      <c r="E77" s="2" t="s">
        <v>137</v>
      </c>
      <c r="F77" s="2">
        <v>6.290342654E9</v>
      </c>
    </row>
    <row r="78" ht="15.75" customHeight="1">
      <c r="A78" s="2" t="s">
        <v>148</v>
      </c>
      <c r="B78" s="2" t="s">
        <v>65</v>
      </c>
      <c r="C78" s="2" t="s">
        <v>136</v>
      </c>
      <c r="D78" s="2" t="s">
        <v>26</v>
      </c>
      <c r="E78" s="2" t="s">
        <v>137</v>
      </c>
      <c r="F78" s="2">
        <v>9.903912778E9</v>
      </c>
    </row>
    <row r="79" ht="15.75" customHeight="1">
      <c r="A79" s="2" t="s">
        <v>149</v>
      </c>
      <c r="B79" s="2" t="s">
        <v>150</v>
      </c>
      <c r="C79" s="2" t="s">
        <v>136</v>
      </c>
      <c r="D79" s="2" t="s">
        <v>26</v>
      </c>
      <c r="E79" s="2" t="s">
        <v>137</v>
      </c>
      <c r="F79" s="2">
        <v>8.011358589E9</v>
      </c>
    </row>
    <row r="80" ht="15.75" customHeight="1">
      <c r="A80" s="2" t="s">
        <v>151</v>
      </c>
      <c r="B80" s="2" t="s">
        <v>63</v>
      </c>
      <c r="C80" s="2" t="s">
        <v>136</v>
      </c>
      <c r="D80" s="2" t="s">
        <v>26</v>
      </c>
      <c r="E80" s="2" t="s">
        <v>137</v>
      </c>
      <c r="F80" s="2">
        <v>8.697141318E9</v>
      </c>
    </row>
    <row r="81" ht="15.75" customHeight="1">
      <c r="A81" s="2" t="s">
        <v>152</v>
      </c>
      <c r="B81" s="2" t="s">
        <v>153</v>
      </c>
      <c r="C81" s="2" t="s">
        <v>154</v>
      </c>
      <c r="D81" s="2" t="s">
        <v>56</v>
      </c>
      <c r="E81" s="2" t="s">
        <v>19</v>
      </c>
      <c r="F81" s="2">
        <v>7.462093687E9</v>
      </c>
    </row>
    <row r="82" ht="15.75" customHeight="1">
      <c r="A82" s="2" t="s">
        <v>155</v>
      </c>
      <c r="B82" s="2" t="s">
        <v>155</v>
      </c>
      <c r="C82" s="2" t="s">
        <v>156</v>
      </c>
      <c r="D82" s="2" t="s">
        <v>26</v>
      </c>
      <c r="E82" s="2" t="s">
        <v>19</v>
      </c>
      <c r="F82" s="2">
        <v>9.835537616E9</v>
      </c>
    </row>
    <row r="83" ht="15.75" customHeight="1">
      <c r="A83" s="2" t="s">
        <v>157</v>
      </c>
      <c r="B83" s="2" t="s">
        <v>158</v>
      </c>
      <c r="C83" s="2" t="s">
        <v>136</v>
      </c>
      <c r="D83" s="2" t="s">
        <v>29</v>
      </c>
      <c r="E83" s="2" t="s">
        <v>137</v>
      </c>
      <c r="F83" s="2">
        <v>7.980966637E9</v>
      </c>
    </row>
    <row r="84" ht="15.75" customHeight="1">
      <c r="A84" s="2" t="s">
        <v>159</v>
      </c>
      <c r="B84" s="2" t="s">
        <v>159</v>
      </c>
      <c r="C84" s="2" t="s">
        <v>160</v>
      </c>
      <c r="D84" s="2" t="s">
        <v>14</v>
      </c>
      <c r="E84" s="2" t="s">
        <v>19</v>
      </c>
      <c r="F84" s="2">
        <v>6.299915681E9</v>
      </c>
    </row>
    <row r="85" ht="15.75" customHeight="1">
      <c r="A85" s="2" t="s">
        <v>161</v>
      </c>
      <c r="B85" s="2" t="s">
        <v>63</v>
      </c>
      <c r="C85" s="2" t="s">
        <v>136</v>
      </c>
      <c r="D85" s="2" t="s">
        <v>44</v>
      </c>
      <c r="E85" s="2" t="s">
        <v>137</v>
      </c>
      <c r="F85" s="2">
        <v>9.874655743E9</v>
      </c>
    </row>
    <row r="86" ht="15.75" customHeight="1">
      <c r="A86" s="2" t="s">
        <v>93</v>
      </c>
      <c r="B86" s="2" t="s">
        <v>50</v>
      </c>
      <c r="C86" s="2" t="s">
        <v>162</v>
      </c>
      <c r="D86" s="2" t="s">
        <v>14</v>
      </c>
      <c r="E86" s="2" t="s">
        <v>19</v>
      </c>
      <c r="F86" s="2">
        <v>9.234609553E9</v>
      </c>
    </row>
    <row r="87" ht="15.75" customHeight="1">
      <c r="A87" s="2" t="s">
        <v>163</v>
      </c>
      <c r="B87" s="2" t="s">
        <v>150</v>
      </c>
      <c r="C87" s="2" t="s">
        <v>136</v>
      </c>
      <c r="D87" s="2" t="s">
        <v>26</v>
      </c>
      <c r="E87" s="2" t="s">
        <v>137</v>
      </c>
      <c r="F87" s="2">
        <v>8.961510959E9</v>
      </c>
    </row>
    <row r="88" ht="15.75" customHeight="1">
      <c r="A88" s="2" t="s">
        <v>164</v>
      </c>
      <c r="B88" s="2" t="s">
        <v>164</v>
      </c>
      <c r="C88" s="2" t="s">
        <v>160</v>
      </c>
      <c r="D88" s="2" t="s">
        <v>14</v>
      </c>
      <c r="E88" s="2" t="s">
        <v>19</v>
      </c>
      <c r="F88" s="2">
        <v>8.804047144E9</v>
      </c>
    </row>
    <row r="89" ht="15.75" customHeight="1">
      <c r="A89" s="2" t="s">
        <v>165</v>
      </c>
      <c r="B89" s="2" t="s">
        <v>65</v>
      </c>
      <c r="C89" s="2" t="s">
        <v>92</v>
      </c>
      <c r="D89" s="2" t="s">
        <v>56</v>
      </c>
      <c r="E89" s="2" t="s">
        <v>19</v>
      </c>
      <c r="F89" s="2">
        <v>9.709014243E9</v>
      </c>
    </row>
    <row r="90" ht="15.75" customHeight="1">
      <c r="A90" s="2" t="s">
        <v>166</v>
      </c>
      <c r="B90" s="2" t="s">
        <v>167</v>
      </c>
      <c r="C90" s="2" t="s">
        <v>136</v>
      </c>
      <c r="D90" s="2" t="s">
        <v>26</v>
      </c>
      <c r="E90" s="2" t="s">
        <v>168</v>
      </c>
      <c r="F90" s="2">
        <v>8.879770564E9</v>
      </c>
    </row>
    <row r="91" ht="15.75" customHeight="1">
      <c r="A91" s="2" t="s">
        <v>169</v>
      </c>
      <c r="B91" s="2" t="s">
        <v>170</v>
      </c>
      <c r="C91" s="2" t="s">
        <v>171</v>
      </c>
      <c r="D91" s="2" t="s">
        <v>26</v>
      </c>
      <c r="E91" s="2" t="s">
        <v>19</v>
      </c>
      <c r="F91" s="2">
        <v>9.835937618E9</v>
      </c>
    </row>
    <row r="92" ht="15.75" customHeight="1">
      <c r="A92" s="2" t="s">
        <v>172</v>
      </c>
      <c r="B92" s="2" t="s">
        <v>173</v>
      </c>
      <c r="C92" s="2" t="s">
        <v>136</v>
      </c>
      <c r="D92" s="2" t="s">
        <v>44</v>
      </c>
      <c r="E92" s="2" t="s">
        <v>168</v>
      </c>
      <c r="F92" s="2">
        <v>8.104951266E9</v>
      </c>
    </row>
    <row r="93" ht="15.75" customHeight="1">
      <c r="A93" s="2" t="s">
        <v>174</v>
      </c>
      <c r="B93" s="2" t="s">
        <v>47</v>
      </c>
      <c r="C93" s="2" t="s">
        <v>156</v>
      </c>
      <c r="D93" s="2" t="s">
        <v>26</v>
      </c>
      <c r="E93" s="2" t="s">
        <v>19</v>
      </c>
      <c r="F93" s="2">
        <v>7.979069079E9</v>
      </c>
    </row>
    <row r="94" ht="15.75" customHeight="1">
      <c r="A94" s="2" t="s">
        <v>175</v>
      </c>
      <c r="B94" s="2" t="s">
        <v>176</v>
      </c>
      <c r="C94" s="2" t="s">
        <v>177</v>
      </c>
      <c r="D94" s="2" t="s">
        <v>26</v>
      </c>
      <c r="E94" s="2" t="s">
        <v>19</v>
      </c>
      <c r="F94" s="2">
        <v>7.660703389E9</v>
      </c>
    </row>
    <row r="95" ht="15.75" customHeight="1">
      <c r="A95" s="2" t="s">
        <v>178</v>
      </c>
      <c r="B95" s="2" t="s">
        <v>179</v>
      </c>
      <c r="C95" s="2" t="s">
        <v>136</v>
      </c>
      <c r="D95" s="2" t="s">
        <v>29</v>
      </c>
      <c r="E95" s="2" t="s">
        <v>168</v>
      </c>
      <c r="F95" s="2">
        <v>8.879607476E9</v>
      </c>
    </row>
    <row r="96" ht="15.75" customHeight="1">
      <c r="A96" s="2" t="s">
        <v>180</v>
      </c>
      <c r="B96" s="2" t="s">
        <v>180</v>
      </c>
      <c r="C96" s="2" t="s">
        <v>181</v>
      </c>
      <c r="D96" s="2" t="s">
        <v>26</v>
      </c>
      <c r="E96" s="2" t="s">
        <v>19</v>
      </c>
      <c r="F96" s="2">
        <v>9.835409648E9</v>
      </c>
    </row>
    <row r="97" ht="15.75" customHeight="1">
      <c r="A97" s="2" t="s">
        <v>182</v>
      </c>
      <c r="B97" s="2" t="s">
        <v>183</v>
      </c>
      <c r="C97" s="2" t="s">
        <v>136</v>
      </c>
      <c r="D97" s="2" t="s">
        <v>26</v>
      </c>
      <c r="E97" s="2" t="s">
        <v>168</v>
      </c>
      <c r="F97" s="2">
        <v>7.710818157E9</v>
      </c>
    </row>
    <row r="98" ht="15.75" customHeight="1">
      <c r="A98" s="2" t="s">
        <v>184</v>
      </c>
      <c r="B98" s="2" t="s">
        <v>185</v>
      </c>
      <c r="C98" s="2" t="s">
        <v>136</v>
      </c>
      <c r="D98" s="2" t="s">
        <v>26</v>
      </c>
      <c r="E98" s="2" t="s">
        <v>168</v>
      </c>
      <c r="F98" s="2">
        <v>8.356994559E9</v>
      </c>
    </row>
    <row r="99" ht="15.75" customHeight="1">
      <c r="A99" s="2" t="s">
        <v>186</v>
      </c>
      <c r="B99" s="2" t="s">
        <v>187</v>
      </c>
      <c r="C99" s="2" t="s">
        <v>188</v>
      </c>
      <c r="D99" s="2" t="s">
        <v>56</v>
      </c>
      <c r="E99" s="2" t="s">
        <v>19</v>
      </c>
      <c r="F99" s="2">
        <v>7.660703389E9</v>
      </c>
    </row>
    <row r="100" ht="15.75" customHeight="1">
      <c r="A100" s="2" t="s">
        <v>189</v>
      </c>
      <c r="B100" s="2" t="s">
        <v>150</v>
      </c>
      <c r="C100" s="2" t="s">
        <v>136</v>
      </c>
      <c r="D100" s="2" t="s">
        <v>26</v>
      </c>
      <c r="E100" s="2" t="s">
        <v>168</v>
      </c>
      <c r="F100" s="2">
        <v>8.652298067E9</v>
      </c>
    </row>
    <row r="101" ht="15.75" customHeight="1">
      <c r="A101" s="2" t="s">
        <v>190</v>
      </c>
      <c r="B101" s="2" t="s">
        <v>191</v>
      </c>
      <c r="C101" s="2" t="s">
        <v>177</v>
      </c>
      <c r="D101" s="2" t="s">
        <v>26</v>
      </c>
      <c r="E101" s="2" t="s">
        <v>19</v>
      </c>
      <c r="F101" s="2">
        <v>6.298765202E9</v>
      </c>
    </row>
    <row r="102" ht="15.75" customHeight="1">
      <c r="A102" s="2" t="s">
        <v>192</v>
      </c>
      <c r="B102" s="2" t="s">
        <v>47</v>
      </c>
      <c r="C102" s="2" t="s">
        <v>136</v>
      </c>
      <c r="D102" s="2" t="s">
        <v>26</v>
      </c>
      <c r="E102" s="2" t="s">
        <v>193</v>
      </c>
      <c r="F102" s="2">
        <v>9.335237202E9</v>
      </c>
    </row>
    <row r="103" ht="15.75" customHeight="1">
      <c r="A103" s="2" t="s">
        <v>194</v>
      </c>
      <c r="B103" s="2" t="s">
        <v>91</v>
      </c>
      <c r="C103" s="2" t="s">
        <v>136</v>
      </c>
      <c r="D103" s="2" t="s">
        <v>56</v>
      </c>
      <c r="E103" s="2" t="s">
        <v>195</v>
      </c>
      <c r="F103" s="2">
        <v>9.967656558E9</v>
      </c>
    </row>
    <row r="104" ht="15.75" customHeight="1">
      <c r="A104" s="2" t="s">
        <v>196</v>
      </c>
      <c r="B104" s="2" t="s">
        <v>197</v>
      </c>
      <c r="C104" s="2" t="s">
        <v>156</v>
      </c>
      <c r="D104" s="2" t="s">
        <v>26</v>
      </c>
      <c r="E104" s="2" t="s">
        <v>19</v>
      </c>
      <c r="F104" s="2">
        <v>8.757574487E9</v>
      </c>
    </row>
    <row r="105" ht="15.75" customHeight="1">
      <c r="A105" s="2" t="s">
        <v>198</v>
      </c>
      <c r="B105" s="2" t="s">
        <v>199</v>
      </c>
      <c r="C105" s="2" t="s">
        <v>200</v>
      </c>
      <c r="D105" s="2" t="s">
        <v>102</v>
      </c>
      <c r="E105" s="2" t="s">
        <v>19</v>
      </c>
      <c r="F105" s="2">
        <v>6.200162886E9</v>
      </c>
    </row>
    <row r="106" ht="15.75" customHeight="1">
      <c r="A106" s="2" t="s">
        <v>201</v>
      </c>
      <c r="B106" s="2" t="s">
        <v>69</v>
      </c>
      <c r="C106" s="2" t="s">
        <v>136</v>
      </c>
      <c r="D106" s="2" t="s">
        <v>56</v>
      </c>
      <c r="E106" s="2" t="s">
        <v>193</v>
      </c>
      <c r="F106" s="2">
        <v>9.59414703E9</v>
      </c>
    </row>
    <row r="107" ht="15.75" customHeight="1">
      <c r="A107" s="2" t="s">
        <v>146</v>
      </c>
      <c r="B107" s="2" t="s">
        <v>21</v>
      </c>
      <c r="C107" s="2" t="s">
        <v>136</v>
      </c>
      <c r="D107" s="2" t="s">
        <v>56</v>
      </c>
      <c r="E107" s="2" t="s">
        <v>168</v>
      </c>
      <c r="F107" s="2">
        <v>9.594541424E9</v>
      </c>
    </row>
    <row r="108" ht="15.75" customHeight="1">
      <c r="A108" s="2" t="s">
        <v>202</v>
      </c>
      <c r="B108" s="2" t="s">
        <v>203</v>
      </c>
      <c r="C108" s="2" t="s">
        <v>204</v>
      </c>
      <c r="D108" s="2" t="s">
        <v>26</v>
      </c>
      <c r="E108" s="2" t="s">
        <v>19</v>
      </c>
      <c r="F108" s="2">
        <v>7.63100105E9</v>
      </c>
    </row>
    <row r="109" ht="15.75" customHeight="1">
      <c r="A109" s="2" t="s">
        <v>205</v>
      </c>
      <c r="B109" s="2" t="s">
        <v>91</v>
      </c>
      <c r="C109" s="2" t="s">
        <v>136</v>
      </c>
      <c r="D109" s="2" t="s">
        <v>44</v>
      </c>
      <c r="E109" s="2" t="s">
        <v>168</v>
      </c>
      <c r="F109" s="2">
        <v>9.594841242E9</v>
      </c>
    </row>
    <row r="110" ht="15.75" customHeight="1">
      <c r="A110" s="2" t="s">
        <v>94</v>
      </c>
      <c r="B110" s="2" t="s">
        <v>63</v>
      </c>
      <c r="C110" s="2" t="s">
        <v>181</v>
      </c>
      <c r="D110" s="2" t="s">
        <v>26</v>
      </c>
      <c r="E110" s="2" t="s">
        <v>19</v>
      </c>
      <c r="F110" s="2">
        <v>6.202372458E9</v>
      </c>
    </row>
    <row r="111" ht="15.75" customHeight="1">
      <c r="A111" s="2" t="s">
        <v>206</v>
      </c>
      <c r="B111" s="2" t="s">
        <v>207</v>
      </c>
      <c r="C111" s="2" t="s">
        <v>34</v>
      </c>
      <c r="D111" s="2" t="s">
        <v>26</v>
      </c>
      <c r="E111" s="2" t="s">
        <v>19</v>
      </c>
      <c r="F111" s="2">
        <v>9.83537669E9</v>
      </c>
    </row>
    <row r="112" ht="15.75" customHeight="1">
      <c r="A112" s="2" t="s">
        <v>208</v>
      </c>
      <c r="B112" s="2" t="s">
        <v>209</v>
      </c>
      <c r="C112" s="2" t="s">
        <v>210</v>
      </c>
      <c r="D112" s="2" t="s">
        <v>14</v>
      </c>
      <c r="E112" s="2" t="s">
        <v>23</v>
      </c>
      <c r="F112" s="2">
        <v>8.603846461E9</v>
      </c>
    </row>
    <row r="113" ht="15.75" customHeight="1">
      <c r="A113" s="2" t="s">
        <v>211</v>
      </c>
      <c r="B113" s="2" t="s">
        <v>212</v>
      </c>
      <c r="C113" s="2" t="s">
        <v>83</v>
      </c>
      <c r="D113" s="2" t="s">
        <v>9</v>
      </c>
      <c r="E113" s="2" t="s">
        <v>19</v>
      </c>
      <c r="F113" s="2">
        <v>9.472754585E9</v>
      </c>
    </row>
    <row r="114" ht="15.75" customHeight="1">
      <c r="A114" s="2" t="s">
        <v>213</v>
      </c>
      <c r="B114" s="2" t="s">
        <v>214</v>
      </c>
      <c r="C114" s="2" t="s">
        <v>136</v>
      </c>
      <c r="D114" s="2" t="s">
        <v>26</v>
      </c>
      <c r="E114" s="2" t="s">
        <v>195</v>
      </c>
      <c r="F114" s="2">
        <v>8.422085375E9</v>
      </c>
    </row>
    <row r="115" ht="15.75" customHeight="1">
      <c r="A115" s="2" t="s">
        <v>215</v>
      </c>
      <c r="B115" s="2" t="s">
        <v>88</v>
      </c>
      <c r="C115" s="2" t="s">
        <v>216</v>
      </c>
      <c r="D115" s="2" t="s">
        <v>26</v>
      </c>
      <c r="E115" s="2" t="s">
        <v>23</v>
      </c>
      <c r="F115" s="2">
        <v>7.63100105E9</v>
      </c>
    </row>
    <row r="116" ht="15.75" customHeight="1">
      <c r="A116" s="2" t="s">
        <v>217</v>
      </c>
      <c r="B116" s="2" t="s">
        <v>119</v>
      </c>
      <c r="C116" s="2" t="s">
        <v>58</v>
      </c>
      <c r="D116" s="2" t="s">
        <v>26</v>
      </c>
      <c r="E116" s="2" t="s">
        <v>19</v>
      </c>
      <c r="F116" s="2">
        <v>7.389816909E9</v>
      </c>
    </row>
    <row r="117" ht="15.75" customHeight="1">
      <c r="A117" s="2" t="s">
        <v>218</v>
      </c>
      <c r="B117" s="2" t="s">
        <v>63</v>
      </c>
      <c r="C117" s="2" t="s">
        <v>136</v>
      </c>
      <c r="D117" s="2" t="s">
        <v>29</v>
      </c>
      <c r="E117" s="2" t="s">
        <v>193</v>
      </c>
      <c r="F117" s="2">
        <v>8.369025234E9</v>
      </c>
    </row>
    <row r="118" ht="15.75" customHeight="1">
      <c r="A118" s="2" t="s">
        <v>219</v>
      </c>
      <c r="B118" s="2" t="s">
        <v>220</v>
      </c>
      <c r="C118" s="2" t="s">
        <v>221</v>
      </c>
      <c r="D118" s="2" t="s">
        <v>56</v>
      </c>
      <c r="E118" s="2" t="s">
        <v>19</v>
      </c>
      <c r="F118" s="2">
        <v>6.202475458E9</v>
      </c>
    </row>
    <row r="119" ht="15.75" customHeight="1">
      <c r="A119" s="2" t="s">
        <v>222</v>
      </c>
      <c r="B119" s="2" t="s">
        <v>88</v>
      </c>
      <c r="C119" s="2" t="s">
        <v>223</v>
      </c>
      <c r="D119" s="2" t="s">
        <v>56</v>
      </c>
      <c r="E119" s="2" t="s">
        <v>19</v>
      </c>
      <c r="F119" s="2">
        <v>6.204583273E9</v>
      </c>
    </row>
    <row r="120" ht="15.75" customHeight="1">
      <c r="A120" s="2" t="s">
        <v>224</v>
      </c>
      <c r="B120" s="2" t="s">
        <v>225</v>
      </c>
      <c r="C120" s="2" t="s">
        <v>226</v>
      </c>
      <c r="D120" s="2" t="s">
        <v>29</v>
      </c>
      <c r="E120" s="2" t="s">
        <v>19</v>
      </c>
      <c r="F120" s="2">
        <v>9.199544203E9</v>
      </c>
    </row>
    <row r="121" ht="15.75" customHeight="1">
      <c r="A121" s="2" t="s">
        <v>227</v>
      </c>
      <c r="B121" s="2" t="s">
        <v>55</v>
      </c>
      <c r="C121" s="2" t="s">
        <v>228</v>
      </c>
      <c r="D121" s="2" t="s">
        <v>29</v>
      </c>
      <c r="E121" s="2" t="s">
        <v>23</v>
      </c>
      <c r="F121" s="2">
        <v>9.430305229E9</v>
      </c>
    </row>
    <row r="122" ht="15.75" customHeight="1">
      <c r="A122" s="2" t="s">
        <v>229</v>
      </c>
      <c r="B122" s="2" t="s">
        <v>203</v>
      </c>
      <c r="C122" s="2" t="s">
        <v>230</v>
      </c>
      <c r="D122" s="2" t="s">
        <v>29</v>
      </c>
      <c r="E122" s="2" t="s">
        <v>19</v>
      </c>
      <c r="F122" s="2">
        <v>8.319995926E9</v>
      </c>
    </row>
    <row r="123" ht="15.75" customHeight="1">
      <c r="A123" s="2" t="s">
        <v>231</v>
      </c>
      <c r="B123" s="2" t="s">
        <v>232</v>
      </c>
      <c r="C123" s="2" t="s">
        <v>233</v>
      </c>
      <c r="D123" s="2" t="s">
        <v>56</v>
      </c>
      <c r="E123" s="2" t="s">
        <v>19</v>
      </c>
      <c r="F123" s="2">
        <v>8.260555111E9</v>
      </c>
    </row>
    <row r="124" ht="15.75" customHeight="1">
      <c r="A124" s="2" t="s">
        <v>234</v>
      </c>
      <c r="B124" s="2" t="s">
        <v>50</v>
      </c>
      <c r="C124" s="2" t="s">
        <v>235</v>
      </c>
      <c r="D124" s="2" t="s">
        <v>29</v>
      </c>
      <c r="E124" s="2" t="s">
        <v>19</v>
      </c>
      <c r="F124" s="2">
        <v>7.209348071E9</v>
      </c>
    </row>
    <row r="125" ht="15.75" customHeight="1">
      <c r="A125" s="2" t="s">
        <v>236</v>
      </c>
      <c r="B125" s="2" t="s">
        <v>153</v>
      </c>
      <c r="C125" s="2" t="s">
        <v>237</v>
      </c>
      <c r="D125" s="2" t="s">
        <v>56</v>
      </c>
      <c r="E125" s="2" t="s">
        <v>19</v>
      </c>
      <c r="F125" s="2">
        <v>8.763493314E9</v>
      </c>
    </row>
    <row r="126" ht="15.75" customHeight="1">
      <c r="A126" s="2" t="s">
        <v>238</v>
      </c>
      <c r="B126" s="2" t="s">
        <v>239</v>
      </c>
      <c r="C126" s="2" t="s">
        <v>240</v>
      </c>
      <c r="D126" s="2" t="s">
        <v>29</v>
      </c>
      <c r="E126" s="2" t="s">
        <v>19</v>
      </c>
      <c r="F126" s="2">
        <v>8.834841565E9</v>
      </c>
    </row>
    <row r="127" ht="15.75" customHeight="1">
      <c r="A127" s="2" t="s">
        <v>241</v>
      </c>
      <c r="B127" s="2" t="s">
        <v>55</v>
      </c>
      <c r="C127" s="2" t="s">
        <v>181</v>
      </c>
      <c r="D127" s="2" t="s">
        <v>26</v>
      </c>
      <c r="E127" s="2" t="s">
        <v>19</v>
      </c>
      <c r="F127" s="2">
        <v>9.504719209E9</v>
      </c>
    </row>
    <row r="128" ht="15.75" customHeight="1">
      <c r="A128" s="2" t="s">
        <v>242</v>
      </c>
      <c r="B128" s="2" t="s">
        <v>243</v>
      </c>
      <c r="C128" s="2" t="s">
        <v>223</v>
      </c>
      <c r="D128" s="2" t="s">
        <v>56</v>
      </c>
      <c r="E128" s="2" t="s">
        <v>19</v>
      </c>
      <c r="F128" s="2">
        <v>6.200288344E9</v>
      </c>
    </row>
    <row r="129" ht="15.75" customHeight="1">
      <c r="A129" s="2" t="s">
        <v>244</v>
      </c>
      <c r="B129" s="2" t="s">
        <v>245</v>
      </c>
      <c r="C129" s="2" t="s">
        <v>246</v>
      </c>
      <c r="D129" s="2" t="s">
        <v>44</v>
      </c>
      <c r="E129" s="2" t="s">
        <v>19</v>
      </c>
      <c r="F129" s="2">
        <v>7.992362933E9</v>
      </c>
    </row>
    <row r="130" ht="15.75" customHeight="1">
      <c r="A130" s="2" t="s">
        <v>247</v>
      </c>
      <c r="B130" s="2" t="s">
        <v>248</v>
      </c>
      <c r="C130" s="2" t="s">
        <v>249</v>
      </c>
      <c r="D130" s="2" t="s">
        <v>56</v>
      </c>
      <c r="E130" s="2" t="s">
        <v>23</v>
      </c>
      <c r="F130" s="2">
        <v>9.199440863E9</v>
      </c>
    </row>
    <row r="131" ht="15.75" customHeight="1">
      <c r="A131" s="2" t="s">
        <v>250</v>
      </c>
      <c r="B131" s="2" t="s">
        <v>251</v>
      </c>
      <c r="C131" s="2" t="s">
        <v>252</v>
      </c>
      <c r="D131" s="2" t="s">
        <v>44</v>
      </c>
      <c r="E131" s="2" t="s">
        <v>19</v>
      </c>
      <c r="F131" s="2">
        <v>9.102813356E9</v>
      </c>
    </row>
    <row r="132" ht="15.75" customHeight="1">
      <c r="A132" s="2" t="s">
        <v>253</v>
      </c>
      <c r="B132" s="2" t="s">
        <v>55</v>
      </c>
      <c r="C132" s="2" t="s">
        <v>254</v>
      </c>
      <c r="D132" s="2" t="s">
        <v>29</v>
      </c>
      <c r="E132" s="2" t="s">
        <v>255</v>
      </c>
      <c r="F132" s="2">
        <v>8.763493314E9</v>
      </c>
    </row>
    <row r="133" ht="15.75" customHeight="1">
      <c r="A133" s="2" t="s">
        <v>256</v>
      </c>
      <c r="B133" s="2" t="s">
        <v>257</v>
      </c>
      <c r="C133" s="2" t="s">
        <v>258</v>
      </c>
      <c r="D133" s="2" t="s">
        <v>26</v>
      </c>
      <c r="E133" s="2" t="s">
        <v>19</v>
      </c>
      <c r="F133" s="2">
        <v>8.339032279E9</v>
      </c>
    </row>
    <row r="134" ht="15.75" customHeight="1">
      <c r="A134" s="2" t="s">
        <v>259</v>
      </c>
      <c r="B134" s="2" t="s">
        <v>117</v>
      </c>
      <c r="C134" s="2" t="s">
        <v>235</v>
      </c>
      <c r="D134" s="2" t="s">
        <v>29</v>
      </c>
      <c r="E134" s="2" t="s">
        <v>19</v>
      </c>
      <c r="F134" s="2">
        <v>9.708651429E9</v>
      </c>
    </row>
    <row r="135" ht="15.75" customHeight="1">
      <c r="A135" s="2" t="s">
        <v>260</v>
      </c>
      <c r="B135" s="2" t="s">
        <v>88</v>
      </c>
      <c r="C135" s="2" t="s">
        <v>261</v>
      </c>
      <c r="D135" s="2" t="s">
        <v>102</v>
      </c>
      <c r="E135" s="2" t="s">
        <v>23</v>
      </c>
      <c r="F135" s="2">
        <v>7.369017028E9</v>
      </c>
    </row>
    <row r="136" ht="15.75" customHeight="1">
      <c r="A136" s="2" t="s">
        <v>262</v>
      </c>
      <c r="B136" s="2" t="s">
        <v>50</v>
      </c>
      <c r="C136" s="2" t="s">
        <v>181</v>
      </c>
      <c r="D136" s="2" t="s">
        <v>26</v>
      </c>
      <c r="E136" s="2" t="s">
        <v>19</v>
      </c>
      <c r="F136" s="2">
        <v>7.715838552E9</v>
      </c>
    </row>
    <row r="137" ht="15.75" customHeight="1">
      <c r="A137" s="2" t="s">
        <v>263</v>
      </c>
      <c r="B137" s="2" t="s">
        <v>55</v>
      </c>
      <c r="C137" s="2" t="s">
        <v>246</v>
      </c>
      <c r="D137" s="2" t="s">
        <v>14</v>
      </c>
      <c r="E137" s="2" t="s">
        <v>255</v>
      </c>
      <c r="F137" s="2">
        <v>9.52516972E9</v>
      </c>
    </row>
    <row r="138" ht="15.75" customHeight="1">
      <c r="A138" s="2" t="s">
        <v>264</v>
      </c>
      <c r="B138" s="2" t="s">
        <v>117</v>
      </c>
      <c r="C138" s="2" t="s">
        <v>265</v>
      </c>
      <c r="D138" s="2" t="s">
        <v>9</v>
      </c>
      <c r="E138" s="2" t="s">
        <v>19</v>
      </c>
      <c r="F138" s="2">
        <v>7.85786475E9</v>
      </c>
    </row>
    <row r="139" ht="15.75" customHeight="1">
      <c r="A139" s="2" t="s">
        <v>266</v>
      </c>
      <c r="B139" s="2" t="s">
        <v>212</v>
      </c>
      <c r="C139" s="2" t="s">
        <v>83</v>
      </c>
      <c r="D139" s="2" t="s">
        <v>9</v>
      </c>
      <c r="E139" s="2" t="s">
        <v>23</v>
      </c>
      <c r="F139" s="2">
        <v>7.033793259E9</v>
      </c>
    </row>
    <row r="140" ht="15.75" customHeight="1">
      <c r="A140" s="2" t="s">
        <v>267</v>
      </c>
      <c r="B140" s="2" t="s">
        <v>63</v>
      </c>
      <c r="C140" s="2" t="s">
        <v>61</v>
      </c>
      <c r="D140" s="2" t="s">
        <v>56</v>
      </c>
      <c r="E140" s="2" t="s">
        <v>19</v>
      </c>
      <c r="F140" s="2">
        <v>9.835593014E9</v>
      </c>
    </row>
    <row r="141" ht="15.75" customHeight="1">
      <c r="A141" s="2" t="s">
        <v>268</v>
      </c>
      <c r="B141" s="2" t="s">
        <v>269</v>
      </c>
      <c r="C141" s="2" t="s">
        <v>181</v>
      </c>
      <c r="D141" s="2" t="s">
        <v>26</v>
      </c>
      <c r="E141" s="2" t="s">
        <v>19</v>
      </c>
      <c r="F141" s="2">
        <v>7.254885321E9</v>
      </c>
    </row>
    <row r="142" ht="15.75" customHeight="1">
      <c r="A142" s="2" t="s">
        <v>270</v>
      </c>
      <c r="B142" s="2" t="s">
        <v>88</v>
      </c>
      <c r="C142" s="2" t="s">
        <v>271</v>
      </c>
      <c r="D142" s="2" t="s">
        <v>26</v>
      </c>
      <c r="E142" s="2" t="s">
        <v>255</v>
      </c>
      <c r="F142" s="2">
        <v>8.987638426E9</v>
      </c>
    </row>
    <row r="143" ht="15.75" customHeight="1">
      <c r="A143" s="2" t="s">
        <v>272</v>
      </c>
      <c r="B143" s="2" t="s">
        <v>50</v>
      </c>
      <c r="C143" s="2" t="s">
        <v>106</v>
      </c>
      <c r="D143" s="2" t="s">
        <v>26</v>
      </c>
      <c r="E143" s="2" t="s">
        <v>19</v>
      </c>
      <c r="F143" s="2">
        <v>9.304899439E9</v>
      </c>
    </row>
    <row r="144" ht="15.75" customHeight="1">
      <c r="A144" s="2" t="s">
        <v>273</v>
      </c>
      <c r="B144" s="2" t="s">
        <v>55</v>
      </c>
      <c r="C144" s="2" t="s">
        <v>274</v>
      </c>
      <c r="D144" s="2" t="s">
        <v>56</v>
      </c>
      <c r="E144" s="2" t="s">
        <v>23</v>
      </c>
      <c r="F144" s="2">
        <v>7.070654844E9</v>
      </c>
    </row>
    <row r="145" ht="15.75" customHeight="1">
      <c r="A145" s="2" t="s">
        <v>275</v>
      </c>
      <c r="B145" s="2" t="s">
        <v>276</v>
      </c>
      <c r="C145" s="2" t="s">
        <v>277</v>
      </c>
      <c r="D145" s="2" t="s">
        <v>29</v>
      </c>
      <c r="E145" s="2" t="s">
        <v>19</v>
      </c>
      <c r="F145" s="2">
        <v>7.749911391E9</v>
      </c>
    </row>
    <row r="146" ht="15.75" customHeight="1">
      <c r="A146" s="2" t="s">
        <v>278</v>
      </c>
      <c r="B146" s="2" t="s">
        <v>119</v>
      </c>
      <c r="C146" s="2" t="s">
        <v>265</v>
      </c>
      <c r="D146" s="2" t="s">
        <v>26</v>
      </c>
      <c r="E146" s="2" t="s">
        <v>19</v>
      </c>
      <c r="F146" s="2">
        <v>7.209715446E9</v>
      </c>
    </row>
    <row r="147" ht="15.75" customHeight="1">
      <c r="A147" s="2" t="s">
        <v>279</v>
      </c>
      <c r="B147" s="2" t="s">
        <v>251</v>
      </c>
      <c r="C147" s="2" t="s">
        <v>277</v>
      </c>
      <c r="D147" s="2" t="s">
        <v>44</v>
      </c>
      <c r="E147" s="2" t="s">
        <v>19</v>
      </c>
      <c r="F147" s="2">
        <v>8.340146593E9</v>
      </c>
    </row>
    <row r="148" ht="15.75" customHeight="1">
      <c r="A148" s="2" t="s">
        <v>33</v>
      </c>
      <c r="B148" s="2" t="s">
        <v>280</v>
      </c>
      <c r="C148" s="2" t="s">
        <v>281</v>
      </c>
      <c r="D148" s="2" t="s">
        <v>26</v>
      </c>
      <c r="E148" s="2" t="s">
        <v>282</v>
      </c>
      <c r="F148" s="2">
        <v>8.487877431E9</v>
      </c>
    </row>
    <row r="149" ht="15.75" customHeight="1">
      <c r="A149" s="2" t="s">
        <v>283</v>
      </c>
      <c r="B149" s="2" t="s">
        <v>55</v>
      </c>
      <c r="C149" s="2" t="s">
        <v>83</v>
      </c>
      <c r="D149" s="2" t="s">
        <v>9</v>
      </c>
      <c r="E149" s="2" t="s">
        <v>19</v>
      </c>
      <c r="F149" s="2">
        <v>9.431336554E9</v>
      </c>
    </row>
    <row r="150" ht="15.75" customHeight="1">
      <c r="A150" s="2" t="s">
        <v>284</v>
      </c>
      <c r="B150" s="2" t="s">
        <v>276</v>
      </c>
      <c r="C150" s="2" t="s">
        <v>200</v>
      </c>
      <c r="D150" s="2" t="s">
        <v>44</v>
      </c>
      <c r="E150" s="2" t="s">
        <v>19</v>
      </c>
      <c r="F150" s="2">
        <v>9.102813774E9</v>
      </c>
    </row>
    <row r="151" ht="15.75" customHeight="1">
      <c r="A151" s="2" t="s">
        <v>285</v>
      </c>
      <c r="B151" s="2" t="s">
        <v>286</v>
      </c>
      <c r="C151" s="2" t="s">
        <v>216</v>
      </c>
      <c r="D151" s="2" t="s">
        <v>29</v>
      </c>
      <c r="E151" s="2" t="s">
        <v>23</v>
      </c>
      <c r="F151" s="2">
        <v>9.142177361E9</v>
      </c>
    </row>
    <row r="152" ht="15.75" customHeight="1">
      <c r="A152" s="2" t="s">
        <v>287</v>
      </c>
      <c r="B152" s="2" t="s">
        <v>78</v>
      </c>
      <c r="C152" s="2" t="s">
        <v>265</v>
      </c>
      <c r="D152" s="2" t="s">
        <v>26</v>
      </c>
      <c r="E152" s="2" t="s">
        <v>19</v>
      </c>
      <c r="F152" s="2">
        <v>6.21015012E9</v>
      </c>
    </row>
    <row r="153" ht="15.75" customHeight="1">
      <c r="A153" s="2" t="s">
        <v>288</v>
      </c>
      <c r="B153" s="2" t="s">
        <v>75</v>
      </c>
      <c r="C153" s="2" t="s">
        <v>289</v>
      </c>
      <c r="D153" s="2" t="s">
        <v>56</v>
      </c>
      <c r="E153" s="2" t="s">
        <v>19</v>
      </c>
      <c r="F153" s="2">
        <v>9.162986692E9</v>
      </c>
    </row>
    <row r="154" ht="15.75" customHeight="1">
      <c r="A154" s="2" t="s">
        <v>290</v>
      </c>
      <c r="B154" s="2" t="s">
        <v>291</v>
      </c>
      <c r="C154" s="2" t="s">
        <v>181</v>
      </c>
      <c r="D154" s="2" t="s">
        <v>26</v>
      </c>
      <c r="E154" s="2" t="s">
        <v>19</v>
      </c>
      <c r="F154" s="2">
        <v>8.002487191E9</v>
      </c>
    </row>
    <row r="155" ht="15.75" customHeight="1">
      <c r="A155" s="2" t="s">
        <v>292</v>
      </c>
      <c r="B155" s="2" t="s">
        <v>75</v>
      </c>
      <c r="C155" s="2" t="s">
        <v>293</v>
      </c>
      <c r="D155" s="2" t="s">
        <v>26</v>
      </c>
      <c r="E155" s="2" t="s">
        <v>193</v>
      </c>
      <c r="F155" s="2">
        <v>7.738855993E9</v>
      </c>
    </row>
    <row r="156" ht="15.75" customHeight="1">
      <c r="A156" s="2" t="s">
        <v>294</v>
      </c>
      <c r="B156" s="2" t="s">
        <v>153</v>
      </c>
      <c r="C156" s="2" t="s">
        <v>295</v>
      </c>
      <c r="D156" s="2" t="s">
        <v>44</v>
      </c>
      <c r="E156" s="2" t="s">
        <v>23</v>
      </c>
      <c r="F156" s="2">
        <v>7.371086069E9</v>
      </c>
    </row>
    <row r="157" ht="15.75" customHeight="1">
      <c r="A157" s="2" t="s">
        <v>94</v>
      </c>
      <c r="B157" s="2" t="s">
        <v>50</v>
      </c>
      <c r="C157" s="2" t="s">
        <v>181</v>
      </c>
      <c r="D157" s="2" t="s">
        <v>26</v>
      </c>
      <c r="E157" s="2" t="s">
        <v>19</v>
      </c>
      <c r="F157" s="2">
        <v>9.399319571E9</v>
      </c>
    </row>
    <row r="158" ht="15.75" customHeight="1">
      <c r="A158" s="2" t="s">
        <v>296</v>
      </c>
      <c r="B158" s="2" t="s">
        <v>78</v>
      </c>
      <c r="C158" s="2" t="s">
        <v>297</v>
      </c>
      <c r="D158" s="2" t="s">
        <v>29</v>
      </c>
      <c r="E158" s="2" t="s">
        <v>282</v>
      </c>
      <c r="F158" s="2">
        <v>9.909008186E9</v>
      </c>
    </row>
    <row r="159" ht="15.75" customHeight="1">
      <c r="A159" s="2" t="s">
        <v>298</v>
      </c>
      <c r="B159" s="2" t="s">
        <v>55</v>
      </c>
      <c r="C159" s="2" t="s">
        <v>246</v>
      </c>
      <c r="D159" s="2" t="s">
        <v>26</v>
      </c>
      <c r="E159" s="2" t="s">
        <v>19</v>
      </c>
      <c r="F159" s="2">
        <v>6.202503378E9</v>
      </c>
    </row>
    <row r="160" ht="15.75" customHeight="1">
      <c r="A160" s="2" t="s">
        <v>299</v>
      </c>
      <c r="B160" s="2" t="s">
        <v>63</v>
      </c>
      <c r="C160" s="2" t="s">
        <v>300</v>
      </c>
      <c r="D160" s="2" t="s">
        <v>44</v>
      </c>
      <c r="E160" s="2" t="s">
        <v>19</v>
      </c>
      <c r="F160" s="2">
        <v>6.202207693E9</v>
      </c>
    </row>
    <row r="161" ht="15.75" customHeight="1">
      <c r="A161" s="2" t="s">
        <v>301</v>
      </c>
      <c r="B161" s="2" t="s">
        <v>212</v>
      </c>
      <c r="C161" s="2" t="s">
        <v>181</v>
      </c>
      <c r="D161" s="2" t="s">
        <v>26</v>
      </c>
      <c r="E161" s="2" t="s">
        <v>19</v>
      </c>
      <c r="F161" s="2">
        <v>6.2040607E9</v>
      </c>
    </row>
    <row r="162" ht="15.75" customHeight="1">
      <c r="A162" s="2" t="s">
        <v>302</v>
      </c>
      <c r="B162" s="2" t="s">
        <v>303</v>
      </c>
      <c r="C162" s="2" t="s">
        <v>295</v>
      </c>
      <c r="D162" s="2" t="s">
        <v>26</v>
      </c>
      <c r="E162" s="2" t="s">
        <v>23</v>
      </c>
      <c r="F162" s="2">
        <v>9.9851548E9</v>
      </c>
    </row>
    <row r="163" ht="15.75" customHeight="1">
      <c r="A163" s="2" t="s">
        <v>229</v>
      </c>
      <c r="B163" s="2" t="s">
        <v>50</v>
      </c>
      <c r="C163" s="2" t="s">
        <v>289</v>
      </c>
      <c r="D163" s="2" t="s">
        <v>26</v>
      </c>
      <c r="E163" s="2" t="s">
        <v>19</v>
      </c>
      <c r="F163" s="2">
        <v>9.526023509E9</v>
      </c>
    </row>
    <row r="164" ht="15.75" customHeight="1">
      <c r="A164" s="2" t="s">
        <v>304</v>
      </c>
      <c r="B164" s="2" t="s">
        <v>125</v>
      </c>
      <c r="C164" s="2" t="s">
        <v>305</v>
      </c>
      <c r="D164" s="2" t="s">
        <v>26</v>
      </c>
      <c r="E164" s="2" t="s">
        <v>19</v>
      </c>
      <c r="F164" s="2">
        <v>6.201152298E9</v>
      </c>
    </row>
    <row r="165" ht="15.75" customHeight="1">
      <c r="A165" s="2" t="s">
        <v>291</v>
      </c>
      <c r="B165" s="2" t="s">
        <v>55</v>
      </c>
      <c r="C165" s="2" t="s">
        <v>83</v>
      </c>
      <c r="D165" s="2" t="s">
        <v>29</v>
      </c>
      <c r="E165" s="2" t="s">
        <v>255</v>
      </c>
      <c r="F165" s="2">
        <v>9.097010564E9</v>
      </c>
    </row>
    <row r="166" ht="15.75" customHeight="1">
      <c r="A166" s="2" t="s">
        <v>306</v>
      </c>
      <c r="B166" s="2" t="s">
        <v>212</v>
      </c>
      <c r="C166" s="2" t="s">
        <v>160</v>
      </c>
      <c r="D166" s="2" t="s">
        <v>56</v>
      </c>
      <c r="E166" s="2" t="s">
        <v>19</v>
      </c>
      <c r="F166" s="2">
        <v>8.603972854E9</v>
      </c>
    </row>
    <row r="167" ht="15.75" customHeight="1">
      <c r="A167" s="2" t="s">
        <v>307</v>
      </c>
      <c r="B167" s="2" t="s">
        <v>308</v>
      </c>
      <c r="C167" s="2" t="s">
        <v>309</v>
      </c>
      <c r="D167" s="2" t="s">
        <v>26</v>
      </c>
      <c r="E167" s="2" t="s">
        <v>19</v>
      </c>
      <c r="F167" s="2">
        <v>9.399509308E9</v>
      </c>
    </row>
    <row r="168" ht="15.75" customHeight="1">
      <c r="A168" s="2" t="s">
        <v>208</v>
      </c>
      <c r="B168" s="2" t="s">
        <v>88</v>
      </c>
      <c r="C168" s="2" t="s">
        <v>310</v>
      </c>
      <c r="D168" s="2" t="s">
        <v>29</v>
      </c>
      <c r="E168" s="2" t="s">
        <v>23</v>
      </c>
      <c r="F168" s="2">
        <v>9.570188909E9</v>
      </c>
    </row>
    <row r="169" ht="15.75" customHeight="1">
      <c r="A169" s="2" t="s">
        <v>311</v>
      </c>
      <c r="B169" s="2" t="s">
        <v>312</v>
      </c>
      <c r="C169" s="2" t="s">
        <v>313</v>
      </c>
      <c r="D169" s="2" t="s">
        <v>26</v>
      </c>
      <c r="E169" s="2" t="s">
        <v>19</v>
      </c>
      <c r="F169" s="2">
        <v>6.202905428E9</v>
      </c>
    </row>
    <row r="170" ht="15.75" customHeight="1">
      <c r="A170" s="2" t="s">
        <v>314</v>
      </c>
      <c r="B170" s="2" t="s">
        <v>315</v>
      </c>
      <c r="C170" s="2" t="s">
        <v>246</v>
      </c>
      <c r="D170" s="2" t="s">
        <v>14</v>
      </c>
      <c r="E170" s="2" t="s">
        <v>19</v>
      </c>
      <c r="F170" s="2">
        <v>8.354673519E9</v>
      </c>
    </row>
    <row r="171" ht="15.75" customHeight="1">
      <c r="A171" s="2" t="s">
        <v>316</v>
      </c>
      <c r="B171" s="2" t="s">
        <v>55</v>
      </c>
      <c r="C171" s="2" t="s">
        <v>34</v>
      </c>
      <c r="D171" s="2" t="s">
        <v>9</v>
      </c>
      <c r="E171" s="2" t="s">
        <v>19</v>
      </c>
      <c r="F171" s="2">
        <v>7.000950241E9</v>
      </c>
    </row>
    <row r="172" ht="15.75" customHeight="1">
      <c r="A172" s="2" t="s">
        <v>317</v>
      </c>
      <c r="B172" s="2" t="s">
        <v>55</v>
      </c>
      <c r="C172" s="2" t="s">
        <v>246</v>
      </c>
      <c r="D172" s="2" t="s">
        <v>44</v>
      </c>
      <c r="E172" s="2" t="s">
        <v>255</v>
      </c>
      <c r="F172" s="2">
        <v>9.33453546E9</v>
      </c>
    </row>
    <row r="173" ht="15.75" customHeight="1">
      <c r="A173" s="2" t="s">
        <v>318</v>
      </c>
      <c r="B173" s="2" t="s">
        <v>113</v>
      </c>
      <c r="C173" s="2" t="s">
        <v>300</v>
      </c>
      <c r="D173" s="2" t="s">
        <v>56</v>
      </c>
      <c r="E173" s="2" t="s">
        <v>19</v>
      </c>
      <c r="F173" s="2">
        <v>9.835634281E9</v>
      </c>
    </row>
    <row r="174" ht="15.75" customHeight="1">
      <c r="A174" s="2" t="s">
        <v>319</v>
      </c>
      <c r="B174" s="2" t="s">
        <v>320</v>
      </c>
      <c r="C174" s="2" t="s">
        <v>261</v>
      </c>
      <c r="D174" s="2" t="s">
        <v>26</v>
      </c>
      <c r="E174" s="2" t="s">
        <v>23</v>
      </c>
      <c r="F174" s="2">
        <v>7.782089359E9</v>
      </c>
    </row>
    <row r="175" ht="15.75" customHeight="1">
      <c r="A175" s="2" t="s">
        <v>321</v>
      </c>
      <c r="B175" s="2" t="s">
        <v>75</v>
      </c>
      <c r="C175" s="2" t="s">
        <v>313</v>
      </c>
      <c r="D175" s="2" t="s">
        <v>44</v>
      </c>
      <c r="E175" s="2" t="s">
        <v>19</v>
      </c>
      <c r="F175" s="2">
        <v>7.999536845E9</v>
      </c>
    </row>
    <row r="176" ht="15.75" customHeight="1">
      <c r="A176" s="2" t="s">
        <v>322</v>
      </c>
      <c r="B176" s="2" t="s">
        <v>50</v>
      </c>
      <c r="C176" s="2" t="s">
        <v>323</v>
      </c>
      <c r="D176" s="2" t="s">
        <v>44</v>
      </c>
      <c r="E176" s="2" t="s">
        <v>282</v>
      </c>
      <c r="F176" s="2">
        <v>9.967043983E9</v>
      </c>
    </row>
    <row r="177" ht="15.75" customHeight="1">
      <c r="A177" s="2" t="s">
        <v>324</v>
      </c>
      <c r="B177" s="2" t="s">
        <v>220</v>
      </c>
      <c r="C177" s="2" t="s">
        <v>325</v>
      </c>
      <c r="D177" s="2" t="s">
        <v>14</v>
      </c>
      <c r="E177" s="2" t="s">
        <v>255</v>
      </c>
      <c r="F177" s="2">
        <v>9.60816126E9</v>
      </c>
    </row>
    <row r="178" ht="15.75" customHeight="1">
      <c r="A178" s="2" t="s">
        <v>326</v>
      </c>
      <c r="B178" s="2" t="s">
        <v>88</v>
      </c>
      <c r="C178" s="2" t="s">
        <v>181</v>
      </c>
      <c r="D178" s="2" t="s">
        <v>26</v>
      </c>
      <c r="E178" s="2" t="s">
        <v>19</v>
      </c>
      <c r="F178" s="2">
        <v>8.827320843E9</v>
      </c>
    </row>
    <row r="179" ht="15.75" customHeight="1">
      <c r="A179" s="2" t="s">
        <v>327</v>
      </c>
      <c r="B179" s="2" t="s">
        <v>328</v>
      </c>
      <c r="C179" s="2" t="s">
        <v>295</v>
      </c>
      <c r="D179" s="2" t="s">
        <v>26</v>
      </c>
      <c r="E179" s="2" t="s">
        <v>23</v>
      </c>
      <c r="F179" s="2">
        <v>9.693085724E9</v>
      </c>
    </row>
    <row r="180" ht="15.75" customHeight="1">
      <c r="A180" s="2" t="s">
        <v>329</v>
      </c>
      <c r="B180" s="2" t="s">
        <v>125</v>
      </c>
      <c r="C180" s="2" t="s">
        <v>330</v>
      </c>
      <c r="D180" s="2" t="s">
        <v>44</v>
      </c>
      <c r="E180" s="2" t="s">
        <v>19</v>
      </c>
      <c r="F180" s="2">
        <v>9.835319771E9</v>
      </c>
    </row>
    <row r="181" ht="15.75" customHeight="1">
      <c r="A181" s="2" t="s">
        <v>331</v>
      </c>
      <c r="B181" s="2" t="s">
        <v>332</v>
      </c>
      <c r="C181" s="2" t="s">
        <v>333</v>
      </c>
      <c r="D181" s="2" t="s">
        <v>26</v>
      </c>
      <c r="E181" s="2" t="s">
        <v>19</v>
      </c>
      <c r="F181" s="2">
        <v>9.470331429E9</v>
      </c>
    </row>
    <row r="182" ht="15.75" customHeight="1">
      <c r="A182" s="2" t="s">
        <v>334</v>
      </c>
      <c r="B182" s="2" t="s">
        <v>63</v>
      </c>
      <c r="C182" s="2" t="s">
        <v>335</v>
      </c>
      <c r="D182" s="2" t="s">
        <v>26</v>
      </c>
      <c r="E182" s="2" t="s">
        <v>19</v>
      </c>
      <c r="F182" s="2">
        <v>9.871550315E9</v>
      </c>
    </row>
    <row r="183" ht="15.75" customHeight="1">
      <c r="A183" s="2" t="s">
        <v>336</v>
      </c>
      <c r="B183" s="2" t="s">
        <v>55</v>
      </c>
      <c r="C183" s="2" t="s">
        <v>181</v>
      </c>
      <c r="D183" s="2" t="s">
        <v>26</v>
      </c>
      <c r="E183" s="2" t="s">
        <v>19</v>
      </c>
      <c r="F183" s="2">
        <v>9.523440267E9</v>
      </c>
    </row>
    <row r="184" ht="15.75" customHeight="1">
      <c r="A184" s="2" t="s">
        <v>337</v>
      </c>
      <c r="B184" s="2" t="s">
        <v>50</v>
      </c>
      <c r="C184" s="2" t="s">
        <v>61</v>
      </c>
      <c r="D184" s="2" t="s">
        <v>56</v>
      </c>
      <c r="E184" s="2" t="s">
        <v>19</v>
      </c>
      <c r="F184" s="2">
        <v>7.905439848E9</v>
      </c>
    </row>
    <row r="185" ht="15.75" customHeight="1">
      <c r="A185" s="2" t="s">
        <v>338</v>
      </c>
      <c r="B185" s="2" t="s">
        <v>55</v>
      </c>
      <c r="C185" s="2" t="s">
        <v>34</v>
      </c>
      <c r="D185" s="2" t="s">
        <v>9</v>
      </c>
      <c r="E185" s="2" t="s">
        <v>19</v>
      </c>
      <c r="F185" s="2">
        <v>7.762952212E9</v>
      </c>
    </row>
    <row r="186" ht="15.75" customHeight="1">
      <c r="A186" s="2" t="s">
        <v>339</v>
      </c>
      <c r="B186" s="2" t="s">
        <v>340</v>
      </c>
      <c r="C186" s="2" t="s">
        <v>341</v>
      </c>
      <c r="D186" s="2" t="s">
        <v>56</v>
      </c>
      <c r="E186" s="2" t="s">
        <v>19</v>
      </c>
      <c r="F186" s="2">
        <v>9.798307804E9</v>
      </c>
    </row>
    <row r="187" ht="15.75" customHeight="1">
      <c r="A187" s="2" t="s">
        <v>342</v>
      </c>
      <c r="B187" s="2" t="s">
        <v>55</v>
      </c>
      <c r="C187" s="2" t="s">
        <v>343</v>
      </c>
      <c r="D187" s="2" t="s">
        <v>29</v>
      </c>
      <c r="E187" s="2" t="s">
        <v>23</v>
      </c>
      <c r="F187" s="2">
        <v>9.798307804E9</v>
      </c>
    </row>
    <row r="188" ht="15.75" customHeight="1">
      <c r="A188" s="2" t="s">
        <v>124</v>
      </c>
      <c r="B188" s="2" t="s">
        <v>344</v>
      </c>
      <c r="C188" s="2" t="s">
        <v>258</v>
      </c>
      <c r="D188" s="2" t="s">
        <v>56</v>
      </c>
      <c r="E188" s="2" t="s">
        <v>19</v>
      </c>
      <c r="F188" s="2">
        <v>9.953416978E9</v>
      </c>
    </row>
    <row r="189" ht="15.75" customHeight="1">
      <c r="A189" s="2" t="s">
        <v>345</v>
      </c>
      <c r="B189" s="2" t="s">
        <v>212</v>
      </c>
      <c r="C189" s="2" t="s">
        <v>160</v>
      </c>
      <c r="D189" s="2" t="s">
        <v>26</v>
      </c>
      <c r="E189" s="2" t="s">
        <v>19</v>
      </c>
      <c r="F189" s="2">
        <v>9.835135971E9</v>
      </c>
    </row>
    <row r="190" ht="15.75" customHeight="1">
      <c r="A190" s="2" t="s">
        <v>346</v>
      </c>
      <c r="B190" s="2" t="s">
        <v>119</v>
      </c>
      <c r="C190" s="2" t="s">
        <v>156</v>
      </c>
      <c r="D190" s="2" t="s">
        <v>26</v>
      </c>
      <c r="E190" s="2" t="s">
        <v>19</v>
      </c>
      <c r="F190" s="2">
        <v>9.534760404E9</v>
      </c>
    </row>
    <row r="191" ht="15.75" customHeight="1">
      <c r="A191" s="2" t="s">
        <v>347</v>
      </c>
      <c r="B191" s="2" t="s">
        <v>55</v>
      </c>
      <c r="C191" s="2" t="s">
        <v>348</v>
      </c>
      <c r="D191" s="2" t="s">
        <v>56</v>
      </c>
      <c r="E191" s="2" t="s">
        <v>19</v>
      </c>
      <c r="F191" s="2">
        <v>7.978672282E9</v>
      </c>
    </row>
    <row r="192" ht="15.75" customHeight="1">
      <c r="A192" s="2" t="s">
        <v>349</v>
      </c>
      <c r="B192" s="2" t="s">
        <v>150</v>
      </c>
      <c r="C192" s="2" t="s">
        <v>58</v>
      </c>
      <c r="D192" s="2" t="s">
        <v>26</v>
      </c>
      <c r="E192" s="2" t="s">
        <v>19</v>
      </c>
      <c r="F192" s="2">
        <v>8.881512536E9</v>
      </c>
    </row>
    <row r="193" ht="15.75" customHeight="1">
      <c r="A193" s="2" t="s">
        <v>350</v>
      </c>
      <c r="B193" s="2" t="s">
        <v>212</v>
      </c>
      <c r="C193" s="2" t="s">
        <v>34</v>
      </c>
      <c r="D193" s="2" t="s">
        <v>9</v>
      </c>
      <c r="E193" s="2" t="s">
        <v>19</v>
      </c>
      <c r="F193" s="2">
        <v>9.955889967E9</v>
      </c>
    </row>
    <row r="194" ht="15.75" customHeight="1">
      <c r="A194" s="2" t="s">
        <v>351</v>
      </c>
      <c r="B194" s="2" t="s">
        <v>50</v>
      </c>
      <c r="C194" s="2" t="s">
        <v>58</v>
      </c>
      <c r="D194" s="2" t="s">
        <v>14</v>
      </c>
      <c r="E194" s="2" t="s">
        <v>19</v>
      </c>
      <c r="F194" s="2">
        <v>6.206929036E9</v>
      </c>
    </row>
    <row r="195" ht="15.75" customHeight="1">
      <c r="A195" s="2" t="s">
        <v>352</v>
      </c>
      <c r="B195" s="2" t="s">
        <v>276</v>
      </c>
      <c r="C195" s="2" t="s">
        <v>181</v>
      </c>
      <c r="D195" s="2" t="s">
        <v>26</v>
      </c>
      <c r="E195" s="2" t="s">
        <v>19</v>
      </c>
      <c r="F195" s="2">
        <v>9.693503577E9</v>
      </c>
    </row>
    <row r="196" ht="15.75" customHeight="1">
      <c r="A196" s="2" t="s">
        <v>229</v>
      </c>
      <c r="B196" s="2" t="s">
        <v>203</v>
      </c>
      <c r="C196" s="2" t="s">
        <v>66</v>
      </c>
      <c r="D196" s="2" t="s">
        <v>26</v>
      </c>
      <c r="E196" s="2" t="s">
        <v>19</v>
      </c>
      <c r="F196" s="2">
        <v>8.881512536E9</v>
      </c>
    </row>
    <row r="197" ht="15.75" customHeight="1">
      <c r="A197" s="2" t="s">
        <v>353</v>
      </c>
      <c r="B197" s="2" t="s">
        <v>55</v>
      </c>
      <c r="C197" s="2" t="s">
        <v>181</v>
      </c>
      <c r="D197" s="2" t="s">
        <v>26</v>
      </c>
      <c r="E197" s="2" t="s">
        <v>19</v>
      </c>
      <c r="F197" s="2">
        <v>8.825317109E9</v>
      </c>
    </row>
    <row r="198" ht="15.75" customHeight="1">
      <c r="A198" s="2" t="s">
        <v>339</v>
      </c>
      <c r="B198" s="2" t="s">
        <v>248</v>
      </c>
      <c r="C198" s="2" t="s">
        <v>354</v>
      </c>
      <c r="D198" s="2" t="s">
        <v>26</v>
      </c>
      <c r="E198" s="2" t="s">
        <v>23</v>
      </c>
      <c r="F198" s="2">
        <v>9.399509308E9</v>
      </c>
    </row>
    <row r="199" ht="15.75" customHeight="1">
      <c r="A199" s="2" t="s">
        <v>355</v>
      </c>
      <c r="B199" s="2" t="s">
        <v>55</v>
      </c>
      <c r="C199" s="2" t="s">
        <v>343</v>
      </c>
      <c r="D199" s="2" t="s">
        <v>29</v>
      </c>
      <c r="E199" s="2" t="s">
        <v>255</v>
      </c>
      <c r="F199" s="2">
        <v>9.798307803E9</v>
      </c>
    </row>
    <row r="200" ht="15.75" customHeight="1">
      <c r="A200" s="2" t="s">
        <v>356</v>
      </c>
      <c r="B200" s="2" t="s">
        <v>55</v>
      </c>
      <c r="C200" s="2" t="s">
        <v>343</v>
      </c>
      <c r="D200" s="2" t="s">
        <v>9</v>
      </c>
      <c r="E200" s="2" t="s">
        <v>23</v>
      </c>
      <c r="F200" s="2">
        <v>8.674847744E9</v>
      </c>
    </row>
    <row r="201" ht="15.75" customHeight="1">
      <c r="A201" s="2" t="s">
        <v>357</v>
      </c>
      <c r="B201" s="2" t="s">
        <v>50</v>
      </c>
      <c r="C201" s="2" t="s">
        <v>133</v>
      </c>
      <c r="D201" s="2" t="s">
        <v>56</v>
      </c>
      <c r="E201" s="2" t="s">
        <v>19</v>
      </c>
      <c r="F201" s="2">
        <v>6.203996938E9</v>
      </c>
    </row>
    <row r="202" ht="15.75" customHeight="1">
      <c r="A202" s="2" t="s">
        <v>358</v>
      </c>
      <c r="B202" s="2" t="s">
        <v>55</v>
      </c>
      <c r="C202" s="2" t="s">
        <v>354</v>
      </c>
      <c r="D202" s="2" t="s">
        <v>26</v>
      </c>
      <c r="E202" s="2" t="s">
        <v>19</v>
      </c>
      <c r="F202" s="2">
        <v>9.943148743E9</v>
      </c>
    </row>
    <row r="203" ht="15.75" customHeight="1">
      <c r="A203" s="2" t="s">
        <v>359</v>
      </c>
      <c r="B203" s="2" t="s">
        <v>78</v>
      </c>
      <c r="C203" s="2" t="s">
        <v>360</v>
      </c>
      <c r="D203" s="2" t="s">
        <v>44</v>
      </c>
      <c r="E203" s="2" t="s">
        <v>19</v>
      </c>
      <c r="F203" s="2">
        <v>6.206804666E9</v>
      </c>
    </row>
    <row r="204" ht="15.75" customHeight="1">
      <c r="A204" s="2" t="s">
        <v>361</v>
      </c>
      <c r="B204" s="2" t="s">
        <v>362</v>
      </c>
      <c r="C204" s="2" t="s">
        <v>363</v>
      </c>
      <c r="D204" s="2" t="s">
        <v>14</v>
      </c>
      <c r="E204" s="2" t="s">
        <v>45</v>
      </c>
      <c r="F204" s="2">
        <v>7.016186465E9</v>
      </c>
    </row>
    <row r="205" ht="15.75" customHeight="1">
      <c r="A205" s="2" t="s">
        <v>364</v>
      </c>
      <c r="B205" s="2" t="s">
        <v>50</v>
      </c>
      <c r="C205" s="2" t="s">
        <v>360</v>
      </c>
      <c r="D205" s="2" t="s">
        <v>56</v>
      </c>
      <c r="E205" s="2" t="s">
        <v>19</v>
      </c>
      <c r="F205" s="2">
        <v>9.204046918E9</v>
      </c>
    </row>
    <row r="206" ht="15.75" customHeight="1">
      <c r="A206" s="2" t="s">
        <v>365</v>
      </c>
      <c r="B206" s="2" t="s">
        <v>50</v>
      </c>
      <c r="C206" s="2" t="s">
        <v>366</v>
      </c>
      <c r="D206" s="2" t="s">
        <v>14</v>
      </c>
      <c r="E206" s="2" t="s">
        <v>19</v>
      </c>
      <c r="F206" s="2">
        <v>7.398343219E9</v>
      </c>
    </row>
    <row r="207" ht="15.75" customHeight="1">
      <c r="A207" s="2" t="s">
        <v>367</v>
      </c>
      <c r="B207" s="2" t="s">
        <v>368</v>
      </c>
      <c r="C207" s="2" t="s">
        <v>136</v>
      </c>
      <c r="D207" s="2" t="s">
        <v>9</v>
      </c>
      <c r="E207" s="2" t="s">
        <v>193</v>
      </c>
      <c r="F207" s="2">
        <v>8.291999239E9</v>
      </c>
    </row>
    <row r="208" ht="15.75" customHeight="1">
      <c r="A208" s="2" t="s">
        <v>59</v>
      </c>
      <c r="B208" s="2" t="s">
        <v>60</v>
      </c>
      <c r="C208" s="2" t="s">
        <v>83</v>
      </c>
      <c r="D208" s="2" t="s">
        <v>14</v>
      </c>
      <c r="E208" s="2" t="s">
        <v>19</v>
      </c>
      <c r="F208" s="2">
        <v>9.429388656E9</v>
      </c>
    </row>
    <row r="209" ht="15.75" customHeight="1">
      <c r="A209" s="2" t="s">
        <v>369</v>
      </c>
      <c r="B209" s="2" t="s">
        <v>47</v>
      </c>
      <c r="C209" s="2" t="s">
        <v>370</v>
      </c>
      <c r="D209" s="2" t="s">
        <v>26</v>
      </c>
      <c r="E209" s="2" t="s">
        <v>19</v>
      </c>
      <c r="F209" s="2">
        <v>6.20097624E9</v>
      </c>
    </row>
    <row r="210" ht="15.75" customHeight="1">
      <c r="A210" s="2" t="s">
        <v>371</v>
      </c>
      <c r="B210" s="2" t="s">
        <v>372</v>
      </c>
      <c r="C210" s="2" t="s">
        <v>373</v>
      </c>
      <c r="D210" s="2" t="s">
        <v>56</v>
      </c>
      <c r="E210" s="2" t="s">
        <v>45</v>
      </c>
      <c r="F210" s="2">
        <v>8.102472608E9</v>
      </c>
    </row>
    <row r="211" ht="15.75" customHeight="1">
      <c r="A211" s="2" t="s">
        <v>374</v>
      </c>
      <c r="B211" s="2" t="s">
        <v>375</v>
      </c>
      <c r="C211" s="2" t="s">
        <v>136</v>
      </c>
      <c r="D211" s="2" t="s">
        <v>9</v>
      </c>
      <c r="E211" s="2" t="s">
        <v>195</v>
      </c>
      <c r="F211" s="2">
        <v>8.291790021E9</v>
      </c>
    </row>
    <row r="212" ht="15.75" customHeight="1">
      <c r="A212" s="2" t="s">
        <v>376</v>
      </c>
      <c r="B212" s="2" t="s">
        <v>50</v>
      </c>
      <c r="C212" s="2" t="s">
        <v>181</v>
      </c>
      <c r="D212" s="2" t="s">
        <v>26</v>
      </c>
      <c r="E212" s="2" t="s">
        <v>19</v>
      </c>
      <c r="F212" s="2">
        <v>9.905866529E9</v>
      </c>
    </row>
    <row r="213" ht="15.75" customHeight="1">
      <c r="A213" s="2" t="s">
        <v>377</v>
      </c>
      <c r="B213" s="2" t="s">
        <v>378</v>
      </c>
      <c r="C213" s="2" t="s">
        <v>136</v>
      </c>
      <c r="D213" s="2" t="s">
        <v>29</v>
      </c>
      <c r="E213" s="2" t="s">
        <v>193</v>
      </c>
      <c r="F213" s="2">
        <v>8.291493947E9</v>
      </c>
    </row>
    <row r="214" ht="15.75" customHeight="1">
      <c r="A214" s="2" t="s">
        <v>379</v>
      </c>
      <c r="B214" s="2" t="s">
        <v>380</v>
      </c>
      <c r="C214" s="2" t="s">
        <v>200</v>
      </c>
      <c r="D214" s="2" t="s">
        <v>102</v>
      </c>
      <c r="E214" s="2" t="s">
        <v>19</v>
      </c>
      <c r="F214" s="2">
        <v>7.091578222E9</v>
      </c>
    </row>
    <row r="215" ht="15.75" customHeight="1">
      <c r="A215" s="2" t="s">
        <v>381</v>
      </c>
      <c r="B215" s="2" t="s">
        <v>382</v>
      </c>
      <c r="C215" s="2" t="s">
        <v>360</v>
      </c>
      <c r="D215" s="2" t="s">
        <v>44</v>
      </c>
      <c r="E215" s="2" t="s">
        <v>19</v>
      </c>
      <c r="F215" s="2">
        <v>8.092089448E9</v>
      </c>
    </row>
    <row r="216" ht="15.75" customHeight="1">
      <c r="A216" s="2" t="s">
        <v>383</v>
      </c>
      <c r="B216" s="2" t="s">
        <v>203</v>
      </c>
      <c r="C216" s="2" t="s">
        <v>384</v>
      </c>
      <c r="D216" s="2" t="s">
        <v>9</v>
      </c>
      <c r="E216" s="2" t="s">
        <v>19</v>
      </c>
      <c r="F216" s="2">
        <v>7.992446561E9</v>
      </c>
    </row>
    <row r="217" ht="15.75" customHeight="1">
      <c r="A217" s="2" t="s">
        <v>385</v>
      </c>
      <c r="B217" s="2" t="s">
        <v>55</v>
      </c>
      <c r="C217" s="2" t="s">
        <v>343</v>
      </c>
      <c r="D217" s="2" t="s">
        <v>29</v>
      </c>
      <c r="E217" s="2" t="s">
        <v>19</v>
      </c>
      <c r="F217" s="2">
        <v>7.677924881E9</v>
      </c>
    </row>
    <row r="218" ht="15.75" customHeight="1">
      <c r="A218" s="2" t="s">
        <v>386</v>
      </c>
      <c r="B218" s="2" t="s">
        <v>387</v>
      </c>
      <c r="C218" s="2" t="s">
        <v>136</v>
      </c>
      <c r="D218" s="2" t="s">
        <v>29</v>
      </c>
      <c r="E218" s="2" t="s">
        <v>195</v>
      </c>
      <c r="F218" s="2">
        <v>8.291413791E9</v>
      </c>
    </row>
    <row r="219" ht="15.75" customHeight="1">
      <c r="A219" s="2" t="s">
        <v>388</v>
      </c>
      <c r="B219" s="2" t="s">
        <v>389</v>
      </c>
      <c r="C219" s="2" t="s">
        <v>83</v>
      </c>
      <c r="D219" s="2" t="s">
        <v>14</v>
      </c>
      <c r="E219" s="2" t="s">
        <v>45</v>
      </c>
      <c r="F219" s="2">
        <v>9.429388656E9</v>
      </c>
    </row>
    <row r="220" ht="15.75" customHeight="1">
      <c r="A220" s="2" t="s">
        <v>390</v>
      </c>
      <c r="B220" s="2" t="s">
        <v>47</v>
      </c>
      <c r="C220" s="2" t="s">
        <v>133</v>
      </c>
      <c r="D220" s="2" t="s">
        <v>26</v>
      </c>
      <c r="E220" s="2" t="s">
        <v>19</v>
      </c>
      <c r="F220" s="2">
        <v>9.113707976E9</v>
      </c>
    </row>
    <row r="221" ht="15.75" customHeight="1">
      <c r="A221" s="2" t="s">
        <v>391</v>
      </c>
      <c r="B221" s="2" t="s">
        <v>392</v>
      </c>
      <c r="C221" s="2" t="s">
        <v>136</v>
      </c>
      <c r="D221" s="2" t="s">
        <v>29</v>
      </c>
      <c r="E221" s="2" t="s">
        <v>193</v>
      </c>
      <c r="F221" s="2">
        <v>8.291146905E9</v>
      </c>
    </row>
    <row r="222" ht="15.75" customHeight="1">
      <c r="A222" s="2" t="s">
        <v>393</v>
      </c>
      <c r="B222" s="2" t="s">
        <v>203</v>
      </c>
      <c r="C222" s="2" t="s">
        <v>394</v>
      </c>
      <c r="D222" s="2" t="s">
        <v>9</v>
      </c>
      <c r="E222" s="2" t="s">
        <v>19</v>
      </c>
      <c r="F222" s="2">
        <v>8.207529171E9</v>
      </c>
    </row>
    <row r="223" ht="15.75" customHeight="1">
      <c r="A223" s="2" t="s">
        <v>105</v>
      </c>
      <c r="B223" s="2" t="s">
        <v>47</v>
      </c>
      <c r="C223" s="2" t="s">
        <v>136</v>
      </c>
      <c r="D223" s="2" t="s">
        <v>29</v>
      </c>
      <c r="E223" s="2" t="s">
        <v>395</v>
      </c>
      <c r="F223" s="2">
        <v>8.286668878E9</v>
      </c>
    </row>
    <row r="224" ht="15.75" customHeight="1">
      <c r="A224" s="2" t="s">
        <v>396</v>
      </c>
      <c r="B224" s="2" t="s">
        <v>50</v>
      </c>
      <c r="C224" s="2" t="s">
        <v>360</v>
      </c>
      <c r="D224" s="2" t="s">
        <v>44</v>
      </c>
      <c r="E224" s="2" t="s">
        <v>19</v>
      </c>
      <c r="F224" s="2">
        <v>7.20969527E9</v>
      </c>
    </row>
    <row r="225" ht="15.75" customHeight="1">
      <c r="A225" s="2" t="s">
        <v>397</v>
      </c>
      <c r="B225" s="2" t="s">
        <v>398</v>
      </c>
      <c r="C225" s="2" t="s">
        <v>399</v>
      </c>
      <c r="D225" s="2" t="s">
        <v>26</v>
      </c>
      <c r="E225" s="2" t="s">
        <v>23</v>
      </c>
      <c r="F225" s="2">
        <v>9.431742639E9</v>
      </c>
    </row>
    <row r="226" ht="15.75" customHeight="1">
      <c r="A226" s="2" t="s">
        <v>400</v>
      </c>
      <c r="B226" s="2" t="s">
        <v>401</v>
      </c>
      <c r="C226" s="2" t="s">
        <v>354</v>
      </c>
      <c r="D226" s="2" t="s">
        <v>26</v>
      </c>
      <c r="E226" s="2" t="s">
        <v>402</v>
      </c>
      <c r="F226" s="2">
        <v>7.870359908E9</v>
      </c>
    </row>
    <row r="227" ht="15.75" customHeight="1">
      <c r="A227" s="2" t="s">
        <v>24</v>
      </c>
      <c r="B227" s="2" t="s">
        <v>65</v>
      </c>
      <c r="C227" s="2" t="s">
        <v>136</v>
      </c>
      <c r="D227" s="2" t="s">
        <v>14</v>
      </c>
      <c r="E227" s="2" t="s">
        <v>395</v>
      </c>
      <c r="F227" s="2">
        <v>9.00489837E9</v>
      </c>
    </row>
    <row r="228" ht="15.75" customHeight="1">
      <c r="A228" s="2" t="s">
        <v>403</v>
      </c>
      <c r="B228" s="2" t="s">
        <v>212</v>
      </c>
      <c r="C228" s="2" t="s">
        <v>404</v>
      </c>
      <c r="D228" s="2" t="s">
        <v>26</v>
      </c>
      <c r="E228" s="2" t="s">
        <v>19</v>
      </c>
      <c r="F228" s="2">
        <v>7.782982645E9</v>
      </c>
    </row>
    <row r="229" ht="15.75" customHeight="1">
      <c r="A229" s="2" t="s">
        <v>98</v>
      </c>
      <c r="B229" s="2" t="s">
        <v>50</v>
      </c>
      <c r="C229" s="2" t="s">
        <v>360</v>
      </c>
      <c r="D229" s="2" t="s">
        <v>44</v>
      </c>
      <c r="E229" s="2" t="s">
        <v>19</v>
      </c>
      <c r="F229" s="2">
        <v>9.20492041E9</v>
      </c>
    </row>
    <row r="230" ht="15.75" customHeight="1">
      <c r="A230" s="2" t="s">
        <v>405</v>
      </c>
      <c r="B230" s="2" t="s">
        <v>212</v>
      </c>
      <c r="C230" s="2" t="s">
        <v>86</v>
      </c>
      <c r="D230" s="2" t="s">
        <v>44</v>
      </c>
      <c r="E230" s="2" t="s">
        <v>19</v>
      </c>
      <c r="F230" s="2">
        <v>8.86381977E9</v>
      </c>
    </row>
    <row r="231" ht="15.75" customHeight="1">
      <c r="A231" s="2" t="s">
        <v>406</v>
      </c>
      <c r="B231" s="2" t="s">
        <v>407</v>
      </c>
      <c r="C231" s="2" t="s">
        <v>354</v>
      </c>
      <c r="D231" s="2" t="s">
        <v>9</v>
      </c>
      <c r="E231" s="2" t="s">
        <v>23</v>
      </c>
      <c r="F231" s="2">
        <v>7.631012896E9</v>
      </c>
    </row>
    <row r="232" ht="15.75" customHeight="1">
      <c r="A232" s="2" t="s">
        <v>408</v>
      </c>
      <c r="B232" s="2" t="s">
        <v>409</v>
      </c>
      <c r="C232" s="2" t="s">
        <v>410</v>
      </c>
      <c r="D232" s="2" t="s">
        <v>56</v>
      </c>
      <c r="E232" s="2" t="s">
        <v>402</v>
      </c>
      <c r="F232" s="2">
        <v>9.275170707E9</v>
      </c>
    </row>
    <row r="233" ht="15.75" customHeight="1">
      <c r="A233" s="2" t="s">
        <v>411</v>
      </c>
      <c r="B233" s="2" t="s">
        <v>55</v>
      </c>
      <c r="C233" s="2" t="s">
        <v>412</v>
      </c>
      <c r="D233" s="2" t="s">
        <v>9</v>
      </c>
      <c r="E233" s="2" t="s">
        <v>19</v>
      </c>
      <c r="F233" s="2">
        <v>7.67777518E8</v>
      </c>
    </row>
    <row r="234" ht="15.75" customHeight="1">
      <c r="A234" s="2" t="s">
        <v>413</v>
      </c>
      <c r="B234" s="2" t="s">
        <v>414</v>
      </c>
      <c r="C234" s="2" t="s">
        <v>415</v>
      </c>
      <c r="D234" s="2" t="s">
        <v>26</v>
      </c>
      <c r="E234" s="2" t="s">
        <v>19</v>
      </c>
      <c r="F234" s="2">
        <v>8.989095197E9</v>
      </c>
    </row>
    <row r="235" ht="15.75" customHeight="1">
      <c r="A235" s="2" t="s">
        <v>416</v>
      </c>
      <c r="B235" s="2" t="s">
        <v>50</v>
      </c>
      <c r="C235" s="2" t="s">
        <v>360</v>
      </c>
      <c r="D235" s="2" t="s">
        <v>14</v>
      </c>
      <c r="E235" s="2" t="s">
        <v>19</v>
      </c>
      <c r="F235" s="2">
        <v>9.20485778E9</v>
      </c>
    </row>
    <row r="236" ht="15.75" customHeight="1">
      <c r="A236" s="2" t="s">
        <v>417</v>
      </c>
      <c r="B236" s="2" t="s">
        <v>55</v>
      </c>
      <c r="C236" s="2" t="s">
        <v>86</v>
      </c>
      <c r="D236" s="2" t="s">
        <v>44</v>
      </c>
      <c r="E236" s="2" t="s">
        <v>19</v>
      </c>
      <c r="F236" s="2">
        <v>9.102702666E9</v>
      </c>
    </row>
    <row r="237" ht="15.75" customHeight="1">
      <c r="A237" s="2" t="s">
        <v>418</v>
      </c>
      <c r="B237" s="2" t="s">
        <v>419</v>
      </c>
      <c r="C237" s="2" t="s">
        <v>420</v>
      </c>
      <c r="D237" s="2" t="s">
        <v>29</v>
      </c>
      <c r="E237" s="2" t="s">
        <v>421</v>
      </c>
      <c r="F237" s="2">
        <v>9.19965386312E11</v>
      </c>
    </row>
    <row r="238" ht="15.75" customHeight="1">
      <c r="A238" s="2" t="s">
        <v>422</v>
      </c>
      <c r="B238" s="2" t="s">
        <v>50</v>
      </c>
      <c r="C238" s="2" t="s">
        <v>423</v>
      </c>
      <c r="D238" s="2" t="s">
        <v>9</v>
      </c>
      <c r="E238" s="2" t="s">
        <v>19</v>
      </c>
      <c r="F238" s="2">
        <v>7.488083654E9</v>
      </c>
    </row>
    <row r="239" ht="15.75" customHeight="1">
      <c r="A239" s="2" t="s">
        <v>424</v>
      </c>
      <c r="B239" s="2" t="s">
        <v>425</v>
      </c>
      <c r="C239" s="2" t="s">
        <v>426</v>
      </c>
      <c r="D239" s="2" t="s">
        <v>29</v>
      </c>
      <c r="E239" s="2" t="s">
        <v>195</v>
      </c>
      <c r="F239" s="2">
        <v>8.169445994E9</v>
      </c>
    </row>
    <row r="240" ht="15.75" customHeight="1">
      <c r="A240" s="2" t="s">
        <v>427</v>
      </c>
      <c r="B240" s="2" t="s">
        <v>212</v>
      </c>
      <c r="C240" s="2" t="s">
        <v>428</v>
      </c>
      <c r="D240" s="2" t="s">
        <v>26</v>
      </c>
      <c r="E240" s="2" t="s">
        <v>19</v>
      </c>
      <c r="F240" s="2">
        <v>9.509012018E9</v>
      </c>
    </row>
    <row r="241" ht="15.75" customHeight="1">
      <c r="A241" s="2" t="s">
        <v>429</v>
      </c>
      <c r="B241" s="2" t="s">
        <v>55</v>
      </c>
      <c r="C241" s="2" t="s">
        <v>295</v>
      </c>
      <c r="D241" s="2" t="s">
        <v>26</v>
      </c>
      <c r="E241" s="2" t="s">
        <v>19</v>
      </c>
      <c r="F241" s="2">
        <v>6.202785789E9</v>
      </c>
    </row>
    <row r="242" ht="15.75" customHeight="1">
      <c r="A242" s="2" t="s">
        <v>430</v>
      </c>
      <c r="B242" s="2" t="s">
        <v>182</v>
      </c>
      <c r="C242" s="2" t="s">
        <v>136</v>
      </c>
      <c r="D242" s="2" t="s">
        <v>29</v>
      </c>
      <c r="E242" s="2" t="s">
        <v>193</v>
      </c>
      <c r="F242" s="2">
        <v>8.108501451E9</v>
      </c>
    </row>
    <row r="243" ht="15.75" customHeight="1">
      <c r="A243" s="2" t="s">
        <v>431</v>
      </c>
      <c r="B243" s="2" t="s">
        <v>432</v>
      </c>
      <c r="C243" s="2" t="s">
        <v>433</v>
      </c>
      <c r="D243" s="2" t="s">
        <v>56</v>
      </c>
      <c r="E243" s="2" t="s">
        <v>434</v>
      </c>
      <c r="F243" s="2">
        <v>8.422016493E9</v>
      </c>
    </row>
    <row r="244" ht="15.75" customHeight="1">
      <c r="A244" s="2" t="s">
        <v>435</v>
      </c>
      <c r="B244" s="2" t="s">
        <v>191</v>
      </c>
      <c r="C244" s="2" t="s">
        <v>330</v>
      </c>
      <c r="D244" s="2" t="s">
        <v>9</v>
      </c>
      <c r="E244" s="2" t="s">
        <v>19</v>
      </c>
      <c r="F244" s="2">
        <v>8.863932269E9</v>
      </c>
    </row>
    <row r="245" ht="15.75" customHeight="1">
      <c r="A245" s="2" t="s">
        <v>436</v>
      </c>
      <c r="B245" s="2" t="s">
        <v>437</v>
      </c>
      <c r="C245" s="2" t="s">
        <v>438</v>
      </c>
      <c r="D245" s="2" t="s">
        <v>14</v>
      </c>
      <c r="E245" s="2" t="s">
        <v>19</v>
      </c>
      <c r="F245" s="2">
        <v>8.863932269E9</v>
      </c>
    </row>
    <row r="246" ht="15.75" customHeight="1">
      <c r="A246" s="2" t="s">
        <v>439</v>
      </c>
      <c r="B246" s="2" t="s">
        <v>440</v>
      </c>
      <c r="C246" s="2" t="s">
        <v>441</v>
      </c>
      <c r="D246" s="2" t="s">
        <v>26</v>
      </c>
      <c r="E246" s="2" t="s">
        <v>19</v>
      </c>
      <c r="F246" s="2">
        <v>8.67782182E9</v>
      </c>
    </row>
    <row r="247" ht="15.75" customHeight="1">
      <c r="A247" s="2" t="s">
        <v>442</v>
      </c>
      <c r="B247" s="2" t="s">
        <v>55</v>
      </c>
      <c r="C247" s="2" t="s">
        <v>330</v>
      </c>
      <c r="D247" s="2" t="s">
        <v>44</v>
      </c>
      <c r="E247" s="2" t="s">
        <v>19</v>
      </c>
      <c r="F247" s="2">
        <v>8.825303563E9</v>
      </c>
    </row>
    <row r="248" ht="15.75" customHeight="1">
      <c r="A248" s="2" t="s">
        <v>443</v>
      </c>
      <c r="B248" s="2" t="s">
        <v>444</v>
      </c>
      <c r="C248" s="2" t="s">
        <v>445</v>
      </c>
      <c r="D248" s="2" t="s">
        <v>14</v>
      </c>
      <c r="E248" s="2" t="s">
        <v>282</v>
      </c>
      <c r="F248" s="2">
        <v>9.429208755E9</v>
      </c>
    </row>
    <row r="249" ht="15.75" customHeight="1">
      <c r="A249" s="2" t="s">
        <v>446</v>
      </c>
      <c r="B249" s="2" t="s">
        <v>55</v>
      </c>
      <c r="C249" s="2" t="s">
        <v>447</v>
      </c>
      <c r="D249" s="2" t="s">
        <v>9</v>
      </c>
      <c r="E249" s="2" t="s">
        <v>19</v>
      </c>
      <c r="F249" s="2">
        <v>9.204209876E9</v>
      </c>
    </row>
    <row r="250" ht="15.75" customHeight="1">
      <c r="A250" s="2" t="s">
        <v>448</v>
      </c>
      <c r="B250" s="2" t="s">
        <v>63</v>
      </c>
      <c r="C250" s="2" t="s">
        <v>449</v>
      </c>
      <c r="D250" s="2" t="s">
        <v>56</v>
      </c>
      <c r="E250" s="2" t="s">
        <v>19</v>
      </c>
      <c r="F250" s="2">
        <v>9.899399199E9</v>
      </c>
    </row>
    <row r="251" ht="15.75" customHeight="1">
      <c r="A251" s="2" t="s">
        <v>450</v>
      </c>
      <c r="B251" s="2" t="s">
        <v>150</v>
      </c>
      <c r="C251" s="2" t="s">
        <v>426</v>
      </c>
      <c r="D251" s="2" t="s">
        <v>29</v>
      </c>
      <c r="E251" s="2" t="s">
        <v>195</v>
      </c>
      <c r="F251" s="2">
        <v>8.10496821E9</v>
      </c>
    </row>
    <row r="252" ht="15.75" customHeight="1">
      <c r="A252" s="2" t="s">
        <v>451</v>
      </c>
      <c r="B252" s="2" t="s">
        <v>452</v>
      </c>
      <c r="C252" s="2" t="s">
        <v>453</v>
      </c>
      <c r="D252" s="2" t="s">
        <v>9</v>
      </c>
      <c r="E252" s="2" t="s">
        <v>19</v>
      </c>
      <c r="F252" s="2">
        <v>9.835320021E9</v>
      </c>
    </row>
    <row r="253" ht="15.75" customHeight="1">
      <c r="A253" s="2" t="s">
        <v>454</v>
      </c>
      <c r="B253" s="2" t="s">
        <v>150</v>
      </c>
      <c r="C253" s="2" t="s">
        <v>455</v>
      </c>
      <c r="D253" s="2" t="s">
        <v>26</v>
      </c>
      <c r="E253" s="2" t="s">
        <v>19</v>
      </c>
      <c r="F253" s="2">
        <v>9.882704518E9</v>
      </c>
    </row>
    <row r="254" ht="15.75" customHeight="1">
      <c r="A254" s="2" t="s">
        <v>456</v>
      </c>
      <c r="B254" s="2" t="s">
        <v>457</v>
      </c>
      <c r="C254" s="2" t="s">
        <v>136</v>
      </c>
      <c r="D254" s="2" t="s">
        <v>29</v>
      </c>
      <c r="E254" s="2" t="s">
        <v>193</v>
      </c>
      <c r="F254" s="2">
        <v>8.104738719E9</v>
      </c>
    </row>
    <row r="255" ht="15.75" customHeight="1">
      <c r="A255" s="2" t="s">
        <v>458</v>
      </c>
      <c r="B255" s="2" t="s">
        <v>459</v>
      </c>
      <c r="C255" s="2" t="s">
        <v>289</v>
      </c>
      <c r="D255" s="2" t="s">
        <v>56</v>
      </c>
      <c r="E255" s="2" t="s">
        <v>19</v>
      </c>
      <c r="F255" s="2">
        <v>9.608691168E9</v>
      </c>
    </row>
    <row r="256" ht="15.75" customHeight="1">
      <c r="A256" s="2" t="s">
        <v>80</v>
      </c>
      <c r="B256" s="2" t="s">
        <v>460</v>
      </c>
      <c r="C256" s="2" t="s">
        <v>426</v>
      </c>
      <c r="D256" s="2" t="s">
        <v>29</v>
      </c>
      <c r="E256" s="2" t="s">
        <v>195</v>
      </c>
      <c r="F256" s="2">
        <v>8.080644568E9</v>
      </c>
    </row>
    <row r="257" ht="15.75" customHeight="1">
      <c r="A257" s="2" t="s">
        <v>461</v>
      </c>
      <c r="B257" s="2" t="s">
        <v>88</v>
      </c>
      <c r="C257" s="2" t="s">
        <v>462</v>
      </c>
      <c r="D257" s="2" t="s">
        <v>26</v>
      </c>
      <c r="E257" s="2" t="s">
        <v>19</v>
      </c>
      <c r="F257" s="2">
        <v>9.431372187E9</v>
      </c>
    </row>
    <row r="258" ht="15.75" customHeight="1">
      <c r="A258" s="2" t="s">
        <v>463</v>
      </c>
      <c r="B258" s="2" t="s">
        <v>68</v>
      </c>
      <c r="C258" s="2" t="s">
        <v>464</v>
      </c>
      <c r="D258" s="2" t="s">
        <v>26</v>
      </c>
      <c r="E258" s="2" t="s">
        <v>465</v>
      </c>
      <c r="F258" s="2">
        <v>9.652272727E9</v>
      </c>
    </row>
    <row r="259" ht="15.75" customHeight="1">
      <c r="A259" s="2" t="s">
        <v>466</v>
      </c>
      <c r="B259" s="2" t="s">
        <v>467</v>
      </c>
      <c r="C259" s="2" t="s">
        <v>136</v>
      </c>
      <c r="D259" s="2" t="s">
        <v>29</v>
      </c>
      <c r="E259" s="2" t="s">
        <v>193</v>
      </c>
      <c r="F259" s="2">
        <v>9.920622263E9</v>
      </c>
    </row>
    <row r="260" ht="15.75" customHeight="1">
      <c r="A260" s="2" t="s">
        <v>468</v>
      </c>
      <c r="B260" s="2" t="s">
        <v>469</v>
      </c>
      <c r="C260" s="2" t="s">
        <v>323</v>
      </c>
      <c r="D260" s="2" t="s">
        <v>56</v>
      </c>
      <c r="E260" s="2" t="s">
        <v>282</v>
      </c>
      <c r="F260" s="2">
        <v>7.567881713E9</v>
      </c>
    </row>
    <row r="261" ht="15.75" customHeight="1">
      <c r="A261" s="2" t="s">
        <v>470</v>
      </c>
      <c r="B261" s="2" t="s">
        <v>471</v>
      </c>
      <c r="C261" s="2" t="s">
        <v>472</v>
      </c>
      <c r="D261" s="2" t="s">
        <v>9</v>
      </c>
      <c r="E261" s="2" t="s">
        <v>19</v>
      </c>
      <c r="F261" s="2">
        <v>6.202234144E9</v>
      </c>
    </row>
    <row r="262" ht="15.75" customHeight="1">
      <c r="A262" s="2" t="s">
        <v>473</v>
      </c>
      <c r="B262" s="2" t="s">
        <v>63</v>
      </c>
      <c r="C262" s="2" t="s">
        <v>474</v>
      </c>
      <c r="D262" s="2" t="s">
        <v>56</v>
      </c>
      <c r="E262" s="2" t="s">
        <v>19</v>
      </c>
      <c r="F262" s="2">
        <v>7.263050098E9</v>
      </c>
    </row>
    <row r="263" ht="15.75" customHeight="1">
      <c r="A263" s="2" t="s">
        <v>475</v>
      </c>
      <c r="B263" s="2" t="s">
        <v>476</v>
      </c>
      <c r="C263" s="2" t="s">
        <v>426</v>
      </c>
      <c r="D263" s="2" t="s">
        <v>29</v>
      </c>
      <c r="E263" s="2" t="s">
        <v>195</v>
      </c>
      <c r="F263" s="2">
        <v>7.73862365E9</v>
      </c>
    </row>
    <row r="264" ht="15.75" customHeight="1">
      <c r="A264" s="2" t="s">
        <v>477</v>
      </c>
      <c r="B264" s="2" t="s">
        <v>440</v>
      </c>
      <c r="C264" s="2" t="s">
        <v>478</v>
      </c>
      <c r="D264" s="2" t="s">
        <v>26</v>
      </c>
      <c r="E264" s="2" t="s">
        <v>19</v>
      </c>
      <c r="F264" s="2">
        <v>8.579043233E9</v>
      </c>
    </row>
    <row r="265" ht="15.75" customHeight="1">
      <c r="A265" s="2" t="s">
        <v>479</v>
      </c>
      <c r="B265" s="2" t="s">
        <v>21</v>
      </c>
      <c r="C265" s="2" t="s">
        <v>136</v>
      </c>
      <c r="D265" s="2" t="s">
        <v>29</v>
      </c>
      <c r="E265" s="2" t="s">
        <v>193</v>
      </c>
      <c r="F265" s="2">
        <v>7.738400941E9</v>
      </c>
    </row>
    <row r="266" ht="15.75" customHeight="1">
      <c r="A266" s="2" t="s">
        <v>405</v>
      </c>
      <c r="B266" s="2" t="s">
        <v>212</v>
      </c>
      <c r="C266" s="2" t="s">
        <v>330</v>
      </c>
      <c r="D266" s="2" t="s">
        <v>14</v>
      </c>
      <c r="E266" s="2" t="s">
        <v>19</v>
      </c>
      <c r="F266" s="2">
        <v>9.031703889E9</v>
      </c>
    </row>
    <row r="267" ht="15.75" customHeight="1">
      <c r="A267" s="2" t="s">
        <v>113</v>
      </c>
      <c r="B267" s="2" t="s">
        <v>65</v>
      </c>
      <c r="C267" s="2" t="s">
        <v>426</v>
      </c>
      <c r="D267" s="2" t="s">
        <v>29</v>
      </c>
      <c r="E267" s="2" t="s">
        <v>195</v>
      </c>
      <c r="F267" s="2">
        <v>7.718035076E9</v>
      </c>
    </row>
    <row r="268" ht="15.75" customHeight="1">
      <c r="A268" s="2" t="s">
        <v>480</v>
      </c>
      <c r="B268" s="2" t="s">
        <v>276</v>
      </c>
      <c r="C268" s="2" t="s">
        <v>481</v>
      </c>
      <c r="D268" s="2" t="s">
        <v>44</v>
      </c>
      <c r="E268" s="2" t="s">
        <v>19</v>
      </c>
      <c r="F268" s="2">
        <v>9.452770512E9</v>
      </c>
    </row>
    <row r="269" ht="15.75" customHeight="1">
      <c r="A269" s="2" t="s">
        <v>482</v>
      </c>
      <c r="B269" s="2" t="s">
        <v>170</v>
      </c>
      <c r="C269" s="2" t="s">
        <v>423</v>
      </c>
      <c r="D269" s="2" t="s">
        <v>56</v>
      </c>
      <c r="E269" s="2" t="s">
        <v>19</v>
      </c>
      <c r="F269" s="2">
        <v>7.667242386E9</v>
      </c>
    </row>
    <row r="270" ht="15.75" customHeight="1">
      <c r="A270" s="2" t="s">
        <v>234</v>
      </c>
      <c r="B270" s="2" t="s">
        <v>483</v>
      </c>
      <c r="C270" s="2" t="s">
        <v>136</v>
      </c>
      <c r="D270" s="2" t="s">
        <v>29</v>
      </c>
      <c r="E270" s="2" t="s">
        <v>193</v>
      </c>
      <c r="F270" s="2">
        <v>7.715941704E9</v>
      </c>
    </row>
    <row r="271" ht="15.75" customHeight="1">
      <c r="A271" s="2" t="s">
        <v>484</v>
      </c>
      <c r="B271" s="2" t="s">
        <v>485</v>
      </c>
      <c r="C271" s="2" t="s">
        <v>58</v>
      </c>
      <c r="D271" s="2" t="s">
        <v>44</v>
      </c>
      <c r="E271" s="2" t="s">
        <v>19</v>
      </c>
      <c r="F271" s="2">
        <v>9.852370744E9</v>
      </c>
    </row>
    <row r="272" ht="15.75" customHeight="1">
      <c r="A272" s="2" t="s">
        <v>486</v>
      </c>
      <c r="B272" s="2" t="s">
        <v>487</v>
      </c>
      <c r="C272" s="2" t="s">
        <v>472</v>
      </c>
      <c r="D272" s="2" t="s">
        <v>9</v>
      </c>
      <c r="E272" s="2" t="s">
        <v>19</v>
      </c>
      <c r="F272" s="2">
        <v>9.709053646E9</v>
      </c>
    </row>
    <row r="273" ht="15.75" customHeight="1">
      <c r="A273" s="2" t="s">
        <v>488</v>
      </c>
      <c r="B273" s="2" t="s">
        <v>68</v>
      </c>
      <c r="C273" s="2" t="s">
        <v>489</v>
      </c>
      <c r="D273" s="2" t="s">
        <v>44</v>
      </c>
      <c r="E273" s="2" t="s">
        <v>434</v>
      </c>
      <c r="F273" s="2">
        <v>7.666777111E9</v>
      </c>
    </row>
    <row r="274" ht="15.75" customHeight="1">
      <c r="A274" s="2" t="s">
        <v>490</v>
      </c>
      <c r="B274" s="2" t="s">
        <v>276</v>
      </c>
      <c r="C274" s="2" t="s">
        <v>162</v>
      </c>
      <c r="D274" s="2" t="s">
        <v>44</v>
      </c>
      <c r="E274" s="2" t="s">
        <v>19</v>
      </c>
      <c r="F274" s="2">
        <v>9.304524462E9</v>
      </c>
    </row>
    <row r="275" ht="15.75" customHeight="1">
      <c r="A275" s="2" t="s">
        <v>491</v>
      </c>
      <c r="B275" s="2" t="s">
        <v>492</v>
      </c>
      <c r="C275" s="2" t="s">
        <v>493</v>
      </c>
      <c r="D275" s="2" t="s">
        <v>56</v>
      </c>
      <c r="E275" s="2" t="s">
        <v>494</v>
      </c>
      <c r="F275" s="2">
        <v>8.447858713E9</v>
      </c>
    </row>
    <row r="276" ht="15.75" customHeight="1">
      <c r="A276" s="2" t="s">
        <v>495</v>
      </c>
      <c r="B276" s="2" t="s">
        <v>21</v>
      </c>
      <c r="C276" s="2" t="s">
        <v>426</v>
      </c>
      <c r="D276" s="2" t="s">
        <v>29</v>
      </c>
      <c r="E276" s="2" t="s">
        <v>195</v>
      </c>
      <c r="F276" s="2">
        <v>7.506965887E9</v>
      </c>
    </row>
    <row r="277" ht="15.75" customHeight="1">
      <c r="A277" s="2" t="s">
        <v>496</v>
      </c>
      <c r="B277" s="2" t="s">
        <v>50</v>
      </c>
      <c r="C277" s="2" t="s">
        <v>79</v>
      </c>
      <c r="D277" s="2" t="s">
        <v>56</v>
      </c>
      <c r="E277" s="2" t="s">
        <v>19</v>
      </c>
      <c r="F277" s="2">
        <v>9.91632867E9</v>
      </c>
    </row>
    <row r="278" ht="15.75" customHeight="1">
      <c r="A278" s="2" t="s">
        <v>497</v>
      </c>
      <c r="B278" s="2" t="s">
        <v>471</v>
      </c>
      <c r="C278" s="2" t="s">
        <v>447</v>
      </c>
      <c r="D278" s="2" t="s">
        <v>9</v>
      </c>
      <c r="E278" s="2" t="s">
        <v>19</v>
      </c>
      <c r="F278" s="2">
        <v>6.203093915E9</v>
      </c>
    </row>
    <row r="279" ht="15.75" customHeight="1">
      <c r="A279" s="2" t="s">
        <v>498</v>
      </c>
      <c r="B279" s="2" t="s">
        <v>499</v>
      </c>
      <c r="C279" s="2" t="s">
        <v>500</v>
      </c>
      <c r="D279" s="2" t="s">
        <v>26</v>
      </c>
      <c r="E279" s="2" t="s">
        <v>19</v>
      </c>
      <c r="F279" s="2">
        <v>9.471538954E9</v>
      </c>
    </row>
    <row r="280" ht="15.75" customHeight="1">
      <c r="A280" s="2" t="s">
        <v>501</v>
      </c>
      <c r="B280" s="2" t="s">
        <v>276</v>
      </c>
      <c r="C280" s="2" t="s">
        <v>500</v>
      </c>
      <c r="D280" s="2" t="s">
        <v>56</v>
      </c>
      <c r="E280" s="2" t="s">
        <v>19</v>
      </c>
      <c r="F280" s="2">
        <v>9.006059636E9</v>
      </c>
    </row>
    <row r="281" ht="15.75" customHeight="1">
      <c r="A281" s="2" t="s">
        <v>502</v>
      </c>
      <c r="B281" s="2" t="s">
        <v>21</v>
      </c>
      <c r="C281" s="2" t="s">
        <v>136</v>
      </c>
      <c r="D281" s="2" t="s">
        <v>26</v>
      </c>
      <c r="E281" s="2" t="s">
        <v>395</v>
      </c>
      <c r="F281" s="2">
        <v>8.104244318E9</v>
      </c>
    </row>
    <row r="282" ht="15.75" customHeight="1">
      <c r="A282" s="2" t="s">
        <v>155</v>
      </c>
      <c r="B282" s="2" t="s">
        <v>503</v>
      </c>
      <c r="C282" s="2" t="s">
        <v>504</v>
      </c>
      <c r="D282" s="2" t="s">
        <v>26</v>
      </c>
      <c r="E282" s="2" t="s">
        <v>19</v>
      </c>
      <c r="F282" s="2">
        <v>7.979881609E9</v>
      </c>
    </row>
    <row r="283" ht="15.75" customHeight="1">
      <c r="A283" s="2" t="s">
        <v>505</v>
      </c>
      <c r="B283" s="2" t="s">
        <v>212</v>
      </c>
      <c r="C283" s="2" t="s">
        <v>86</v>
      </c>
      <c r="D283" s="2" t="s">
        <v>44</v>
      </c>
      <c r="E283" s="2" t="s">
        <v>19</v>
      </c>
      <c r="F283" s="2">
        <v>9.234502541E9</v>
      </c>
    </row>
    <row r="284" ht="15.75" customHeight="1">
      <c r="A284" s="2" t="s">
        <v>205</v>
      </c>
      <c r="B284" s="2" t="s">
        <v>150</v>
      </c>
      <c r="C284" s="2" t="s">
        <v>426</v>
      </c>
      <c r="D284" s="2" t="s">
        <v>9</v>
      </c>
      <c r="E284" s="2" t="s">
        <v>168</v>
      </c>
      <c r="F284" s="2">
        <v>8.169331529E9</v>
      </c>
    </row>
    <row r="285" ht="15.75" customHeight="1">
      <c r="A285" s="2" t="s">
        <v>506</v>
      </c>
      <c r="B285" s="2" t="s">
        <v>499</v>
      </c>
      <c r="C285" s="2" t="s">
        <v>500</v>
      </c>
      <c r="D285" s="2" t="s">
        <v>26</v>
      </c>
      <c r="E285" s="2" t="s">
        <v>19</v>
      </c>
      <c r="F285" s="2">
        <v>7.004650997E9</v>
      </c>
    </row>
    <row r="286" ht="15.75" customHeight="1">
      <c r="A286" s="2" t="s">
        <v>507</v>
      </c>
      <c r="B286" s="2" t="s">
        <v>508</v>
      </c>
      <c r="C286" s="2" t="s">
        <v>136</v>
      </c>
      <c r="D286" s="2" t="s">
        <v>9</v>
      </c>
      <c r="E286" s="2" t="s">
        <v>395</v>
      </c>
      <c r="F286" s="2">
        <v>7.039409903E9</v>
      </c>
    </row>
    <row r="287" ht="15.75" customHeight="1">
      <c r="A287" s="2" t="s">
        <v>509</v>
      </c>
      <c r="B287" s="2" t="s">
        <v>55</v>
      </c>
      <c r="C287" s="2" t="s">
        <v>510</v>
      </c>
      <c r="D287" s="2" t="s">
        <v>26</v>
      </c>
      <c r="E287" s="2" t="s">
        <v>19</v>
      </c>
      <c r="F287" s="2">
        <v>7.322993985E9</v>
      </c>
    </row>
    <row r="288" ht="15.75" customHeight="1">
      <c r="A288" s="2" t="s">
        <v>511</v>
      </c>
      <c r="B288" s="2" t="s">
        <v>512</v>
      </c>
      <c r="C288" s="2" t="s">
        <v>426</v>
      </c>
      <c r="D288" s="2" t="s">
        <v>44</v>
      </c>
      <c r="E288" s="2" t="s">
        <v>395</v>
      </c>
      <c r="F288" s="2">
        <v>9.987187598E9</v>
      </c>
    </row>
    <row r="289" ht="15.75" customHeight="1">
      <c r="A289" s="2" t="s">
        <v>513</v>
      </c>
      <c r="B289" s="2" t="s">
        <v>251</v>
      </c>
      <c r="C289" s="2" t="s">
        <v>514</v>
      </c>
      <c r="D289" s="2" t="s">
        <v>56</v>
      </c>
      <c r="E289" s="2" t="s">
        <v>494</v>
      </c>
      <c r="F289" s="2">
        <v>8.368633803E9</v>
      </c>
    </row>
    <row r="290" ht="15.75" customHeight="1">
      <c r="A290" s="2" t="s">
        <v>515</v>
      </c>
      <c r="B290" s="2" t="s">
        <v>499</v>
      </c>
      <c r="C290" s="2" t="s">
        <v>162</v>
      </c>
      <c r="D290" s="2" t="s">
        <v>14</v>
      </c>
      <c r="E290" s="2" t="s">
        <v>19</v>
      </c>
      <c r="F290" s="2">
        <v>9.234611639E9</v>
      </c>
    </row>
    <row r="291" ht="15.75" customHeight="1">
      <c r="A291" s="2" t="s">
        <v>364</v>
      </c>
      <c r="B291" s="2" t="s">
        <v>471</v>
      </c>
      <c r="C291" s="2" t="s">
        <v>453</v>
      </c>
      <c r="D291" s="2" t="s">
        <v>26</v>
      </c>
      <c r="E291" s="2" t="s">
        <v>19</v>
      </c>
      <c r="F291" s="2">
        <v>9.570206457E9</v>
      </c>
    </row>
    <row r="292" ht="15.75" customHeight="1">
      <c r="A292" s="2" t="s">
        <v>516</v>
      </c>
      <c r="B292" s="2" t="s">
        <v>517</v>
      </c>
      <c r="C292" s="2" t="s">
        <v>426</v>
      </c>
      <c r="D292" s="2" t="s">
        <v>56</v>
      </c>
      <c r="E292" s="2" t="s">
        <v>395</v>
      </c>
      <c r="F292" s="2">
        <v>9.322940335E9</v>
      </c>
    </row>
    <row r="293" ht="15.75" customHeight="1">
      <c r="A293" s="2" t="s">
        <v>518</v>
      </c>
      <c r="B293" s="2" t="s">
        <v>499</v>
      </c>
      <c r="C293" s="2" t="s">
        <v>162</v>
      </c>
      <c r="D293" s="2" t="s">
        <v>44</v>
      </c>
      <c r="E293" s="2" t="s">
        <v>19</v>
      </c>
      <c r="F293" s="2">
        <v>9.835477385E9</v>
      </c>
    </row>
    <row r="294" ht="15.75" customHeight="1">
      <c r="A294" s="2" t="s">
        <v>519</v>
      </c>
      <c r="B294" s="2" t="s">
        <v>520</v>
      </c>
      <c r="C294" s="2" t="s">
        <v>162</v>
      </c>
      <c r="D294" s="2" t="s">
        <v>56</v>
      </c>
      <c r="E294" s="2" t="s">
        <v>19</v>
      </c>
      <c r="F294" s="2">
        <v>9.38675809E9</v>
      </c>
    </row>
    <row r="295" ht="15.75" customHeight="1">
      <c r="A295" s="2" t="s">
        <v>521</v>
      </c>
      <c r="B295" s="2" t="s">
        <v>21</v>
      </c>
      <c r="C295" s="2" t="s">
        <v>136</v>
      </c>
      <c r="D295" s="2" t="s">
        <v>29</v>
      </c>
      <c r="E295" s="2" t="s">
        <v>395</v>
      </c>
      <c r="F295" s="2">
        <v>9.324666974E9</v>
      </c>
    </row>
    <row r="296" ht="15.75" customHeight="1">
      <c r="A296" s="2" t="s">
        <v>522</v>
      </c>
      <c r="B296" s="2" t="s">
        <v>276</v>
      </c>
      <c r="C296" s="2" t="s">
        <v>162</v>
      </c>
      <c r="D296" s="2" t="s">
        <v>26</v>
      </c>
      <c r="E296" s="2" t="s">
        <v>19</v>
      </c>
      <c r="F296" s="2">
        <v>9.709142378E9</v>
      </c>
    </row>
    <row r="297" ht="15.75" customHeight="1">
      <c r="A297" s="2" t="s">
        <v>523</v>
      </c>
      <c r="B297" s="2" t="s">
        <v>108</v>
      </c>
      <c r="C297" s="2" t="s">
        <v>426</v>
      </c>
      <c r="D297" s="2" t="s">
        <v>29</v>
      </c>
      <c r="E297" s="2" t="s">
        <v>395</v>
      </c>
      <c r="F297" s="2">
        <v>9.324666974E9</v>
      </c>
    </row>
    <row r="298" ht="15.75" customHeight="1">
      <c r="A298" s="2" t="s">
        <v>524</v>
      </c>
      <c r="B298" s="2" t="s">
        <v>499</v>
      </c>
      <c r="C298" s="2" t="s">
        <v>162</v>
      </c>
      <c r="D298" s="2" t="s">
        <v>44</v>
      </c>
      <c r="E298" s="2" t="s">
        <v>19</v>
      </c>
      <c r="F298" s="2">
        <v>9.031748049E9</v>
      </c>
    </row>
    <row r="299" ht="15.75" customHeight="1">
      <c r="A299" s="2" t="s">
        <v>525</v>
      </c>
      <c r="B299" s="2" t="s">
        <v>499</v>
      </c>
      <c r="C299" s="2" t="s">
        <v>133</v>
      </c>
      <c r="D299" s="2" t="s">
        <v>14</v>
      </c>
      <c r="E299" s="2" t="s">
        <v>19</v>
      </c>
      <c r="F299" s="2">
        <v>7.004650997E9</v>
      </c>
    </row>
    <row r="300" ht="15.75" customHeight="1">
      <c r="A300" s="2" t="s">
        <v>526</v>
      </c>
      <c r="B300" s="2" t="s">
        <v>251</v>
      </c>
      <c r="C300" s="2" t="s">
        <v>493</v>
      </c>
      <c r="D300" s="2" t="s">
        <v>56</v>
      </c>
      <c r="E300" s="2" t="s">
        <v>527</v>
      </c>
      <c r="F300" s="2">
        <v>8.076445495E9</v>
      </c>
    </row>
    <row r="301" ht="15.75" customHeight="1">
      <c r="A301" s="2" t="s">
        <v>528</v>
      </c>
      <c r="B301" s="2" t="s">
        <v>529</v>
      </c>
      <c r="C301" s="2" t="s">
        <v>136</v>
      </c>
      <c r="D301" s="2" t="s">
        <v>44</v>
      </c>
      <c r="E301" s="2" t="s">
        <v>168</v>
      </c>
      <c r="F301" s="2">
        <v>7.49889234E9</v>
      </c>
    </row>
    <row r="302" ht="15.75" customHeight="1">
      <c r="A302" s="2" t="s">
        <v>530</v>
      </c>
      <c r="B302" s="2" t="s">
        <v>315</v>
      </c>
      <c r="C302" s="2" t="s">
        <v>426</v>
      </c>
      <c r="D302" s="2" t="s">
        <v>9</v>
      </c>
      <c r="E302" s="2" t="s">
        <v>395</v>
      </c>
      <c r="F302" s="2">
        <v>8.433753377E9</v>
      </c>
    </row>
    <row r="303" ht="15.75" customHeight="1">
      <c r="A303" s="2" t="s">
        <v>531</v>
      </c>
      <c r="B303" s="2" t="s">
        <v>91</v>
      </c>
      <c r="C303" s="2" t="s">
        <v>136</v>
      </c>
      <c r="D303" s="2" t="s">
        <v>29</v>
      </c>
      <c r="E303" s="2" t="s">
        <v>168</v>
      </c>
      <c r="F303" s="2">
        <v>9.870391458E9</v>
      </c>
    </row>
    <row r="304" ht="15.75" customHeight="1">
      <c r="A304" s="2" t="s">
        <v>73</v>
      </c>
      <c r="B304" s="2" t="s">
        <v>21</v>
      </c>
      <c r="C304" s="2" t="s">
        <v>426</v>
      </c>
      <c r="D304" s="2" t="s">
        <v>29</v>
      </c>
      <c r="E304" s="2" t="s">
        <v>195</v>
      </c>
      <c r="F304" s="2">
        <v>7.208686431E9</v>
      </c>
    </row>
    <row r="305" ht="15.75" customHeight="1">
      <c r="A305" s="2" t="s">
        <v>532</v>
      </c>
      <c r="B305" s="2" t="s">
        <v>456</v>
      </c>
      <c r="C305" s="2" t="s">
        <v>136</v>
      </c>
      <c r="D305" s="2" t="s">
        <v>29</v>
      </c>
      <c r="E305" s="2" t="s">
        <v>193</v>
      </c>
      <c r="F305" s="2">
        <v>7.208680548E9</v>
      </c>
    </row>
    <row r="306" ht="15.75" customHeight="1">
      <c r="A306" s="2" t="s">
        <v>533</v>
      </c>
      <c r="B306" s="2" t="s">
        <v>499</v>
      </c>
      <c r="C306" s="2" t="s">
        <v>133</v>
      </c>
      <c r="D306" s="2" t="s">
        <v>26</v>
      </c>
      <c r="E306" s="2" t="s">
        <v>19</v>
      </c>
      <c r="F306" s="2">
        <v>9.789409636E9</v>
      </c>
    </row>
    <row r="307" ht="15.75" customHeight="1">
      <c r="A307" s="2" t="s">
        <v>534</v>
      </c>
      <c r="B307" s="2" t="s">
        <v>150</v>
      </c>
      <c r="C307" s="2" t="s">
        <v>426</v>
      </c>
      <c r="D307" s="2" t="s">
        <v>29</v>
      </c>
      <c r="E307" s="2" t="s">
        <v>195</v>
      </c>
      <c r="F307" s="2">
        <v>7.039302029E9</v>
      </c>
    </row>
    <row r="308" ht="15.75" customHeight="1">
      <c r="A308" s="2" t="s">
        <v>535</v>
      </c>
      <c r="B308" s="2" t="s">
        <v>328</v>
      </c>
      <c r="C308" s="2" t="s">
        <v>536</v>
      </c>
      <c r="D308" s="2" t="s">
        <v>56</v>
      </c>
      <c r="E308" s="2" t="s">
        <v>19</v>
      </c>
      <c r="F308" s="2">
        <v>9.808350725E9</v>
      </c>
    </row>
    <row r="309" ht="15.75" customHeight="1">
      <c r="A309" s="2" t="s">
        <v>75</v>
      </c>
      <c r="B309" s="2" t="s">
        <v>537</v>
      </c>
      <c r="C309" s="2" t="s">
        <v>136</v>
      </c>
      <c r="D309" s="2" t="s">
        <v>9</v>
      </c>
      <c r="E309" s="2" t="s">
        <v>193</v>
      </c>
      <c r="F309" s="2">
        <v>7.039297663E9</v>
      </c>
    </row>
    <row r="310" ht="15.75" customHeight="1">
      <c r="A310" s="2" t="s">
        <v>538</v>
      </c>
      <c r="B310" s="2" t="s">
        <v>499</v>
      </c>
      <c r="C310" s="2" t="s">
        <v>133</v>
      </c>
      <c r="D310" s="2" t="s">
        <v>26</v>
      </c>
      <c r="E310" s="2" t="s">
        <v>19</v>
      </c>
      <c r="F310" s="2">
        <v>6.200752928E9</v>
      </c>
    </row>
    <row r="311" ht="15.75" customHeight="1">
      <c r="A311" s="2" t="s">
        <v>539</v>
      </c>
      <c r="B311" s="2" t="s">
        <v>499</v>
      </c>
      <c r="C311" s="2" t="s">
        <v>133</v>
      </c>
      <c r="D311" s="2" t="s">
        <v>44</v>
      </c>
      <c r="E311" s="2" t="s">
        <v>19</v>
      </c>
      <c r="F311" s="2">
        <v>6.299348254E9</v>
      </c>
    </row>
    <row r="312" ht="15.75" customHeight="1">
      <c r="A312" s="2" t="s">
        <v>540</v>
      </c>
      <c r="B312" s="2" t="s">
        <v>541</v>
      </c>
      <c r="C312" s="2" t="s">
        <v>426</v>
      </c>
      <c r="D312" s="2" t="s">
        <v>9</v>
      </c>
      <c r="E312" s="2" t="s">
        <v>395</v>
      </c>
      <c r="F312" s="2">
        <v>7.400234275E9</v>
      </c>
    </row>
    <row r="313" ht="15.75" customHeight="1">
      <c r="A313" s="2" t="s">
        <v>542</v>
      </c>
      <c r="B313" s="2" t="s">
        <v>55</v>
      </c>
      <c r="C313" s="2" t="s">
        <v>543</v>
      </c>
      <c r="D313" s="2" t="s">
        <v>29</v>
      </c>
      <c r="E313" s="2" t="s">
        <v>23</v>
      </c>
      <c r="F313" s="2">
        <v>9.955935474E9</v>
      </c>
    </row>
    <row r="314" ht="15.75" customHeight="1">
      <c r="A314" s="2" t="s">
        <v>544</v>
      </c>
      <c r="B314" s="2" t="s">
        <v>63</v>
      </c>
      <c r="C314" s="2" t="s">
        <v>289</v>
      </c>
      <c r="D314" s="2" t="s">
        <v>26</v>
      </c>
      <c r="E314" s="2" t="s">
        <v>19</v>
      </c>
      <c r="F314" s="2">
        <v>9.9532133E9</v>
      </c>
    </row>
    <row r="315" ht="15.75" customHeight="1">
      <c r="A315" s="2" t="s">
        <v>545</v>
      </c>
      <c r="B315" s="2" t="s">
        <v>63</v>
      </c>
      <c r="C315" s="2" t="s">
        <v>136</v>
      </c>
      <c r="D315" s="2" t="s">
        <v>29</v>
      </c>
      <c r="E315" s="2" t="s">
        <v>193</v>
      </c>
      <c r="F315" s="2">
        <v>9.920622263E9</v>
      </c>
    </row>
    <row r="316" ht="15.75" customHeight="1">
      <c r="A316" s="2" t="s">
        <v>546</v>
      </c>
      <c r="B316" s="2" t="s">
        <v>63</v>
      </c>
      <c r="C316" s="2" t="s">
        <v>58</v>
      </c>
      <c r="D316" s="2" t="s">
        <v>56</v>
      </c>
      <c r="E316" s="2" t="s">
        <v>19</v>
      </c>
      <c r="F316" s="2">
        <v>7.292836025E9</v>
      </c>
    </row>
    <row r="317" ht="15.75" customHeight="1">
      <c r="A317" s="2" t="s">
        <v>547</v>
      </c>
      <c r="B317" s="2" t="s">
        <v>65</v>
      </c>
      <c r="C317" s="2" t="s">
        <v>133</v>
      </c>
      <c r="D317" s="2" t="s">
        <v>44</v>
      </c>
      <c r="E317" s="2" t="s">
        <v>19</v>
      </c>
      <c r="F317" s="2">
        <v>8.709132765E9</v>
      </c>
    </row>
    <row r="318" ht="15.75" customHeight="1">
      <c r="A318" s="2" t="s">
        <v>548</v>
      </c>
      <c r="B318" s="2" t="s">
        <v>47</v>
      </c>
      <c r="C318" s="2" t="s">
        <v>426</v>
      </c>
      <c r="D318" s="2" t="s">
        <v>14</v>
      </c>
      <c r="E318" s="2" t="s">
        <v>395</v>
      </c>
      <c r="F318" s="2">
        <v>9.72118522E9</v>
      </c>
    </row>
    <row r="319" ht="15.75" customHeight="1">
      <c r="A319" s="2" t="s">
        <v>549</v>
      </c>
      <c r="B319" s="2" t="s">
        <v>550</v>
      </c>
      <c r="C319" s="2" t="s">
        <v>536</v>
      </c>
      <c r="D319" s="2" t="s">
        <v>56</v>
      </c>
      <c r="E319" s="2" t="s">
        <v>19</v>
      </c>
      <c r="F319" s="2">
        <v>7.294873033E9</v>
      </c>
    </row>
    <row r="320" ht="15.75" customHeight="1">
      <c r="A320" s="2" t="s">
        <v>551</v>
      </c>
      <c r="B320" s="2" t="s">
        <v>552</v>
      </c>
      <c r="C320" s="2" t="s">
        <v>553</v>
      </c>
      <c r="D320" s="2" t="s">
        <v>26</v>
      </c>
      <c r="E320" s="2" t="s">
        <v>23</v>
      </c>
      <c r="F320" s="2">
        <v>7.782089359E9</v>
      </c>
    </row>
    <row r="321" ht="15.75" customHeight="1">
      <c r="A321" s="2" t="s">
        <v>545</v>
      </c>
      <c r="B321" s="2" t="s">
        <v>483</v>
      </c>
      <c r="C321" s="2" t="s">
        <v>136</v>
      </c>
      <c r="D321" s="2" t="s">
        <v>9</v>
      </c>
      <c r="E321" s="2" t="s">
        <v>395</v>
      </c>
      <c r="F321" s="2">
        <v>8.369094157E9</v>
      </c>
    </row>
    <row r="322" ht="15.75" customHeight="1">
      <c r="A322" s="2" t="s">
        <v>554</v>
      </c>
      <c r="B322" s="2" t="s">
        <v>499</v>
      </c>
      <c r="C322" s="2" t="s">
        <v>162</v>
      </c>
      <c r="D322" s="2" t="s">
        <v>14</v>
      </c>
      <c r="E322" s="2" t="s">
        <v>19</v>
      </c>
      <c r="F322" s="2">
        <v>8.432298818E9</v>
      </c>
    </row>
    <row r="323" ht="15.75" customHeight="1">
      <c r="A323" s="2" t="s">
        <v>555</v>
      </c>
      <c r="B323" s="2" t="s">
        <v>220</v>
      </c>
      <c r="C323" s="2" t="s">
        <v>556</v>
      </c>
      <c r="D323" s="2" t="s">
        <v>26</v>
      </c>
      <c r="E323" s="2" t="s">
        <v>255</v>
      </c>
      <c r="F323" s="2">
        <v>7.908152698E9</v>
      </c>
    </row>
    <row r="324" ht="15.75" customHeight="1">
      <c r="A324" s="2" t="s">
        <v>557</v>
      </c>
      <c r="B324" s="2" t="s">
        <v>50</v>
      </c>
      <c r="C324" s="2" t="s">
        <v>133</v>
      </c>
      <c r="D324" s="2" t="s">
        <v>26</v>
      </c>
      <c r="E324" s="2" t="s">
        <v>19</v>
      </c>
      <c r="F324" s="2">
        <v>6.299159995E9</v>
      </c>
    </row>
    <row r="325" ht="15.75" customHeight="1">
      <c r="A325" s="2" t="s">
        <v>558</v>
      </c>
      <c r="B325" s="2" t="s">
        <v>559</v>
      </c>
      <c r="C325" s="2" t="s">
        <v>560</v>
      </c>
      <c r="D325" s="2" t="s">
        <v>44</v>
      </c>
      <c r="E325" s="2" t="s">
        <v>19</v>
      </c>
      <c r="F325" s="2">
        <v>8.340486718E9</v>
      </c>
    </row>
    <row r="326" ht="15.75" customHeight="1">
      <c r="A326" s="2" t="s">
        <v>491</v>
      </c>
      <c r="B326" s="2" t="s">
        <v>173</v>
      </c>
      <c r="C326" s="2" t="s">
        <v>136</v>
      </c>
      <c r="D326" s="2" t="s">
        <v>9</v>
      </c>
      <c r="E326" s="2" t="s">
        <v>395</v>
      </c>
      <c r="F326" s="2">
        <v>9.004484795E9</v>
      </c>
    </row>
    <row r="327" ht="15.75" customHeight="1">
      <c r="A327" s="2" t="s">
        <v>561</v>
      </c>
      <c r="B327" s="2" t="s">
        <v>562</v>
      </c>
      <c r="C327" s="2" t="s">
        <v>295</v>
      </c>
      <c r="D327" s="2" t="s">
        <v>26</v>
      </c>
      <c r="E327" s="2" t="s">
        <v>23</v>
      </c>
      <c r="F327" s="2">
        <v>6.205092607E9</v>
      </c>
    </row>
    <row r="328" ht="15.75" customHeight="1">
      <c r="A328" s="2" t="s">
        <v>538</v>
      </c>
      <c r="B328" s="2" t="s">
        <v>563</v>
      </c>
      <c r="C328" s="2" t="s">
        <v>181</v>
      </c>
      <c r="D328" s="2" t="s">
        <v>26</v>
      </c>
      <c r="E328" s="2" t="s">
        <v>19</v>
      </c>
      <c r="F328" s="2">
        <v>8.102328369E9</v>
      </c>
    </row>
    <row r="329" ht="15.75" customHeight="1">
      <c r="A329" s="2" t="s">
        <v>564</v>
      </c>
      <c r="B329" s="2" t="s">
        <v>55</v>
      </c>
      <c r="C329" s="2" t="s">
        <v>246</v>
      </c>
      <c r="D329" s="2" t="s">
        <v>14</v>
      </c>
      <c r="E329" s="2" t="s">
        <v>255</v>
      </c>
      <c r="F329" s="2">
        <v>8.210338373E9</v>
      </c>
    </row>
    <row r="330" ht="15.75" customHeight="1">
      <c r="A330" s="2" t="s">
        <v>417</v>
      </c>
      <c r="B330" s="2" t="s">
        <v>50</v>
      </c>
      <c r="C330" s="2" t="s">
        <v>162</v>
      </c>
      <c r="D330" s="2" t="s">
        <v>44</v>
      </c>
      <c r="E330" s="2" t="s">
        <v>19</v>
      </c>
      <c r="F330" s="2">
        <v>9.334649776E9</v>
      </c>
    </row>
    <row r="331" ht="15.75" customHeight="1">
      <c r="A331" s="2" t="s">
        <v>565</v>
      </c>
      <c r="B331" s="2" t="s">
        <v>566</v>
      </c>
      <c r="C331" s="2" t="s">
        <v>330</v>
      </c>
      <c r="D331" s="2" t="s">
        <v>29</v>
      </c>
      <c r="E331" s="2" t="s">
        <v>19</v>
      </c>
      <c r="F331" s="2">
        <v>9.831168003E9</v>
      </c>
    </row>
    <row r="332" ht="15.75" customHeight="1">
      <c r="A332" s="2" t="s">
        <v>567</v>
      </c>
      <c r="B332" s="2" t="s">
        <v>55</v>
      </c>
      <c r="C332" s="2" t="s">
        <v>543</v>
      </c>
      <c r="D332" s="2" t="s">
        <v>9</v>
      </c>
      <c r="E332" s="2" t="s">
        <v>23</v>
      </c>
      <c r="F332" s="2">
        <v>9.199075301E9</v>
      </c>
    </row>
    <row r="333" ht="15.75" customHeight="1">
      <c r="A333" s="2" t="s">
        <v>568</v>
      </c>
      <c r="B333" s="2" t="s">
        <v>55</v>
      </c>
      <c r="C333" s="2" t="s">
        <v>181</v>
      </c>
      <c r="D333" s="2" t="s">
        <v>26</v>
      </c>
      <c r="E333" s="2" t="s">
        <v>19</v>
      </c>
      <c r="F333" s="2">
        <v>9.7714849E9</v>
      </c>
    </row>
    <row r="334" ht="15.75" customHeight="1">
      <c r="A334" s="2" t="s">
        <v>569</v>
      </c>
      <c r="B334" s="2" t="s">
        <v>65</v>
      </c>
      <c r="C334" s="2" t="s">
        <v>360</v>
      </c>
      <c r="D334" s="2" t="s">
        <v>26</v>
      </c>
      <c r="E334" s="2" t="s">
        <v>19</v>
      </c>
      <c r="F334" s="2">
        <v>9.234696038E9</v>
      </c>
    </row>
    <row r="335" ht="15.75" customHeight="1">
      <c r="A335" s="2" t="s">
        <v>570</v>
      </c>
      <c r="B335" s="2" t="s">
        <v>471</v>
      </c>
      <c r="C335" s="2" t="s">
        <v>556</v>
      </c>
      <c r="D335" s="2" t="s">
        <v>9</v>
      </c>
      <c r="E335" s="2" t="s">
        <v>255</v>
      </c>
      <c r="F335" s="2">
        <v>9.065633852E9</v>
      </c>
    </row>
    <row r="336" ht="15.75" customHeight="1">
      <c r="A336" s="2" t="s">
        <v>571</v>
      </c>
      <c r="B336" s="2" t="s">
        <v>55</v>
      </c>
      <c r="C336" s="2" t="s">
        <v>258</v>
      </c>
      <c r="D336" s="2" t="s">
        <v>56</v>
      </c>
      <c r="E336" s="2" t="s">
        <v>19</v>
      </c>
      <c r="F336" s="2">
        <v>9.570630849E9</v>
      </c>
    </row>
    <row r="337" ht="15.75" customHeight="1">
      <c r="A337" s="2" t="s">
        <v>572</v>
      </c>
      <c r="B337" s="2" t="s">
        <v>499</v>
      </c>
      <c r="C337" s="2" t="s">
        <v>162</v>
      </c>
      <c r="D337" s="2" t="s">
        <v>14</v>
      </c>
      <c r="E337" s="2" t="s">
        <v>19</v>
      </c>
      <c r="F337" s="2">
        <v>8.789978768E9</v>
      </c>
    </row>
    <row r="338" ht="15.75" customHeight="1">
      <c r="A338" s="2" t="s">
        <v>573</v>
      </c>
      <c r="B338" s="2" t="s">
        <v>574</v>
      </c>
      <c r="C338" s="2" t="s">
        <v>228</v>
      </c>
      <c r="D338" s="2" t="s">
        <v>26</v>
      </c>
      <c r="E338" s="2" t="s">
        <v>23</v>
      </c>
      <c r="F338" s="2">
        <v>9.572195283E9</v>
      </c>
    </row>
    <row r="339" ht="15.75" customHeight="1">
      <c r="A339" s="2" t="s">
        <v>250</v>
      </c>
      <c r="B339" s="2" t="s">
        <v>88</v>
      </c>
      <c r="C339" s="2" t="s">
        <v>305</v>
      </c>
      <c r="D339" s="2" t="s">
        <v>9</v>
      </c>
      <c r="E339" s="2" t="s">
        <v>19</v>
      </c>
      <c r="F339" s="2">
        <v>9.732246732E9</v>
      </c>
    </row>
    <row r="340" ht="15.75" customHeight="1">
      <c r="A340" s="2" t="s">
        <v>575</v>
      </c>
      <c r="B340" s="2" t="s">
        <v>55</v>
      </c>
      <c r="C340" s="2" t="s">
        <v>576</v>
      </c>
      <c r="D340" s="2" t="s">
        <v>9</v>
      </c>
      <c r="E340" s="2" t="s">
        <v>255</v>
      </c>
      <c r="F340" s="2">
        <v>9.523449887E9</v>
      </c>
    </row>
    <row r="341" ht="15.75" customHeight="1">
      <c r="A341" s="2" t="s">
        <v>577</v>
      </c>
      <c r="B341" s="2" t="s">
        <v>55</v>
      </c>
      <c r="C341" s="2" t="s">
        <v>133</v>
      </c>
      <c r="D341" s="2" t="s">
        <v>26</v>
      </c>
      <c r="E341" s="2" t="s">
        <v>19</v>
      </c>
      <c r="F341" s="2">
        <v>8.709582036E9</v>
      </c>
    </row>
    <row r="342" ht="15.75" customHeight="1">
      <c r="A342" s="2" t="s">
        <v>578</v>
      </c>
      <c r="B342" s="2" t="s">
        <v>119</v>
      </c>
      <c r="C342" s="2" t="s">
        <v>360</v>
      </c>
      <c r="D342" s="2" t="s">
        <v>44</v>
      </c>
      <c r="E342" s="2" t="s">
        <v>19</v>
      </c>
      <c r="F342" s="2">
        <v>8.789421378E9</v>
      </c>
    </row>
    <row r="343" ht="15.75" customHeight="1">
      <c r="A343" s="2" t="s">
        <v>579</v>
      </c>
      <c r="B343" s="2" t="s">
        <v>191</v>
      </c>
      <c r="C343" s="2" t="s">
        <v>580</v>
      </c>
      <c r="D343" s="2" t="s">
        <v>29</v>
      </c>
      <c r="E343" s="2" t="s">
        <v>19</v>
      </c>
      <c r="F343" s="2">
        <v>9.621158834E9</v>
      </c>
    </row>
    <row r="344" ht="15.75" customHeight="1">
      <c r="A344" s="2" t="s">
        <v>581</v>
      </c>
      <c r="B344" s="2" t="s">
        <v>582</v>
      </c>
      <c r="C344" s="2" t="s">
        <v>583</v>
      </c>
      <c r="D344" s="2" t="s">
        <v>26</v>
      </c>
      <c r="E344" s="2" t="s">
        <v>19</v>
      </c>
      <c r="F344" s="2">
        <v>8.6988628995E10</v>
      </c>
    </row>
    <row r="345" ht="15.75" customHeight="1">
      <c r="A345" s="2" t="s">
        <v>584</v>
      </c>
      <c r="B345" s="2" t="s">
        <v>52</v>
      </c>
      <c r="C345" s="2" t="s">
        <v>585</v>
      </c>
      <c r="D345" s="2" t="s">
        <v>9</v>
      </c>
      <c r="E345" s="2" t="s">
        <v>19</v>
      </c>
      <c r="F345" s="2">
        <v>6.206211479E9</v>
      </c>
    </row>
    <row r="346" ht="15.75" customHeight="1">
      <c r="A346" s="2" t="s">
        <v>586</v>
      </c>
      <c r="B346" s="2" t="s">
        <v>55</v>
      </c>
      <c r="C346" s="2" t="s">
        <v>83</v>
      </c>
      <c r="D346" s="2" t="s">
        <v>29</v>
      </c>
      <c r="E346" s="2" t="s">
        <v>255</v>
      </c>
      <c r="F346" s="2">
        <v>8.102385821E9</v>
      </c>
    </row>
    <row r="347" ht="15.75" customHeight="1">
      <c r="A347" s="2" t="s">
        <v>506</v>
      </c>
      <c r="B347" s="2" t="s">
        <v>50</v>
      </c>
      <c r="C347" s="2" t="s">
        <v>360</v>
      </c>
      <c r="D347" s="2" t="s">
        <v>26</v>
      </c>
      <c r="E347" s="2" t="s">
        <v>19</v>
      </c>
      <c r="F347" s="2">
        <v>8.803328802E9</v>
      </c>
    </row>
    <row r="348" ht="15.75" customHeight="1">
      <c r="A348" s="2" t="s">
        <v>587</v>
      </c>
      <c r="B348" s="2" t="s">
        <v>382</v>
      </c>
      <c r="C348" s="2" t="s">
        <v>588</v>
      </c>
      <c r="D348" s="2" t="s">
        <v>56</v>
      </c>
      <c r="E348" s="2" t="s">
        <v>589</v>
      </c>
      <c r="F348" s="2">
        <v>9.582673956E9</v>
      </c>
    </row>
    <row r="349" ht="15.75" customHeight="1">
      <c r="A349" s="2" t="s">
        <v>590</v>
      </c>
      <c r="B349" s="2" t="s">
        <v>88</v>
      </c>
      <c r="C349" s="2" t="s">
        <v>399</v>
      </c>
      <c r="D349" s="2" t="s">
        <v>26</v>
      </c>
      <c r="E349" s="2" t="s">
        <v>23</v>
      </c>
      <c r="F349" s="2">
        <v>7.779832607E9</v>
      </c>
    </row>
    <row r="350" ht="15.75" customHeight="1">
      <c r="A350" s="2" t="s">
        <v>591</v>
      </c>
      <c r="B350" s="2" t="s">
        <v>117</v>
      </c>
      <c r="C350" s="2" t="s">
        <v>592</v>
      </c>
      <c r="D350" s="2" t="s">
        <v>56</v>
      </c>
      <c r="E350" s="2" t="s">
        <v>19</v>
      </c>
      <c r="F350" s="2">
        <v>9.955373191E9</v>
      </c>
    </row>
    <row r="351" ht="15.75" customHeight="1">
      <c r="A351" s="2" t="s">
        <v>593</v>
      </c>
      <c r="B351" s="2" t="s">
        <v>594</v>
      </c>
      <c r="C351" s="2" t="s">
        <v>595</v>
      </c>
      <c r="D351" s="2" t="s">
        <v>44</v>
      </c>
      <c r="E351" s="2" t="s">
        <v>255</v>
      </c>
      <c r="F351" s="2">
        <v>9.102732219E9</v>
      </c>
    </row>
    <row r="352" ht="15.75" customHeight="1">
      <c r="A352" s="2" t="s">
        <v>538</v>
      </c>
      <c r="B352" s="2" t="s">
        <v>63</v>
      </c>
      <c r="C352" s="2" t="s">
        <v>300</v>
      </c>
      <c r="D352" s="2" t="s">
        <v>56</v>
      </c>
      <c r="E352" s="2" t="s">
        <v>19</v>
      </c>
      <c r="F352" s="2">
        <v>8.603723978E9</v>
      </c>
    </row>
    <row r="353" ht="15.75" customHeight="1">
      <c r="A353" s="2" t="s">
        <v>570</v>
      </c>
      <c r="B353" s="2" t="s">
        <v>596</v>
      </c>
      <c r="C353" s="2" t="s">
        <v>249</v>
      </c>
      <c r="D353" s="2" t="s">
        <v>44</v>
      </c>
      <c r="E353" s="2" t="s">
        <v>23</v>
      </c>
      <c r="F353" s="2">
        <v>9.835453813E9</v>
      </c>
    </row>
    <row r="354" ht="15.75" customHeight="1">
      <c r="A354" s="2" t="s">
        <v>597</v>
      </c>
      <c r="B354" s="2" t="s">
        <v>63</v>
      </c>
      <c r="C354" s="2" t="s">
        <v>370</v>
      </c>
      <c r="D354" s="2" t="s">
        <v>26</v>
      </c>
      <c r="E354" s="2" t="s">
        <v>19</v>
      </c>
      <c r="F354" s="2">
        <v>6.203229044E9</v>
      </c>
    </row>
    <row r="355" ht="15.75" customHeight="1">
      <c r="A355" s="2" t="s">
        <v>598</v>
      </c>
      <c r="B355" s="2" t="s">
        <v>153</v>
      </c>
      <c r="C355" s="2" t="s">
        <v>599</v>
      </c>
      <c r="D355" s="2" t="s">
        <v>26</v>
      </c>
      <c r="E355" s="2" t="s">
        <v>255</v>
      </c>
      <c r="F355" s="2">
        <v>9.472716844E9</v>
      </c>
    </row>
    <row r="356" ht="15.75" customHeight="1">
      <c r="A356" s="2" t="s">
        <v>600</v>
      </c>
      <c r="B356" s="2" t="s">
        <v>50</v>
      </c>
      <c r="C356" s="2" t="s">
        <v>360</v>
      </c>
      <c r="D356" s="2" t="s">
        <v>44</v>
      </c>
      <c r="E356" s="2" t="s">
        <v>19</v>
      </c>
      <c r="F356" s="2">
        <v>9.931678107E9</v>
      </c>
    </row>
    <row r="357" ht="15.75" customHeight="1">
      <c r="A357" s="2" t="s">
        <v>601</v>
      </c>
      <c r="B357" s="2" t="s">
        <v>276</v>
      </c>
      <c r="C357" s="2" t="s">
        <v>228</v>
      </c>
      <c r="D357" s="2" t="s">
        <v>56</v>
      </c>
      <c r="E357" s="2" t="s">
        <v>23</v>
      </c>
      <c r="F357" s="2">
        <v>7.781927397E9</v>
      </c>
    </row>
    <row r="358" ht="15.75" customHeight="1">
      <c r="A358" s="2" t="s">
        <v>570</v>
      </c>
      <c r="B358" s="2" t="s">
        <v>199</v>
      </c>
      <c r="C358" s="2" t="s">
        <v>228</v>
      </c>
      <c r="D358" s="2" t="s">
        <v>29</v>
      </c>
      <c r="E358" s="2" t="s">
        <v>255</v>
      </c>
      <c r="F358" s="2">
        <v>9.110936769E9</v>
      </c>
    </row>
    <row r="359" ht="15.75" customHeight="1">
      <c r="A359" s="2" t="s">
        <v>602</v>
      </c>
      <c r="B359" s="2" t="s">
        <v>603</v>
      </c>
      <c r="C359" s="2" t="s">
        <v>604</v>
      </c>
      <c r="D359" s="2" t="s">
        <v>56</v>
      </c>
      <c r="E359" s="2" t="s">
        <v>23</v>
      </c>
      <c r="F359" s="2">
        <v>9.123763434E9</v>
      </c>
    </row>
    <row r="360" ht="15.75" customHeight="1">
      <c r="A360" s="2" t="s">
        <v>605</v>
      </c>
      <c r="B360" s="2" t="s">
        <v>606</v>
      </c>
      <c r="C360" s="2" t="s">
        <v>607</v>
      </c>
      <c r="D360" s="2" t="s">
        <v>56</v>
      </c>
      <c r="E360" s="2" t="s">
        <v>19</v>
      </c>
      <c r="F360" s="2">
        <v>8.340462273E9</v>
      </c>
    </row>
    <row r="361" ht="15.75" customHeight="1">
      <c r="A361" s="2" t="s">
        <v>608</v>
      </c>
      <c r="B361" s="2" t="s">
        <v>212</v>
      </c>
      <c r="C361" s="2" t="s">
        <v>237</v>
      </c>
      <c r="D361" s="2" t="s">
        <v>26</v>
      </c>
      <c r="E361" s="2" t="s">
        <v>255</v>
      </c>
      <c r="F361" s="2">
        <v>7.970839715E9</v>
      </c>
    </row>
    <row r="362" ht="15.75" customHeight="1">
      <c r="A362" s="2" t="s">
        <v>609</v>
      </c>
      <c r="B362" s="2" t="s">
        <v>610</v>
      </c>
      <c r="C362" s="2" t="s">
        <v>611</v>
      </c>
      <c r="D362" s="2" t="s">
        <v>56</v>
      </c>
      <c r="E362" s="2" t="s">
        <v>45</v>
      </c>
      <c r="F362" s="2">
        <v>9.925285883E9</v>
      </c>
    </row>
    <row r="363" ht="15.75" customHeight="1">
      <c r="A363" s="2" t="s">
        <v>612</v>
      </c>
      <c r="B363" s="2" t="s">
        <v>55</v>
      </c>
      <c r="C363" s="2" t="s">
        <v>249</v>
      </c>
      <c r="D363" s="2" t="s">
        <v>44</v>
      </c>
      <c r="E363" s="2" t="s">
        <v>23</v>
      </c>
      <c r="F363" s="2">
        <v>9.304817003E9</v>
      </c>
    </row>
    <row r="364" ht="15.75" customHeight="1">
      <c r="A364" s="2" t="s">
        <v>613</v>
      </c>
      <c r="B364" s="2" t="s">
        <v>614</v>
      </c>
      <c r="C364" s="2" t="s">
        <v>615</v>
      </c>
      <c r="D364" s="2" t="s">
        <v>14</v>
      </c>
      <c r="E364" s="2" t="s">
        <v>23</v>
      </c>
      <c r="F364" s="2">
        <v>7.870073008E9</v>
      </c>
    </row>
    <row r="365" ht="15.75" customHeight="1">
      <c r="A365" s="2" t="s">
        <v>351</v>
      </c>
      <c r="B365" s="2" t="s">
        <v>50</v>
      </c>
      <c r="C365" s="2" t="s">
        <v>616</v>
      </c>
      <c r="D365" s="2" t="s">
        <v>26</v>
      </c>
      <c r="E365" s="2" t="s">
        <v>19</v>
      </c>
      <c r="F365" s="2">
        <v>9.031301356E9</v>
      </c>
    </row>
    <row r="366" ht="15.75" customHeight="1">
      <c r="A366" s="2" t="s">
        <v>617</v>
      </c>
      <c r="B366" s="2" t="s">
        <v>618</v>
      </c>
      <c r="C366" s="2" t="s">
        <v>246</v>
      </c>
      <c r="D366" s="2" t="s">
        <v>44</v>
      </c>
      <c r="E366" s="2" t="s">
        <v>255</v>
      </c>
      <c r="F366" s="2">
        <v>9.113777631E9</v>
      </c>
    </row>
    <row r="367" ht="15.75" customHeight="1">
      <c r="A367" s="2" t="s">
        <v>619</v>
      </c>
      <c r="B367" s="2" t="s">
        <v>243</v>
      </c>
      <c r="C367" s="2" t="s">
        <v>295</v>
      </c>
      <c r="D367" s="2" t="s">
        <v>44</v>
      </c>
      <c r="E367" s="2" t="s">
        <v>23</v>
      </c>
      <c r="F367" s="2">
        <v>9.771054518E9</v>
      </c>
    </row>
    <row r="368" ht="15.75" customHeight="1">
      <c r="A368" s="2" t="s">
        <v>324</v>
      </c>
      <c r="B368" s="2" t="s">
        <v>55</v>
      </c>
      <c r="C368" s="2" t="s">
        <v>204</v>
      </c>
      <c r="D368" s="2" t="s">
        <v>26</v>
      </c>
      <c r="E368" s="2" t="s">
        <v>255</v>
      </c>
      <c r="F368" s="2">
        <v>8.757329348E9</v>
      </c>
    </row>
    <row r="369" ht="15.75" customHeight="1">
      <c r="A369" s="2" t="s">
        <v>620</v>
      </c>
      <c r="B369" s="2" t="s">
        <v>621</v>
      </c>
      <c r="C369" s="2" t="s">
        <v>622</v>
      </c>
      <c r="D369" s="2" t="s">
        <v>56</v>
      </c>
      <c r="E369" s="2" t="s">
        <v>45</v>
      </c>
      <c r="F369" s="2">
        <v>9.714368699E9</v>
      </c>
    </row>
    <row r="370" ht="15.75" customHeight="1">
      <c r="A370" s="2" t="s">
        <v>623</v>
      </c>
      <c r="B370" s="2" t="s">
        <v>203</v>
      </c>
      <c r="C370" s="2" t="s">
        <v>295</v>
      </c>
      <c r="D370" s="2" t="s">
        <v>56</v>
      </c>
      <c r="E370" s="2" t="s">
        <v>23</v>
      </c>
      <c r="F370" s="2">
        <v>8.002244826E9</v>
      </c>
    </row>
    <row r="371" ht="15.75" customHeight="1">
      <c r="A371" s="2" t="s">
        <v>624</v>
      </c>
      <c r="B371" s="2" t="s">
        <v>55</v>
      </c>
      <c r="C371" s="2" t="s">
        <v>237</v>
      </c>
      <c r="D371" s="2" t="s">
        <v>26</v>
      </c>
      <c r="E371" s="2" t="s">
        <v>255</v>
      </c>
      <c r="F371" s="2">
        <v>9.901600137E9</v>
      </c>
    </row>
    <row r="372" ht="15.75" customHeight="1">
      <c r="A372" s="2" t="s">
        <v>625</v>
      </c>
      <c r="B372" s="2" t="s">
        <v>626</v>
      </c>
      <c r="C372" s="2" t="s">
        <v>627</v>
      </c>
      <c r="D372" s="2" t="s">
        <v>26</v>
      </c>
      <c r="E372" s="2" t="s">
        <v>19</v>
      </c>
      <c r="F372" s="2">
        <v>8.071994429E9</v>
      </c>
    </row>
    <row r="373" ht="15.75" customHeight="1">
      <c r="A373" s="2" t="s">
        <v>628</v>
      </c>
      <c r="B373" s="2" t="s">
        <v>499</v>
      </c>
      <c r="C373" s="2" t="s">
        <v>133</v>
      </c>
      <c r="D373" s="2" t="s">
        <v>26</v>
      </c>
      <c r="E373" s="2" t="s">
        <v>19</v>
      </c>
      <c r="F373" s="2">
        <v>6.205668132E9</v>
      </c>
    </row>
    <row r="374" ht="15.75" customHeight="1">
      <c r="A374" s="2" t="s">
        <v>629</v>
      </c>
      <c r="B374" s="2" t="s">
        <v>440</v>
      </c>
      <c r="C374" s="2" t="s">
        <v>240</v>
      </c>
      <c r="D374" s="2" t="s">
        <v>26</v>
      </c>
      <c r="E374" s="2" t="s">
        <v>19</v>
      </c>
      <c r="F374" s="2">
        <v>9.311744063E9</v>
      </c>
    </row>
    <row r="375" ht="15.75" customHeight="1">
      <c r="A375" s="2" t="s">
        <v>630</v>
      </c>
      <c r="B375" s="2" t="s">
        <v>55</v>
      </c>
      <c r="C375" s="2" t="s">
        <v>249</v>
      </c>
      <c r="D375" s="2" t="s">
        <v>56</v>
      </c>
      <c r="E375" s="2" t="s">
        <v>23</v>
      </c>
      <c r="F375" s="2">
        <v>7.903909001E9</v>
      </c>
    </row>
    <row r="376" ht="15.75" customHeight="1">
      <c r="A376" s="2" t="s">
        <v>120</v>
      </c>
      <c r="B376" s="2" t="s">
        <v>499</v>
      </c>
      <c r="C376" s="2" t="s">
        <v>133</v>
      </c>
      <c r="D376" s="2" t="s">
        <v>44</v>
      </c>
      <c r="E376" s="2" t="s">
        <v>19</v>
      </c>
      <c r="F376" s="2">
        <v>9.905713271E9</v>
      </c>
    </row>
    <row r="377" ht="15.75" customHeight="1">
      <c r="A377" s="2" t="s">
        <v>631</v>
      </c>
      <c r="B377" s="2" t="s">
        <v>88</v>
      </c>
      <c r="C377" s="2" t="s">
        <v>632</v>
      </c>
      <c r="D377" s="2" t="s">
        <v>29</v>
      </c>
      <c r="E377" s="2" t="s">
        <v>23</v>
      </c>
      <c r="F377" s="2">
        <v>8.406882E9</v>
      </c>
    </row>
    <row r="378" ht="15.75" customHeight="1">
      <c r="A378" s="2" t="s">
        <v>241</v>
      </c>
      <c r="B378" s="2" t="s">
        <v>212</v>
      </c>
      <c r="C378" s="2" t="s">
        <v>246</v>
      </c>
      <c r="D378" s="2" t="s">
        <v>14</v>
      </c>
      <c r="E378" s="2" t="s">
        <v>255</v>
      </c>
      <c r="F378" s="2">
        <v>9.905621284E9</v>
      </c>
    </row>
    <row r="379" ht="15.75" customHeight="1">
      <c r="A379" s="2" t="s">
        <v>633</v>
      </c>
      <c r="B379" s="2" t="s">
        <v>55</v>
      </c>
      <c r="C379" s="2" t="s">
        <v>634</v>
      </c>
      <c r="D379" s="2" t="s">
        <v>56</v>
      </c>
      <c r="E379" s="2" t="s">
        <v>19</v>
      </c>
      <c r="F379" s="2">
        <v>8.521391597E9</v>
      </c>
    </row>
    <row r="380" ht="15.75" customHeight="1">
      <c r="A380" s="2" t="s">
        <v>635</v>
      </c>
      <c r="B380" s="2" t="s">
        <v>243</v>
      </c>
      <c r="C380" s="2" t="s">
        <v>310</v>
      </c>
      <c r="D380" s="2" t="s">
        <v>56</v>
      </c>
      <c r="E380" s="2" t="s">
        <v>23</v>
      </c>
      <c r="F380" s="2">
        <v>8.002244826E9</v>
      </c>
    </row>
    <row r="381" ht="15.75" customHeight="1">
      <c r="A381" s="2" t="s">
        <v>636</v>
      </c>
      <c r="B381" s="2" t="s">
        <v>63</v>
      </c>
      <c r="C381" s="2" t="s">
        <v>181</v>
      </c>
      <c r="D381" s="2" t="s">
        <v>26</v>
      </c>
      <c r="E381" s="2" t="s">
        <v>19</v>
      </c>
      <c r="F381" s="2">
        <v>9.304510184E9</v>
      </c>
    </row>
    <row r="382" ht="15.75" customHeight="1">
      <c r="A382" s="2" t="s">
        <v>637</v>
      </c>
      <c r="B382" s="2" t="s">
        <v>88</v>
      </c>
      <c r="C382" s="2" t="s">
        <v>638</v>
      </c>
      <c r="D382" s="2" t="s">
        <v>26</v>
      </c>
      <c r="E382" s="2" t="s">
        <v>23</v>
      </c>
      <c r="F382" s="2">
        <v>7.019614108E9</v>
      </c>
    </row>
    <row r="383" ht="15.75" customHeight="1">
      <c r="A383" s="2" t="s">
        <v>639</v>
      </c>
      <c r="B383" s="2" t="s">
        <v>522</v>
      </c>
      <c r="C383" s="2" t="s">
        <v>640</v>
      </c>
      <c r="D383" s="2" t="s">
        <v>26</v>
      </c>
      <c r="E383" s="2" t="s">
        <v>19</v>
      </c>
      <c r="F383" s="2">
        <v>9.516182018E9</v>
      </c>
    </row>
    <row r="384" ht="15.75" customHeight="1">
      <c r="A384" s="2" t="s">
        <v>641</v>
      </c>
      <c r="B384" s="2" t="s">
        <v>212</v>
      </c>
      <c r="C384" s="2" t="s">
        <v>204</v>
      </c>
      <c r="D384" s="2" t="s">
        <v>9</v>
      </c>
      <c r="E384" s="2" t="s">
        <v>255</v>
      </c>
      <c r="F384" s="2">
        <v>9.661278012E9</v>
      </c>
    </row>
    <row r="385" ht="15.75" customHeight="1">
      <c r="A385" s="2" t="s">
        <v>89</v>
      </c>
      <c r="B385" s="2" t="s">
        <v>499</v>
      </c>
      <c r="C385" s="2" t="s">
        <v>162</v>
      </c>
      <c r="D385" s="2" t="s">
        <v>56</v>
      </c>
      <c r="E385" s="2" t="s">
        <v>19</v>
      </c>
      <c r="F385" s="2">
        <v>8.43229881E9</v>
      </c>
    </row>
    <row r="386" ht="15.75" customHeight="1">
      <c r="A386" s="2" t="s">
        <v>642</v>
      </c>
      <c r="B386" s="2" t="s">
        <v>55</v>
      </c>
      <c r="C386" s="2" t="s">
        <v>632</v>
      </c>
      <c r="D386" s="2" t="s">
        <v>9</v>
      </c>
      <c r="E386" s="2" t="s">
        <v>23</v>
      </c>
      <c r="F386" s="2">
        <v>8.409151715E9</v>
      </c>
    </row>
    <row r="387" ht="15.75" customHeight="1">
      <c r="A387" s="2" t="s">
        <v>643</v>
      </c>
      <c r="B387" s="2" t="s">
        <v>644</v>
      </c>
      <c r="C387" s="2" t="s">
        <v>58</v>
      </c>
      <c r="D387" s="2" t="s">
        <v>44</v>
      </c>
      <c r="E387" s="2" t="s">
        <v>19</v>
      </c>
      <c r="F387" s="2">
        <v>7.766000183E9</v>
      </c>
    </row>
    <row r="388" ht="15.75" customHeight="1">
      <c r="A388" s="2" t="s">
        <v>645</v>
      </c>
      <c r="B388" s="2" t="s">
        <v>646</v>
      </c>
      <c r="C388" s="2" t="s">
        <v>399</v>
      </c>
      <c r="D388" s="2" t="s">
        <v>26</v>
      </c>
      <c r="E388" s="2" t="s">
        <v>23</v>
      </c>
      <c r="F388" s="2">
        <v>7.762922659E9</v>
      </c>
    </row>
    <row r="389" ht="15.75" customHeight="1">
      <c r="A389" s="2" t="s">
        <v>647</v>
      </c>
      <c r="B389" s="2" t="s">
        <v>55</v>
      </c>
      <c r="C389" s="2" t="s">
        <v>648</v>
      </c>
      <c r="D389" s="2" t="s">
        <v>56</v>
      </c>
      <c r="E389" s="2" t="s">
        <v>23</v>
      </c>
      <c r="F389" s="2">
        <v>8.305091172E9</v>
      </c>
    </row>
    <row r="390" ht="15.75" customHeight="1">
      <c r="A390" s="2" t="s">
        <v>649</v>
      </c>
      <c r="B390" s="2" t="s">
        <v>50</v>
      </c>
      <c r="C390" s="2" t="s">
        <v>650</v>
      </c>
      <c r="D390" s="2" t="s">
        <v>29</v>
      </c>
      <c r="E390" s="2" t="s">
        <v>19</v>
      </c>
      <c r="F390" s="2">
        <v>9.669796511E9</v>
      </c>
    </row>
    <row r="391" ht="15.75" customHeight="1">
      <c r="A391" s="2" t="s">
        <v>651</v>
      </c>
      <c r="B391" s="2" t="s">
        <v>269</v>
      </c>
      <c r="C391" s="2" t="s">
        <v>246</v>
      </c>
      <c r="D391" s="2" t="s">
        <v>44</v>
      </c>
      <c r="E391" s="2" t="s">
        <v>255</v>
      </c>
      <c r="F391" s="2">
        <v>8.701088792E9</v>
      </c>
    </row>
    <row r="392" ht="15.75" customHeight="1">
      <c r="A392" s="2" t="s">
        <v>652</v>
      </c>
      <c r="B392" s="2" t="s">
        <v>550</v>
      </c>
      <c r="C392" s="2" t="s">
        <v>181</v>
      </c>
      <c r="D392" s="2" t="s">
        <v>26</v>
      </c>
      <c r="E392" s="2" t="s">
        <v>19</v>
      </c>
      <c r="F392" s="2">
        <v>7.564820733E9</v>
      </c>
    </row>
    <row r="393" ht="15.75" customHeight="1">
      <c r="A393" s="2" t="s">
        <v>653</v>
      </c>
      <c r="B393" s="2" t="s">
        <v>654</v>
      </c>
      <c r="C393" s="2" t="s">
        <v>655</v>
      </c>
      <c r="D393" s="2" t="s">
        <v>14</v>
      </c>
      <c r="E393" s="2" t="s">
        <v>19</v>
      </c>
      <c r="F393" s="2">
        <v>6.309609112E9</v>
      </c>
    </row>
    <row r="394" ht="15.75" customHeight="1">
      <c r="A394" s="2" t="s">
        <v>241</v>
      </c>
      <c r="B394" s="2" t="s">
        <v>55</v>
      </c>
      <c r="C394" s="2" t="s">
        <v>632</v>
      </c>
      <c r="D394" s="2" t="s">
        <v>9</v>
      </c>
      <c r="E394" s="2" t="s">
        <v>23</v>
      </c>
      <c r="F394" s="2">
        <v>9.608838066E9</v>
      </c>
    </row>
    <row r="395" ht="15.75" customHeight="1">
      <c r="A395" s="2" t="s">
        <v>656</v>
      </c>
      <c r="B395" s="2" t="s">
        <v>88</v>
      </c>
      <c r="C395" s="2" t="s">
        <v>230</v>
      </c>
      <c r="D395" s="2" t="s">
        <v>26</v>
      </c>
      <c r="E395" s="2" t="s">
        <v>19</v>
      </c>
      <c r="F395" s="2">
        <v>8.084075069E9</v>
      </c>
    </row>
    <row r="396" ht="15.75" customHeight="1">
      <c r="A396" s="2" t="s">
        <v>657</v>
      </c>
      <c r="B396" s="2" t="s">
        <v>499</v>
      </c>
      <c r="C396" s="2" t="s">
        <v>423</v>
      </c>
      <c r="D396" s="2" t="s">
        <v>44</v>
      </c>
      <c r="E396" s="2" t="s">
        <v>19</v>
      </c>
      <c r="F396" s="2">
        <v>8.083229221E9</v>
      </c>
    </row>
    <row r="397" ht="15.75" customHeight="1">
      <c r="A397" s="2" t="s">
        <v>658</v>
      </c>
      <c r="B397" s="2" t="s">
        <v>659</v>
      </c>
      <c r="C397" s="2" t="s">
        <v>660</v>
      </c>
      <c r="D397" s="2" t="s">
        <v>26</v>
      </c>
      <c r="E397" s="2" t="s">
        <v>23</v>
      </c>
      <c r="F397" s="2">
        <v>9.867524313E9</v>
      </c>
    </row>
    <row r="398" ht="15.75" customHeight="1">
      <c r="A398" s="2" t="s">
        <v>661</v>
      </c>
      <c r="B398" s="2" t="s">
        <v>50</v>
      </c>
      <c r="C398" s="2" t="s">
        <v>662</v>
      </c>
      <c r="D398" s="2" t="s">
        <v>26</v>
      </c>
      <c r="E398" s="2" t="s">
        <v>19</v>
      </c>
      <c r="F398" s="2">
        <v>6.218252221E9</v>
      </c>
    </row>
    <row r="399" ht="15.75" customHeight="1">
      <c r="A399" s="2" t="s">
        <v>81</v>
      </c>
      <c r="B399" s="2" t="s">
        <v>499</v>
      </c>
      <c r="C399" s="2" t="s">
        <v>423</v>
      </c>
      <c r="D399" s="2" t="s">
        <v>44</v>
      </c>
      <c r="E399" s="2" t="s">
        <v>19</v>
      </c>
      <c r="F399" s="2">
        <v>9.931508509E9</v>
      </c>
    </row>
    <row r="400" ht="15.75" customHeight="1">
      <c r="A400" s="2" t="s">
        <v>84</v>
      </c>
      <c r="B400" s="2" t="s">
        <v>119</v>
      </c>
      <c r="C400" s="2" t="s">
        <v>343</v>
      </c>
      <c r="D400" s="2" t="s">
        <v>9</v>
      </c>
      <c r="E400" s="2" t="s">
        <v>19</v>
      </c>
      <c r="F400" s="2">
        <v>6.201216557E9</v>
      </c>
    </row>
    <row r="401" ht="15.75" customHeight="1">
      <c r="A401" s="2" t="s">
        <v>565</v>
      </c>
      <c r="B401" s="2" t="s">
        <v>63</v>
      </c>
      <c r="C401" s="2" t="s">
        <v>181</v>
      </c>
      <c r="D401" s="2" t="s">
        <v>26</v>
      </c>
      <c r="E401" s="2" t="s">
        <v>19</v>
      </c>
      <c r="F401" s="2">
        <v>7.209715344E9</v>
      </c>
    </row>
    <row r="402" ht="15.75" customHeight="1">
      <c r="A402" s="2" t="s">
        <v>241</v>
      </c>
      <c r="B402" s="2" t="s">
        <v>55</v>
      </c>
      <c r="C402" s="2" t="s">
        <v>638</v>
      </c>
      <c r="D402" s="2" t="s">
        <v>26</v>
      </c>
      <c r="E402" s="2" t="s">
        <v>23</v>
      </c>
      <c r="F402" s="2">
        <v>9.308178796E9</v>
      </c>
    </row>
    <row r="403" ht="15.75" customHeight="1">
      <c r="A403" s="2" t="s">
        <v>663</v>
      </c>
      <c r="B403" s="2" t="s">
        <v>664</v>
      </c>
      <c r="C403" s="2" t="s">
        <v>510</v>
      </c>
      <c r="D403" s="2" t="s">
        <v>29</v>
      </c>
      <c r="E403" s="2" t="s">
        <v>19</v>
      </c>
      <c r="F403" s="2">
        <v>6.202268921E9</v>
      </c>
    </row>
    <row r="404" ht="15.75" customHeight="1">
      <c r="A404" s="2" t="s">
        <v>665</v>
      </c>
      <c r="B404" s="2" t="s">
        <v>269</v>
      </c>
      <c r="C404" s="2" t="s">
        <v>181</v>
      </c>
      <c r="D404" s="2" t="s">
        <v>26</v>
      </c>
      <c r="E404" s="2" t="s">
        <v>19</v>
      </c>
      <c r="F404" s="2">
        <v>7.488556541E9</v>
      </c>
    </row>
    <row r="405" ht="15.75" customHeight="1">
      <c r="A405" s="2" t="s">
        <v>666</v>
      </c>
      <c r="B405" s="2" t="s">
        <v>220</v>
      </c>
      <c r="C405" s="2" t="s">
        <v>667</v>
      </c>
      <c r="D405" s="2" t="s">
        <v>9</v>
      </c>
      <c r="E405" s="2" t="s">
        <v>23</v>
      </c>
      <c r="F405" s="2">
        <v>9.306355203E9</v>
      </c>
    </row>
    <row r="406" ht="15.75" customHeight="1">
      <c r="A406" s="2" t="s">
        <v>636</v>
      </c>
      <c r="B406" s="2" t="s">
        <v>499</v>
      </c>
      <c r="C406" s="2" t="s">
        <v>133</v>
      </c>
      <c r="D406" s="2" t="s">
        <v>56</v>
      </c>
      <c r="E406" s="2" t="s">
        <v>19</v>
      </c>
      <c r="F406" s="2">
        <v>8.21028877E9</v>
      </c>
    </row>
    <row r="407" ht="15.75" customHeight="1">
      <c r="A407" s="2" t="s">
        <v>668</v>
      </c>
      <c r="B407" s="2" t="s">
        <v>621</v>
      </c>
      <c r="C407" s="2" t="s">
        <v>669</v>
      </c>
      <c r="D407" s="2" t="s">
        <v>14</v>
      </c>
      <c r="E407" s="2" t="s">
        <v>402</v>
      </c>
      <c r="F407" s="2">
        <v>9.725905436E9</v>
      </c>
    </row>
    <row r="408" ht="15.75" customHeight="1">
      <c r="A408" s="2" t="s">
        <v>670</v>
      </c>
      <c r="B408" s="2" t="s">
        <v>212</v>
      </c>
      <c r="C408" s="2" t="s">
        <v>671</v>
      </c>
      <c r="D408" s="2" t="s">
        <v>9</v>
      </c>
      <c r="E408" s="2" t="s">
        <v>19</v>
      </c>
      <c r="F408" s="2">
        <v>9.632246873E9</v>
      </c>
    </row>
    <row r="409" ht="15.75" customHeight="1">
      <c r="A409" s="2" t="s">
        <v>672</v>
      </c>
      <c r="B409" s="2" t="s">
        <v>594</v>
      </c>
      <c r="C409" s="2" t="s">
        <v>648</v>
      </c>
      <c r="D409" s="2" t="s">
        <v>56</v>
      </c>
      <c r="E409" s="2" t="s">
        <v>23</v>
      </c>
      <c r="F409" s="2">
        <v>8.85562012E9</v>
      </c>
    </row>
    <row r="410" ht="15.75" customHeight="1">
      <c r="A410" s="2" t="s">
        <v>80</v>
      </c>
      <c r="B410" s="2" t="s">
        <v>303</v>
      </c>
      <c r="C410" s="2" t="s">
        <v>133</v>
      </c>
      <c r="D410" s="2" t="s">
        <v>26</v>
      </c>
      <c r="E410" s="2" t="s">
        <v>19</v>
      </c>
      <c r="F410" s="2">
        <v>7.765051224E9</v>
      </c>
    </row>
    <row r="411" ht="15.75" customHeight="1">
      <c r="A411" s="2" t="s">
        <v>666</v>
      </c>
      <c r="B411" s="2" t="s">
        <v>88</v>
      </c>
      <c r="C411" s="2" t="s">
        <v>673</v>
      </c>
      <c r="D411" s="2" t="s">
        <v>14</v>
      </c>
      <c r="E411" s="2" t="s">
        <v>23</v>
      </c>
      <c r="F411" s="2">
        <v>6.313294602E9</v>
      </c>
    </row>
    <row r="412" ht="15.75" customHeight="1">
      <c r="A412" s="2" t="s">
        <v>124</v>
      </c>
      <c r="B412" s="2" t="s">
        <v>125</v>
      </c>
      <c r="C412" s="2" t="s">
        <v>133</v>
      </c>
      <c r="D412" s="2" t="s">
        <v>14</v>
      </c>
      <c r="E412" s="2" t="s">
        <v>19</v>
      </c>
      <c r="F412" s="2">
        <v>7.282934907E9</v>
      </c>
    </row>
    <row r="413" ht="15.75" customHeight="1">
      <c r="A413" s="2" t="s">
        <v>674</v>
      </c>
      <c r="B413" s="2" t="s">
        <v>675</v>
      </c>
      <c r="C413" s="2" t="s">
        <v>676</v>
      </c>
      <c r="D413" s="2" t="s">
        <v>14</v>
      </c>
      <c r="E413" s="2" t="s">
        <v>434</v>
      </c>
      <c r="F413" s="2">
        <v>8.128804739E9</v>
      </c>
    </row>
    <row r="414" ht="15.75" customHeight="1">
      <c r="A414" s="2" t="s">
        <v>677</v>
      </c>
      <c r="B414" s="2" t="s">
        <v>678</v>
      </c>
      <c r="C414" s="2" t="s">
        <v>679</v>
      </c>
      <c r="D414" s="2" t="s">
        <v>56</v>
      </c>
      <c r="E414" s="2" t="s">
        <v>195</v>
      </c>
      <c r="F414" s="2">
        <v>9.825900014E9</v>
      </c>
    </row>
    <row r="415" ht="15.75" customHeight="1">
      <c r="A415" s="2" t="s">
        <v>680</v>
      </c>
      <c r="B415" s="2" t="s">
        <v>681</v>
      </c>
      <c r="C415" s="2" t="s">
        <v>133</v>
      </c>
      <c r="D415" s="2" t="s">
        <v>26</v>
      </c>
      <c r="E415" s="2" t="s">
        <v>19</v>
      </c>
      <c r="F415" s="2">
        <v>9.304117111E9</v>
      </c>
    </row>
    <row r="416" ht="15.75" customHeight="1">
      <c r="A416" s="2" t="s">
        <v>672</v>
      </c>
      <c r="B416" s="2" t="s">
        <v>55</v>
      </c>
      <c r="C416" s="2" t="s">
        <v>632</v>
      </c>
      <c r="D416" s="2" t="s">
        <v>9</v>
      </c>
      <c r="E416" s="2" t="s">
        <v>23</v>
      </c>
      <c r="F416" s="2">
        <v>9.693606712E9</v>
      </c>
    </row>
    <row r="417" ht="15.75" customHeight="1">
      <c r="A417" s="2" t="s">
        <v>682</v>
      </c>
      <c r="B417" s="2" t="s">
        <v>63</v>
      </c>
      <c r="C417" s="2" t="s">
        <v>330</v>
      </c>
      <c r="D417" s="2" t="s">
        <v>56</v>
      </c>
      <c r="E417" s="2" t="s">
        <v>19</v>
      </c>
      <c r="F417" s="2">
        <v>7.209930932E9</v>
      </c>
    </row>
    <row r="418" ht="15.75" customHeight="1">
      <c r="A418" s="2" t="s">
        <v>683</v>
      </c>
      <c r="B418" s="2" t="s">
        <v>63</v>
      </c>
      <c r="C418" s="2" t="s">
        <v>181</v>
      </c>
      <c r="D418" s="2" t="s">
        <v>26</v>
      </c>
      <c r="E418" s="2" t="s">
        <v>19</v>
      </c>
      <c r="F418" s="2">
        <v>9.331091141E9</v>
      </c>
    </row>
    <row r="419" ht="15.75" customHeight="1">
      <c r="A419" s="2" t="s">
        <v>684</v>
      </c>
      <c r="B419" s="2" t="s">
        <v>212</v>
      </c>
      <c r="C419" s="2" t="s">
        <v>685</v>
      </c>
      <c r="D419" s="2" t="s">
        <v>56</v>
      </c>
      <c r="E419" s="2" t="s">
        <v>19</v>
      </c>
      <c r="F419" s="2">
        <v>9.082387217E9</v>
      </c>
    </row>
    <row r="420" ht="15.75" customHeight="1">
      <c r="A420" s="2" t="s">
        <v>666</v>
      </c>
      <c r="B420" s="2" t="s">
        <v>614</v>
      </c>
      <c r="C420" s="2" t="s">
        <v>686</v>
      </c>
      <c r="D420" s="2" t="s">
        <v>14</v>
      </c>
      <c r="E420" s="2" t="s">
        <v>23</v>
      </c>
      <c r="F420" s="2">
        <v>9.507808496E9</v>
      </c>
    </row>
    <row r="421" ht="15.75" customHeight="1">
      <c r="A421" s="2" t="s">
        <v>687</v>
      </c>
      <c r="B421" s="2" t="s">
        <v>63</v>
      </c>
      <c r="C421" s="2" t="s">
        <v>685</v>
      </c>
      <c r="D421" s="2" t="s">
        <v>44</v>
      </c>
      <c r="E421" s="2" t="s">
        <v>434</v>
      </c>
      <c r="F421" s="2">
        <v>8.419925045E9</v>
      </c>
    </row>
    <row r="422" ht="15.75" customHeight="1">
      <c r="A422" s="2" t="s">
        <v>688</v>
      </c>
      <c r="B422" s="2" t="s">
        <v>63</v>
      </c>
      <c r="C422" s="2" t="s">
        <v>689</v>
      </c>
      <c r="D422" s="2" t="s">
        <v>26</v>
      </c>
      <c r="E422" s="2" t="s">
        <v>19</v>
      </c>
      <c r="F422" s="2">
        <v>6.203781402E9</v>
      </c>
    </row>
    <row r="423" ht="15.75" customHeight="1">
      <c r="A423" s="2" t="s">
        <v>149</v>
      </c>
      <c r="B423" s="2" t="s">
        <v>212</v>
      </c>
      <c r="C423" s="2" t="s">
        <v>690</v>
      </c>
      <c r="D423" s="2" t="s">
        <v>102</v>
      </c>
      <c r="E423" s="2" t="s">
        <v>19</v>
      </c>
      <c r="F423" s="2">
        <v>8.252793088E9</v>
      </c>
    </row>
    <row r="424" ht="15.75" customHeight="1">
      <c r="A424" s="2" t="s">
        <v>691</v>
      </c>
      <c r="B424" s="2" t="s">
        <v>499</v>
      </c>
      <c r="C424" s="2" t="s">
        <v>133</v>
      </c>
      <c r="D424" s="2" t="s">
        <v>44</v>
      </c>
      <c r="E424" s="2" t="s">
        <v>19</v>
      </c>
      <c r="F424" s="2">
        <v>8.521640125E9</v>
      </c>
    </row>
    <row r="425" ht="15.75" customHeight="1">
      <c r="A425" s="2" t="s">
        <v>692</v>
      </c>
      <c r="B425" s="2" t="s">
        <v>693</v>
      </c>
      <c r="C425" s="2" t="s">
        <v>694</v>
      </c>
      <c r="D425" s="2" t="s">
        <v>14</v>
      </c>
      <c r="E425" s="2" t="s">
        <v>45</v>
      </c>
      <c r="F425" s="2">
        <v>7.600763693E9</v>
      </c>
    </row>
    <row r="426" ht="15.75" customHeight="1">
      <c r="A426" s="2" t="s">
        <v>695</v>
      </c>
      <c r="B426" s="2" t="s">
        <v>696</v>
      </c>
      <c r="C426" s="2" t="s">
        <v>697</v>
      </c>
      <c r="D426" s="2" t="s">
        <v>29</v>
      </c>
      <c r="E426" s="2" t="s">
        <v>137</v>
      </c>
      <c r="F426" s="2">
        <v>8.697261628E9</v>
      </c>
    </row>
    <row r="427" ht="15.75" customHeight="1">
      <c r="A427" s="2" t="s">
        <v>698</v>
      </c>
      <c r="B427" s="2" t="s">
        <v>55</v>
      </c>
      <c r="C427" s="2" t="s">
        <v>181</v>
      </c>
      <c r="D427" s="2" t="s">
        <v>26</v>
      </c>
      <c r="E427" s="2" t="s">
        <v>19</v>
      </c>
      <c r="F427" s="2">
        <v>9.060165352E9</v>
      </c>
    </row>
    <row r="428" ht="15.75" customHeight="1">
      <c r="A428" s="2" t="s">
        <v>699</v>
      </c>
      <c r="B428" s="2" t="s">
        <v>700</v>
      </c>
      <c r="C428" s="2" t="s">
        <v>230</v>
      </c>
      <c r="D428" s="2" t="s">
        <v>56</v>
      </c>
      <c r="E428" s="2" t="s">
        <v>19</v>
      </c>
      <c r="F428" s="2">
        <v>9.471181051E9</v>
      </c>
    </row>
    <row r="429" ht="15.75" customHeight="1">
      <c r="A429" s="2" t="s">
        <v>666</v>
      </c>
      <c r="B429" s="2" t="s">
        <v>191</v>
      </c>
      <c r="C429" s="2" t="s">
        <v>648</v>
      </c>
      <c r="D429" s="2" t="s">
        <v>26</v>
      </c>
      <c r="E429" s="2" t="s">
        <v>23</v>
      </c>
      <c r="F429" s="2">
        <v>7.271358914E9</v>
      </c>
    </row>
    <row r="430" ht="15.75" customHeight="1">
      <c r="A430" s="2" t="s">
        <v>701</v>
      </c>
      <c r="B430" s="2" t="s">
        <v>499</v>
      </c>
      <c r="C430" s="2" t="s">
        <v>133</v>
      </c>
      <c r="D430" s="2" t="s">
        <v>102</v>
      </c>
      <c r="E430" s="2" t="s">
        <v>19</v>
      </c>
      <c r="F430" s="2">
        <v>7.89645249E9</v>
      </c>
    </row>
    <row r="431" ht="15.75" customHeight="1">
      <c r="A431" s="2" t="s">
        <v>702</v>
      </c>
      <c r="B431" s="2" t="s">
        <v>703</v>
      </c>
      <c r="C431" s="2" t="s">
        <v>704</v>
      </c>
      <c r="D431" s="2" t="s">
        <v>29</v>
      </c>
      <c r="E431" s="2" t="s">
        <v>137</v>
      </c>
      <c r="F431" s="2">
        <v>8.017609336E9</v>
      </c>
    </row>
    <row r="432" ht="15.75" customHeight="1">
      <c r="A432" s="2" t="s">
        <v>705</v>
      </c>
      <c r="B432" s="2" t="s">
        <v>705</v>
      </c>
      <c r="C432" s="2" t="s">
        <v>706</v>
      </c>
      <c r="D432" s="2" t="s">
        <v>14</v>
      </c>
      <c r="E432" s="2" t="s">
        <v>45</v>
      </c>
      <c r="F432" s="2">
        <v>9.825991704E9</v>
      </c>
    </row>
    <row r="433" ht="15.75" customHeight="1">
      <c r="A433" s="2" t="s">
        <v>707</v>
      </c>
      <c r="B433" s="2" t="s">
        <v>50</v>
      </c>
      <c r="C433" s="2" t="s">
        <v>708</v>
      </c>
      <c r="D433" s="2" t="s">
        <v>56</v>
      </c>
      <c r="E433" s="2" t="s">
        <v>19</v>
      </c>
      <c r="F433" s="2">
        <v>8.289690671E9</v>
      </c>
    </row>
    <row r="434" ht="15.75" customHeight="1">
      <c r="A434" s="2" t="s">
        <v>491</v>
      </c>
      <c r="B434" s="2" t="s">
        <v>50</v>
      </c>
      <c r="C434" s="2" t="s">
        <v>709</v>
      </c>
      <c r="D434" s="2" t="s">
        <v>29</v>
      </c>
      <c r="E434" s="2" t="s">
        <v>19</v>
      </c>
      <c r="F434" s="2">
        <v>9.123963625E9</v>
      </c>
    </row>
    <row r="435" ht="15.75" customHeight="1">
      <c r="A435" s="2" t="s">
        <v>710</v>
      </c>
      <c r="B435" s="2" t="s">
        <v>212</v>
      </c>
      <c r="C435" s="2" t="s">
        <v>156</v>
      </c>
      <c r="D435" s="2" t="s">
        <v>9</v>
      </c>
      <c r="E435" s="2" t="s">
        <v>19</v>
      </c>
      <c r="F435" s="2">
        <v>8.60210333E9</v>
      </c>
    </row>
    <row r="436" ht="15.75" customHeight="1">
      <c r="A436" s="2" t="s">
        <v>711</v>
      </c>
      <c r="B436" s="2" t="s">
        <v>712</v>
      </c>
      <c r="C436" s="2" t="s">
        <v>713</v>
      </c>
      <c r="D436" s="2" t="s">
        <v>56</v>
      </c>
      <c r="E436" s="2" t="s">
        <v>23</v>
      </c>
      <c r="F436" s="2">
        <v>9.661910378E9</v>
      </c>
    </row>
    <row r="437" ht="15.75" customHeight="1">
      <c r="A437" s="2" t="s">
        <v>714</v>
      </c>
      <c r="B437" s="2" t="s">
        <v>715</v>
      </c>
      <c r="C437" s="2" t="s">
        <v>716</v>
      </c>
      <c r="D437" s="2" t="s">
        <v>29</v>
      </c>
      <c r="E437" s="2" t="s">
        <v>137</v>
      </c>
      <c r="F437" s="2">
        <v>7.439594852E9</v>
      </c>
    </row>
    <row r="438" ht="15.75" customHeight="1">
      <c r="A438" s="2" t="s">
        <v>717</v>
      </c>
      <c r="B438" s="2" t="s">
        <v>499</v>
      </c>
      <c r="C438" s="2" t="s">
        <v>133</v>
      </c>
      <c r="D438" s="2" t="s">
        <v>44</v>
      </c>
      <c r="E438" s="2" t="s">
        <v>19</v>
      </c>
      <c r="F438" s="2">
        <v>9.334582616E9</v>
      </c>
    </row>
    <row r="439" ht="15.75" customHeight="1">
      <c r="A439" s="2" t="s">
        <v>718</v>
      </c>
      <c r="B439" s="2" t="s">
        <v>719</v>
      </c>
      <c r="C439" s="2" t="s">
        <v>249</v>
      </c>
      <c r="D439" s="2" t="s">
        <v>44</v>
      </c>
      <c r="E439" s="2" t="s">
        <v>23</v>
      </c>
      <c r="F439" s="2">
        <v>8.570238406E9</v>
      </c>
    </row>
    <row r="440" ht="15.75" customHeight="1">
      <c r="A440" s="2" t="s">
        <v>720</v>
      </c>
      <c r="B440" s="2" t="s">
        <v>499</v>
      </c>
      <c r="C440" s="2" t="s">
        <v>133</v>
      </c>
      <c r="D440" s="2" t="s">
        <v>14</v>
      </c>
      <c r="E440" s="2" t="s">
        <v>19</v>
      </c>
      <c r="F440" s="2">
        <v>7.789665576E9</v>
      </c>
    </row>
    <row r="441" ht="15.75" customHeight="1">
      <c r="A441" s="2" t="s">
        <v>721</v>
      </c>
      <c r="B441" s="2" t="s">
        <v>722</v>
      </c>
      <c r="C441" s="2" t="s">
        <v>723</v>
      </c>
      <c r="D441" s="2" t="s">
        <v>26</v>
      </c>
      <c r="E441" s="2" t="s">
        <v>19</v>
      </c>
      <c r="F441" s="2">
        <v>8.420830801E9</v>
      </c>
    </row>
    <row r="442" ht="15.75" customHeight="1">
      <c r="A442" s="2" t="s">
        <v>123</v>
      </c>
      <c r="B442" s="2" t="s">
        <v>212</v>
      </c>
      <c r="C442" s="2" t="s">
        <v>230</v>
      </c>
      <c r="D442" s="2" t="s">
        <v>29</v>
      </c>
      <c r="E442" s="2" t="s">
        <v>19</v>
      </c>
      <c r="F442" s="2">
        <v>8.23753417E9</v>
      </c>
    </row>
    <row r="443" ht="15.75" customHeight="1">
      <c r="A443" s="2" t="s">
        <v>724</v>
      </c>
      <c r="B443" s="2" t="s">
        <v>88</v>
      </c>
      <c r="C443" s="2" t="s">
        <v>632</v>
      </c>
      <c r="D443" s="2" t="s">
        <v>29</v>
      </c>
      <c r="E443" s="2" t="s">
        <v>23</v>
      </c>
      <c r="F443" s="2">
        <v>8.409926829E9</v>
      </c>
    </row>
    <row r="444" ht="15.75" customHeight="1">
      <c r="A444" s="2" t="s">
        <v>682</v>
      </c>
      <c r="B444" s="2" t="s">
        <v>722</v>
      </c>
      <c r="C444" s="2" t="s">
        <v>697</v>
      </c>
      <c r="D444" s="2" t="s">
        <v>29</v>
      </c>
      <c r="E444" s="2" t="s">
        <v>137</v>
      </c>
      <c r="F444" s="2">
        <v>8.420830801E9</v>
      </c>
    </row>
    <row r="445" ht="15.75" customHeight="1">
      <c r="A445" s="2" t="s">
        <v>725</v>
      </c>
      <c r="B445" s="2" t="s">
        <v>55</v>
      </c>
      <c r="C445" s="2" t="s">
        <v>708</v>
      </c>
      <c r="D445" s="2" t="s">
        <v>26</v>
      </c>
      <c r="E445" s="2" t="s">
        <v>19</v>
      </c>
      <c r="F445" s="2">
        <v>8.969986411E9</v>
      </c>
    </row>
    <row r="446" ht="15.75" customHeight="1">
      <c r="A446" s="2" t="s">
        <v>285</v>
      </c>
      <c r="B446" s="2" t="s">
        <v>726</v>
      </c>
      <c r="C446" s="2" t="s">
        <v>632</v>
      </c>
      <c r="D446" s="2" t="s">
        <v>29</v>
      </c>
      <c r="E446" s="2" t="s">
        <v>23</v>
      </c>
      <c r="F446" s="2">
        <v>9.304232329E9</v>
      </c>
    </row>
    <row r="447" ht="15.75" customHeight="1">
      <c r="A447" s="2" t="s">
        <v>727</v>
      </c>
      <c r="B447" s="2" t="s">
        <v>728</v>
      </c>
      <c r="C447" s="2" t="s">
        <v>729</v>
      </c>
      <c r="D447" s="2" t="s">
        <v>29</v>
      </c>
      <c r="E447" s="2" t="s">
        <v>19</v>
      </c>
      <c r="F447" s="2">
        <v>9.102291261E9</v>
      </c>
    </row>
    <row r="448" ht="15.75" customHeight="1">
      <c r="A448" s="2" t="s">
        <v>435</v>
      </c>
      <c r="B448" s="2" t="s">
        <v>55</v>
      </c>
      <c r="C448" s="2" t="s">
        <v>181</v>
      </c>
      <c r="D448" s="2" t="s">
        <v>26</v>
      </c>
      <c r="E448" s="2" t="s">
        <v>19</v>
      </c>
      <c r="F448" s="2">
        <v>7.004697483E9</v>
      </c>
    </row>
    <row r="449" ht="15.75" customHeight="1">
      <c r="A449" s="2" t="s">
        <v>486</v>
      </c>
      <c r="B449" s="2" t="s">
        <v>308</v>
      </c>
      <c r="C449" s="2" t="s">
        <v>697</v>
      </c>
      <c r="D449" s="2" t="s">
        <v>14</v>
      </c>
      <c r="E449" s="2" t="s">
        <v>19</v>
      </c>
      <c r="F449" s="2">
        <v>9.123970027E9</v>
      </c>
    </row>
    <row r="450" ht="15.75" customHeight="1">
      <c r="A450" s="2" t="s">
        <v>730</v>
      </c>
      <c r="B450" s="2" t="s">
        <v>499</v>
      </c>
      <c r="C450" s="2" t="s">
        <v>133</v>
      </c>
      <c r="D450" s="2" t="s">
        <v>44</v>
      </c>
      <c r="E450" s="2" t="s">
        <v>19</v>
      </c>
      <c r="F450" s="2">
        <v>9.334824627E9</v>
      </c>
    </row>
    <row r="451" ht="15.75" customHeight="1">
      <c r="A451" s="2" t="s">
        <v>731</v>
      </c>
      <c r="B451" s="2" t="s">
        <v>220</v>
      </c>
      <c r="C451" s="2" t="s">
        <v>667</v>
      </c>
      <c r="D451" s="2" t="s">
        <v>26</v>
      </c>
      <c r="E451" s="2" t="s">
        <v>23</v>
      </c>
      <c r="F451" s="2">
        <v>9.386601058E9</v>
      </c>
    </row>
    <row r="452" ht="15.75" customHeight="1">
      <c r="A452" s="2" t="s">
        <v>732</v>
      </c>
      <c r="B452" s="2" t="s">
        <v>276</v>
      </c>
      <c r="C452" s="2" t="s">
        <v>733</v>
      </c>
      <c r="D452" s="2" t="s">
        <v>26</v>
      </c>
      <c r="E452" s="2" t="s">
        <v>19</v>
      </c>
      <c r="F452" s="2">
        <v>7.030923963E9</v>
      </c>
    </row>
    <row r="453" ht="15.75" customHeight="1">
      <c r="A453" s="2" t="s">
        <v>724</v>
      </c>
      <c r="B453" s="2" t="s">
        <v>88</v>
      </c>
      <c r="C453" s="2" t="s">
        <v>673</v>
      </c>
      <c r="D453" s="2" t="s">
        <v>26</v>
      </c>
      <c r="E453" s="2" t="s">
        <v>23</v>
      </c>
      <c r="F453" s="2">
        <v>8.271935339E9</v>
      </c>
    </row>
    <row r="454" ht="15.75" customHeight="1">
      <c r="A454" s="2" t="s">
        <v>734</v>
      </c>
      <c r="B454" s="2" t="s">
        <v>332</v>
      </c>
      <c r="C454" s="2" t="s">
        <v>61</v>
      </c>
      <c r="D454" s="2" t="s">
        <v>9</v>
      </c>
      <c r="E454" s="2" t="s">
        <v>19</v>
      </c>
      <c r="F454" s="2">
        <v>7.544034422E9</v>
      </c>
    </row>
    <row r="455" ht="15.75" customHeight="1">
      <c r="A455" s="2" t="s">
        <v>735</v>
      </c>
      <c r="B455" s="2" t="s">
        <v>112</v>
      </c>
      <c r="C455" s="2" t="s">
        <v>697</v>
      </c>
      <c r="D455" s="2" t="s">
        <v>29</v>
      </c>
      <c r="E455" s="2" t="s">
        <v>19</v>
      </c>
      <c r="F455" s="2">
        <v>9.123970027E9</v>
      </c>
    </row>
    <row r="456" ht="15.75" customHeight="1">
      <c r="A456" s="2" t="s">
        <v>736</v>
      </c>
      <c r="B456" s="2" t="s">
        <v>499</v>
      </c>
      <c r="C456" s="2" t="s">
        <v>133</v>
      </c>
      <c r="D456" s="2" t="s">
        <v>14</v>
      </c>
      <c r="E456" s="2" t="s">
        <v>19</v>
      </c>
      <c r="F456" s="2">
        <v>8.709132765E9</v>
      </c>
    </row>
    <row r="457" ht="15.75" customHeight="1">
      <c r="A457" s="2" t="s">
        <v>737</v>
      </c>
      <c r="B457" s="2" t="s">
        <v>738</v>
      </c>
      <c r="C457" s="2" t="s">
        <v>739</v>
      </c>
      <c r="D457" s="2" t="s">
        <v>29</v>
      </c>
      <c r="E457" s="2" t="s">
        <v>19</v>
      </c>
      <c r="F457" s="2">
        <v>6.291736322E9</v>
      </c>
    </row>
    <row r="458" ht="15.75" customHeight="1">
      <c r="A458" s="2" t="s">
        <v>731</v>
      </c>
      <c r="B458" s="2" t="s">
        <v>191</v>
      </c>
      <c r="C458" s="2" t="s">
        <v>740</v>
      </c>
      <c r="D458" s="2" t="s">
        <v>26</v>
      </c>
      <c r="E458" s="2" t="s">
        <v>23</v>
      </c>
      <c r="F458" s="2">
        <v>7.851122612E9</v>
      </c>
    </row>
    <row r="459" ht="15.75" customHeight="1">
      <c r="A459" s="2" t="s">
        <v>450</v>
      </c>
      <c r="B459" s="2" t="s">
        <v>212</v>
      </c>
      <c r="C459" s="2" t="s">
        <v>741</v>
      </c>
      <c r="D459" s="2" t="s">
        <v>44</v>
      </c>
      <c r="E459" s="2" t="s">
        <v>19</v>
      </c>
      <c r="F459" s="2">
        <v>9.0107262E9</v>
      </c>
    </row>
    <row r="460" ht="15.75" customHeight="1">
      <c r="A460" s="2" t="s">
        <v>717</v>
      </c>
      <c r="B460" s="2" t="s">
        <v>276</v>
      </c>
      <c r="C460" s="2" t="s">
        <v>181</v>
      </c>
      <c r="D460" s="2" t="s">
        <v>56</v>
      </c>
      <c r="E460" s="2" t="s">
        <v>19</v>
      </c>
      <c r="F460" s="2">
        <v>6.205046766E9</v>
      </c>
    </row>
    <row r="461" ht="15.75" customHeight="1">
      <c r="A461" s="2" t="s">
        <v>742</v>
      </c>
      <c r="B461" s="2" t="s">
        <v>743</v>
      </c>
      <c r="C461" s="2" t="s">
        <v>739</v>
      </c>
      <c r="D461" s="2" t="s">
        <v>29</v>
      </c>
      <c r="E461" s="2" t="s">
        <v>19</v>
      </c>
      <c r="F461" s="2">
        <v>9.330942283E9</v>
      </c>
    </row>
    <row r="462" ht="15.75" customHeight="1">
      <c r="A462" s="2" t="s">
        <v>724</v>
      </c>
      <c r="B462" s="2" t="s">
        <v>724</v>
      </c>
      <c r="C462" s="2" t="s">
        <v>249</v>
      </c>
      <c r="D462" s="2" t="s">
        <v>56</v>
      </c>
      <c r="E462" s="2" t="s">
        <v>23</v>
      </c>
      <c r="F462" s="2">
        <v>7.489370112E9</v>
      </c>
    </row>
    <row r="463" ht="15.75" customHeight="1">
      <c r="A463" s="2" t="s">
        <v>744</v>
      </c>
      <c r="B463" s="2" t="s">
        <v>52</v>
      </c>
      <c r="C463" s="2" t="s">
        <v>277</v>
      </c>
      <c r="D463" s="2" t="s">
        <v>26</v>
      </c>
      <c r="E463" s="2" t="s">
        <v>19</v>
      </c>
      <c r="F463" s="2">
        <v>9.570630849E9</v>
      </c>
    </row>
    <row r="464" ht="15.75" customHeight="1">
      <c r="A464" s="2" t="s">
        <v>745</v>
      </c>
      <c r="B464" s="2" t="s">
        <v>746</v>
      </c>
      <c r="C464" s="2" t="s">
        <v>655</v>
      </c>
      <c r="D464" s="2" t="s">
        <v>26</v>
      </c>
      <c r="E464" s="2" t="s">
        <v>19</v>
      </c>
      <c r="F464" s="2">
        <v>7.488466414E9</v>
      </c>
    </row>
    <row r="465" ht="15.75" customHeight="1">
      <c r="A465" s="2" t="s">
        <v>747</v>
      </c>
      <c r="B465" s="2" t="s">
        <v>748</v>
      </c>
      <c r="C465" s="2" t="s">
        <v>749</v>
      </c>
      <c r="D465" s="2" t="s">
        <v>29</v>
      </c>
      <c r="E465" s="2" t="s">
        <v>19</v>
      </c>
      <c r="F465" s="2">
        <v>9.831334347E9</v>
      </c>
    </row>
    <row r="466" ht="15.75" customHeight="1">
      <c r="A466" s="2" t="s">
        <v>731</v>
      </c>
      <c r="B466" s="2" t="s">
        <v>191</v>
      </c>
      <c r="C466" s="2" t="s">
        <v>667</v>
      </c>
      <c r="D466" s="2" t="s">
        <v>9</v>
      </c>
      <c r="E466" s="2" t="s">
        <v>23</v>
      </c>
      <c r="F466" s="2">
        <v>7.991137452E9</v>
      </c>
    </row>
    <row r="467" ht="15.75" customHeight="1">
      <c r="A467" s="2" t="s">
        <v>750</v>
      </c>
      <c r="B467" s="2" t="s">
        <v>654</v>
      </c>
      <c r="C467" s="2" t="s">
        <v>697</v>
      </c>
      <c r="D467" s="2" t="s">
        <v>29</v>
      </c>
      <c r="E467" s="2" t="s">
        <v>19</v>
      </c>
      <c r="F467" s="2">
        <v>9.930131961E9</v>
      </c>
    </row>
    <row r="468" ht="15.75" customHeight="1">
      <c r="A468" s="2" t="s">
        <v>73</v>
      </c>
      <c r="B468" s="2" t="s">
        <v>499</v>
      </c>
      <c r="C468" s="2" t="s">
        <v>133</v>
      </c>
      <c r="D468" s="2" t="s">
        <v>56</v>
      </c>
      <c r="E468" s="2" t="s">
        <v>19</v>
      </c>
      <c r="F468" s="2">
        <v>9.852740721E9</v>
      </c>
    </row>
    <row r="469" ht="15.75" customHeight="1">
      <c r="A469" s="2" t="s">
        <v>751</v>
      </c>
      <c r="B469" s="2" t="s">
        <v>191</v>
      </c>
      <c r="C469" s="2" t="s">
        <v>752</v>
      </c>
      <c r="D469" s="2" t="s">
        <v>14</v>
      </c>
      <c r="E469" s="2" t="s">
        <v>23</v>
      </c>
      <c r="F469" s="2">
        <v>8.986320319E9</v>
      </c>
    </row>
    <row r="470" ht="15.75" customHeight="1">
      <c r="A470" s="2" t="s">
        <v>318</v>
      </c>
      <c r="B470" s="2" t="s">
        <v>119</v>
      </c>
      <c r="C470" s="2" t="s">
        <v>753</v>
      </c>
      <c r="D470" s="2" t="s">
        <v>29</v>
      </c>
      <c r="E470" s="2" t="s">
        <v>19</v>
      </c>
      <c r="F470" s="2">
        <v>7.004079639E9</v>
      </c>
    </row>
    <row r="471" ht="15.75" customHeight="1">
      <c r="A471" s="2" t="s">
        <v>754</v>
      </c>
      <c r="B471" s="2" t="s">
        <v>755</v>
      </c>
      <c r="C471" s="2" t="s">
        <v>756</v>
      </c>
      <c r="D471" s="2" t="s">
        <v>26</v>
      </c>
      <c r="E471" s="2" t="s">
        <v>195</v>
      </c>
      <c r="F471" s="2">
        <v>9.98710483E9</v>
      </c>
    </row>
    <row r="472" ht="15.75" customHeight="1">
      <c r="A472" s="2" t="s">
        <v>757</v>
      </c>
      <c r="B472" s="2" t="s">
        <v>758</v>
      </c>
      <c r="C472" s="2" t="s">
        <v>759</v>
      </c>
      <c r="D472" s="2" t="s">
        <v>29</v>
      </c>
      <c r="E472" s="2" t="s">
        <v>19</v>
      </c>
      <c r="F472" s="2">
        <v>9.903403182E9</v>
      </c>
    </row>
    <row r="473" ht="15.75" customHeight="1">
      <c r="A473" s="2" t="s">
        <v>760</v>
      </c>
      <c r="B473" s="2" t="s">
        <v>52</v>
      </c>
      <c r="C473" s="2" t="s">
        <v>761</v>
      </c>
      <c r="D473" s="2" t="s">
        <v>26</v>
      </c>
      <c r="E473" s="2" t="s">
        <v>19</v>
      </c>
      <c r="F473" s="2">
        <v>8.210102255E9</v>
      </c>
    </row>
    <row r="474" ht="15.75" customHeight="1">
      <c r="A474" s="2" t="s">
        <v>73</v>
      </c>
      <c r="B474" s="2" t="s">
        <v>108</v>
      </c>
      <c r="C474" s="2" t="s">
        <v>739</v>
      </c>
      <c r="D474" s="2" t="s">
        <v>29</v>
      </c>
      <c r="E474" s="2" t="s">
        <v>19</v>
      </c>
      <c r="F474" s="2">
        <v>6.28926341E9</v>
      </c>
    </row>
    <row r="475" ht="15.75" customHeight="1">
      <c r="A475" s="2" t="s">
        <v>294</v>
      </c>
      <c r="B475" s="2" t="s">
        <v>88</v>
      </c>
      <c r="C475" s="2" t="s">
        <v>632</v>
      </c>
      <c r="D475" s="2" t="s">
        <v>9</v>
      </c>
      <c r="E475" s="2" t="s">
        <v>23</v>
      </c>
      <c r="F475" s="2">
        <v>7.667543559E9</v>
      </c>
    </row>
    <row r="476" ht="15.75" customHeight="1">
      <c r="A476" s="2" t="s">
        <v>762</v>
      </c>
      <c r="B476" s="2" t="s">
        <v>55</v>
      </c>
      <c r="C476" s="2" t="s">
        <v>133</v>
      </c>
      <c r="D476" s="2" t="s">
        <v>26</v>
      </c>
      <c r="E476" s="2" t="s">
        <v>19</v>
      </c>
      <c r="F476" s="2">
        <v>7.903135869E9</v>
      </c>
    </row>
    <row r="477" ht="15.75" customHeight="1">
      <c r="A477" s="2" t="s">
        <v>565</v>
      </c>
      <c r="B477" s="2" t="s">
        <v>50</v>
      </c>
      <c r="C477" s="2" t="s">
        <v>697</v>
      </c>
      <c r="D477" s="2" t="s">
        <v>29</v>
      </c>
      <c r="E477" s="2" t="s">
        <v>19</v>
      </c>
      <c r="F477" s="2">
        <v>6.291922381E9</v>
      </c>
    </row>
    <row r="478" ht="15.75" customHeight="1">
      <c r="A478" s="2" t="s">
        <v>218</v>
      </c>
      <c r="B478" s="2" t="s">
        <v>88</v>
      </c>
      <c r="C478" s="2" t="s">
        <v>763</v>
      </c>
      <c r="D478" s="2" t="s">
        <v>26</v>
      </c>
      <c r="E478" s="2" t="s">
        <v>19</v>
      </c>
      <c r="F478" s="2">
        <v>8.252344643E9</v>
      </c>
    </row>
    <row r="479" ht="15.75" customHeight="1">
      <c r="A479" s="2" t="s">
        <v>764</v>
      </c>
      <c r="B479" s="2" t="s">
        <v>765</v>
      </c>
      <c r="C479" s="2" t="s">
        <v>697</v>
      </c>
      <c r="D479" s="2" t="s">
        <v>29</v>
      </c>
      <c r="E479" s="2" t="s">
        <v>19</v>
      </c>
      <c r="F479" s="2">
        <v>9.674861689E9</v>
      </c>
    </row>
    <row r="480" ht="15.75" customHeight="1">
      <c r="A480" s="2" t="s">
        <v>766</v>
      </c>
      <c r="B480" s="2" t="s">
        <v>499</v>
      </c>
      <c r="C480" s="2" t="s">
        <v>200</v>
      </c>
      <c r="D480" s="2" t="s">
        <v>26</v>
      </c>
      <c r="E480" s="2" t="s">
        <v>19</v>
      </c>
      <c r="F480" s="2">
        <v>9.620323109E9</v>
      </c>
    </row>
    <row r="481" ht="15.75" customHeight="1">
      <c r="A481" s="2" t="s">
        <v>294</v>
      </c>
      <c r="B481" s="2" t="s">
        <v>614</v>
      </c>
      <c r="C481" s="2" t="s">
        <v>767</v>
      </c>
      <c r="D481" s="2" t="s">
        <v>14</v>
      </c>
      <c r="E481" s="2" t="s">
        <v>23</v>
      </c>
      <c r="F481" s="2">
        <v>8.789678413E9</v>
      </c>
    </row>
    <row r="482" ht="15.75" customHeight="1">
      <c r="A482" s="2" t="s">
        <v>768</v>
      </c>
      <c r="B482" s="2" t="s">
        <v>108</v>
      </c>
      <c r="C482" s="2" t="s">
        <v>739</v>
      </c>
      <c r="D482" s="2" t="s">
        <v>29</v>
      </c>
      <c r="E482" s="2" t="s">
        <v>19</v>
      </c>
      <c r="F482" s="2">
        <v>7.980150395E9</v>
      </c>
    </row>
    <row r="483" ht="15.75" customHeight="1">
      <c r="A483" s="2" t="s">
        <v>769</v>
      </c>
      <c r="B483" s="2" t="s">
        <v>770</v>
      </c>
      <c r="C483" s="2" t="s">
        <v>713</v>
      </c>
      <c r="D483" s="2" t="s">
        <v>14</v>
      </c>
      <c r="E483" s="2" t="s">
        <v>23</v>
      </c>
      <c r="F483" s="2">
        <v>8.831742689E9</v>
      </c>
    </row>
    <row r="484" ht="15.75" customHeight="1">
      <c r="A484" s="2" t="s">
        <v>721</v>
      </c>
      <c r="B484" s="2" t="s">
        <v>771</v>
      </c>
      <c r="C484" s="2" t="s">
        <v>61</v>
      </c>
      <c r="D484" s="2" t="s">
        <v>56</v>
      </c>
      <c r="E484" s="2" t="s">
        <v>19</v>
      </c>
      <c r="F484" s="2">
        <v>7.857063489E9</v>
      </c>
    </row>
    <row r="485" ht="15.75" customHeight="1">
      <c r="A485" s="2" t="s">
        <v>772</v>
      </c>
      <c r="B485" s="2" t="s">
        <v>50</v>
      </c>
      <c r="C485" s="2" t="s">
        <v>133</v>
      </c>
      <c r="D485" s="2" t="s">
        <v>26</v>
      </c>
      <c r="E485" s="2" t="s">
        <v>19</v>
      </c>
      <c r="F485" s="2">
        <v>6.281653022E9</v>
      </c>
    </row>
    <row r="486" ht="15.75" customHeight="1">
      <c r="A486" s="2" t="s">
        <v>773</v>
      </c>
      <c r="B486" s="2" t="s">
        <v>552</v>
      </c>
      <c r="C486" s="2" t="s">
        <v>323</v>
      </c>
      <c r="D486" s="2" t="s">
        <v>9</v>
      </c>
      <c r="E486" s="2" t="s">
        <v>23</v>
      </c>
      <c r="F486" s="2">
        <v>9.417657473E9</v>
      </c>
    </row>
    <row r="487" ht="15.75" customHeight="1">
      <c r="A487" s="2" t="s">
        <v>406</v>
      </c>
      <c r="B487" s="2" t="s">
        <v>499</v>
      </c>
      <c r="C487" s="2" t="s">
        <v>133</v>
      </c>
      <c r="D487" s="2" t="s">
        <v>14</v>
      </c>
      <c r="E487" s="2" t="s">
        <v>19</v>
      </c>
      <c r="F487" s="2">
        <v>7.094087966E9</v>
      </c>
    </row>
    <row r="488" ht="15.75" customHeight="1">
      <c r="A488" s="2" t="s">
        <v>774</v>
      </c>
      <c r="B488" s="2" t="s">
        <v>50</v>
      </c>
      <c r="C488" s="2" t="s">
        <v>133</v>
      </c>
      <c r="D488" s="2" t="s">
        <v>26</v>
      </c>
      <c r="E488" s="2" t="s">
        <v>19</v>
      </c>
      <c r="F488" s="2">
        <v>6.281653022E9</v>
      </c>
    </row>
    <row r="489" ht="15.75" customHeight="1">
      <c r="A489" s="2" t="s">
        <v>775</v>
      </c>
      <c r="B489" s="2" t="s">
        <v>776</v>
      </c>
      <c r="C489" s="2" t="s">
        <v>648</v>
      </c>
      <c r="D489" s="2" t="s">
        <v>26</v>
      </c>
      <c r="E489" s="2" t="s">
        <v>23</v>
      </c>
      <c r="F489" s="2">
        <v>7.667630211E9</v>
      </c>
    </row>
    <row r="490" ht="15.75" customHeight="1">
      <c r="A490" s="2" t="s">
        <v>777</v>
      </c>
      <c r="B490" s="2" t="s">
        <v>55</v>
      </c>
      <c r="C490" s="2" t="s">
        <v>181</v>
      </c>
      <c r="D490" s="2" t="s">
        <v>26</v>
      </c>
      <c r="E490" s="2" t="s">
        <v>19</v>
      </c>
      <c r="F490" s="2">
        <v>9.173243781E9</v>
      </c>
    </row>
    <row r="491" ht="15.75" customHeight="1">
      <c r="A491" s="2" t="s">
        <v>241</v>
      </c>
      <c r="B491" s="2" t="s">
        <v>55</v>
      </c>
      <c r="C491" s="2" t="s">
        <v>246</v>
      </c>
      <c r="D491" s="2" t="s">
        <v>26</v>
      </c>
      <c r="E491" s="2" t="s">
        <v>255</v>
      </c>
      <c r="F491" s="2">
        <v>9.155877815E9</v>
      </c>
    </row>
    <row r="492" ht="15.75" customHeight="1">
      <c r="A492" s="2" t="s">
        <v>778</v>
      </c>
      <c r="B492" s="2" t="s">
        <v>779</v>
      </c>
      <c r="C492" s="2" t="s">
        <v>228</v>
      </c>
      <c r="D492" s="2" t="s">
        <v>56</v>
      </c>
      <c r="E492" s="2" t="s">
        <v>19</v>
      </c>
      <c r="F492" s="2">
        <v>8.6170821E9</v>
      </c>
    </row>
    <row r="493" ht="15.75" customHeight="1">
      <c r="A493" s="2" t="s">
        <v>94</v>
      </c>
      <c r="B493" s="2" t="s">
        <v>780</v>
      </c>
      <c r="C493" s="2" t="s">
        <v>181</v>
      </c>
      <c r="D493" s="2" t="s">
        <v>26</v>
      </c>
      <c r="E493" s="2" t="s">
        <v>19</v>
      </c>
      <c r="F493" s="2">
        <v>9.771610243E9</v>
      </c>
    </row>
    <row r="494" ht="15.75" customHeight="1">
      <c r="A494" s="2" t="s">
        <v>781</v>
      </c>
      <c r="B494" s="2" t="s">
        <v>55</v>
      </c>
      <c r="C494" s="2" t="s">
        <v>632</v>
      </c>
      <c r="D494" s="2" t="s">
        <v>29</v>
      </c>
      <c r="E494" s="2" t="s">
        <v>23</v>
      </c>
      <c r="F494" s="2">
        <v>7.667052854E9</v>
      </c>
    </row>
    <row r="495" ht="15.75" customHeight="1">
      <c r="A495" s="2" t="s">
        <v>782</v>
      </c>
      <c r="B495" s="2" t="s">
        <v>276</v>
      </c>
      <c r="C495" s="2" t="s">
        <v>58</v>
      </c>
      <c r="D495" s="2" t="s">
        <v>26</v>
      </c>
      <c r="E495" s="2" t="s">
        <v>19</v>
      </c>
      <c r="F495" s="2">
        <v>7.033946846E9</v>
      </c>
    </row>
    <row r="496" ht="15.75" customHeight="1">
      <c r="A496" s="2" t="s">
        <v>783</v>
      </c>
      <c r="B496" s="2" t="s">
        <v>88</v>
      </c>
      <c r="C496" s="2" t="s">
        <v>249</v>
      </c>
      <c r="D496" s="2" t="s">
        <v>26</v>
      </c>
      <c r="E496" s="2" t="s">
        <v>23</v>
      </c>
      <c r="F496" s="2">
        <v>7.762925242E9</v>
      </c>
    </row>
    <row r="497" ht="15.75" customHeight="1">
      <c r="A497" s="2" t="s">
        <v>784</v>
      </c>
      <c r="B497" s="2" t="s">
        <v>52</v>
      </c>
      <c r="C497" s="2" t="s">
        <v>181</v>
      </c>
      <c r="D497" s="2" t="s">
        <v>26</v>
      </c>
      <c r="E497" s="2" t="s">
        <v>19</v>
      </c>
      <c r="F497" s="2">
        <v>9.82514483E9</v>
      </c>
    </row>
    <row r="498" ht="15.75" customHeight="1">
      <c r="A498" s="2" t="s">
        <v>785</v>
      </c>
      <c r="B498" s="2" t="s">
        <v>786</v>
      </c>
      <c r="C498" s="2" t="s">
        <v>156</v>
      </c>
      <c r="D498" s="2" t="s">
        <v>44</v>
      </c>
      <c r="E498" s="2" t="s">
        <v>19</v>
      </c>
      <c r="F498" s="2">
        <v>8.404822801E9</v>
      </c>
    </row>
    <row r="499" ht="15.75" customHeight="1">
      <c r="A499" s="2" t="s">
        <v>787</v>
      </c>
      <c r="B499" s="2" t="s">
        <v>559</v>
      </c>
      <c r="C499" s="2" t="s">
        <v>648</v>
      </c>
      <c r="D499" s="2" t="s">
        <v>44</v>
      </c>
      <c r="E499" s="2" t="s">
        <v>23</v>
      </c>
      <c r="F499" s="2">
        <v>6.207580145E9</v>
      </c>
    </row>
    <row r="500" ht="15.75" customHeight="1">
      <c r="A500" s="2" t="s">
        <v>788</v>
      </c>
      <c r="B500" s="2" t="s">
        <v>789</v>
      </c>
      <c r="C500" s="2" t="s">
        <v>133</v>
      </c>
      <c r="D500" s="2" t="s">
        <v>26</v>
      </c>
      <c r="E500" s="2" t="s">
        <v>19</v>
      </c>
      <c r="F500" s="2">
        <v>8.969113651E9</v>
      </c>
    </row>
    <row r="501" ht="15.75" customHeight="1">
      <c r="A501" s="2" t="s">
        <v>790</v>
      </c>
      <c r="B501" s="2" t="s">
        <v>499</v>
      </c>
      <c r="C501" s="2" t="s">
        <v>133</v>
      </c>
      <c r="D501" s="2" t="s">
        <v>26</v>
      </c>
      <c r="E501" s="2" t="s">
        <v>19</v>
      </c>
      <c r="F501" s="2">
        <v>9.031306785E9</v>
      </c>
    </row>
    <row r="502" ht="15.75" customHeight="1">
      <c r="A502" s="2" t="s">
        <v>791</v>
      </c>
      <c r="B502" s="2" t="s">
        <v>398</v>
      </c>
      <c r="C502" s="2" t="s">
        <v>792</v>
      </c>
      <c r="D502" s="2" t="s">
        <v>26</v>
      </c>
      <c r="E502" s="2" t="s">
        <v>23</v>
      </c>
      <c r="F502" s="2">
        <v>7.781993515E9</v>
      </c>
    </row>
    <row r="503" ht="15.75" customHeight="1">
      <c r="A503" s="2" t="s">
        <v>69</v>
      </c>
      <c r="B503" s="2" t="s">
        <v>88</v>
      </c>
      <c r="C503" s="2" t="s">
        <v>793</v>
      </c>
      <c r="D503" s="2" t="s">
        <v>44</v>
      </c>
      <c r="E503" s="2" t="s">
        <v>19</v>
      </c>
      <c r="F503" s="2">
        <v>7.631639292E9</v>
      </c>
    </row>
    <row r="504" ht="15.75" customHeight="1">
      <c r="A504" s="2" t="s">
        <v>794</v>
      </c>
      <c r="B504" s="2" t="s">
        <v>55</v>
      </c>
      <c r="C504" s="2" t="s">
        <v>237</v>
      </c>
      <c r="D504" s="2" t="s">
        <v>9</v>
      </c>
      <c r="E504" s="2" t="s">
        <v>255</v>
      </c>
      <c r="F504" s="2">
        <v>9.608888331E9</v>
      </c>
    </row>
    <row r="505" ht="15.75" customHeight="1">
      <c r="A505" s="2" t="s">
        <v>96</v>
      </c>
      <c r="B505" s="2" t="s">
        <v>344</v>
      </c>
      <c r="C505" s="2" t="s">
        <v>133</v>
      </c>
      <c r="D505" s="2" t="s">
        <v>26</v>
      </c>
      <c r="E505" s="2" t="s">
        <v>19</v>
      </c>
      <c r="F505" s="2">
        <v>7.853653091E9</v>
      </c>
    </row>
    <row r="506" ht="15.75" customHeight="1">
      <c r="A506" s="2" t="s">
        <v>795</v>
      </c>
      <c r="B506" s="2" t="s">
        <v>55</v>
      </c>
      <c r="C506" s="2" t="s">
        <v>221</v>
      </c>
      <c r="D506" s="2" t="s">
        <v>26</v>
      </c>
      <c r="E506" s="2" t="s">
        <v>19</v>
      </c>
      <c r="F506" s="2">
        <v>8.797087117E9</v>
      </c>
    </row>
    <row r="507" ht="15.75" customHeight="1">
      <c r="A507" s="2" t="s">
        <v>796</v>
      </c>
      <c r="B507" s="2" t="s">
        <v>797</v>
      </c>
      <c r="C507" s="2" t="s">
        <v>798</v>
      </c>
      <c r="D507" s="2" t="s">
        <v>26</v>
      </c>
      <c r="E507" s="2" t="s">
        <v>23</v>
      </c>
      <c r="F507" s="2">
        <v>6.207243037E9</v>
      </c>
    </row>
    <row r="508" ht="15.75" customHeight="1">
      <c r="A508" s="2" t="s">
        <v>799</v>
      </c>
      <c r="B508" s="2" t="s">
        <v>50</v>
      </c>
      <c r="C508" s="2" t="s">
        <v>181</v>
      </c>
      <c r="D508" s="2" t="s">
        <v>26</v>
      </c>
      <c r="E508" s="2" t="s">
        <v>19</v>
      </c>
      <c r="F508" s="2">
        <v>7.632904067E9</v>
      </c>
    </row>
    <row r="509" ht="15.75" customHeight="1">
      <c r="A509" s="2" t="s">
        <v>800</v>
      </c>
      <c r="B509" s="2" t="s">
        <v>212</v>
      </c>
      <c r="C509" s="2" t="s">
        <v>655</v>
      </c>
      <c r="D509" s="2" t="s">
        <v>56</v>
      </c>
      <c r="E509" s="2" t="s">
        <v>19</v>
      </c>
      <c r="F509" s="2">
        <v>8.972323445E9</v>
      </c>
    </row>
    <row r="510" ht="15.75" customHeight="1">
      <c r="A510" s="2" t="s">
        <v>149</v>
      </c>
      <c r="B510" s="2" t="s">
        <v>801</v>
      </c>
      <c r="C510" s="2" t="s">
        <v>156</v>
      </c>
      <c r="D510" s="2" t="s">
        <v>9</v>
      </c>
      <c r="E510" s="2" t="s">
        <v>19</v>
      </c>
      <c r="F510" s="2">
        <v>8.252793088E9</v>
      </c>
    </row>
    <row r="511" ht="15.75" customHeight="1">
      <c r="A511" s="2" t="s">
        <v>802</v>
      </c>
      <c r="B511" s="2" t="s">
        <v>50</v>
      </c>
      <c r="C511" s="2" t="s">
        <v>133</v>
      </c>
      <c r="D511" s="2" t="s">
        <v>26</v>
      </c>
      <c r="E511" s="2" t="s">
        <v>19</v>
      </c>
      <c r="F511" s="2">
        <v>7.558375104E9</v>
      </c>
    </row>
    <row r="512" ht="15.75" customHeight="1">
      <c r="A512" s="2" t="s">
        <v>24</v>
      </c>
      <c r="B512" s="2" t="s">
        <v>499</v>
      </c>
      <c r="C512" s="2" t="s">
        <v>133</v>
      </c>
      <c r="D512" s="2" t="s">
        <v>44</v>
      </c>
      <c r="E512" s="2" t="s">
        <v>19</v>
      </c>
      <c r="F512" s="2">
        <v>9.835471885E9</v>
      </c>
    </row>
    <row r="513" ht="15.75" customHeight="1">
      <c r="A513" s="2" t="s">
        <v>803</v>
      </c>
      <c r="B513" s="2" t="s">
        <v>55</v>
      </c>
      <c r="C513" s="2" t="s">
        <v>804</v>
      </c>
      <c r="D513" s="2" t="s">
        <v>26</v>
      </c>
      <c r="E513" s="2" t="s">
        <v>23</v>
      </c>
      <c r="F513" s="2">
        <v>9.523676626E9</v>
      </c>
    </row>
    <row r="514" ht="15.75" customHeight="1">
      <c r="A514" s="2" t="s">
        <v>805</v>
      </c>
      <c r="B514" s="2" t="s">
        <v>614</v>
      </c>
      <c r="C514" s="2" t="s">
        <v>806</v>
      </c>
      <c r="D514" s="2" t="s">
        <v>26</v>
      </c>
      <c r="E514" s="2" t="s">
        <v>23</v>
      </c>
      <c r="F514" s="2">
        <v>9.693808911E9</v>
      </c>
    </row>
    <row r="515" ht="15.75" customHeight="1">
      <c r="A515" s="2" t="s">
        <v>222</v>
      </c>
      <c r="B515" s="2" t="s">
        <v>69</v>
      </c>
      <c r="C515" s="2" t="s">
        <v>330</v>
      </c>
      <c r="D515" s="2" t="s">
        <v>44</v>
      </c>
      <c r="E515" s="2" t="s">
        <v>19</v>
      </c>
      <c r="F515" s="2">
        <v>7.033175024E9</v>
      </c>
    </row>
    <row r="516" ht="15.75" customHeight="1">
      <c r="A516" s="2" t="s">
        <v>807</v>
      </c>
      <c r="B516" s="2" t="s">
        <v>55</v>
      </c>
      <c r="C516" s="2" t="s">
        <v>246</v>
      </c>
      <c r="D516" s="2" t="s">
        <v>56</v>
      </c>
      <c r="E516" s="2" t="s">
        <v>255</v>
      </c>
      <c r="F516" s="2">
        <v>9.608862481E9</v>
      </c>
    </row>
    <row r="517" ht="15.75" customHeight="1">
      <c r="A517" s="2" t="s">
        <v>130</v>
      </c>
      <c r="B517" s="2" t="s">
        <v>65</v>
      </c>
      <c r="C517" s="2" t="s">
        <v>576</v>
      </c>
      <c r="D517" s="2" t="s">
        <v>56</v>
      </c>
      <c r="E517" s="2" t="s">
        <v>19</v>
      </c>
      <c r="F517" s="2">
        <v>7.667303219E9</v>
      </c>
    </row>
    <row r="518" ht="15.75" customHeight="1">
      <c r="A518" s="2" t="s">
        <v>808</v>
      </c>
      <c r="B518" s="2" t="s">
        <v>55</v>
      </c>
      <c r="C518" s="2" t="s">
        <v>809</v>
      </c>
      <c r="D518" s="2" t="s">
        <v>56</v>
      </c>
      <c r="E518" s="2" t="s">
        <v>23</v>
      </c>
      <c r="F518" s="2">
        <v>9.1629227E9</v>
      </c>
    </row>
    <row r="519" ht="15.75" customHeight="1">
      <c r="A519" s="2" t="s">
        <v>810</v>
      </c>
      <c r="B519" s="2" t="s">
        <v>811</v>
      </c>
      <c r="C519" s="2" t="s">
        <v>423</v>
      </c>
      <c r="D519" s="2" t="s">
        <v>9</v>
      </c>
      <c r="E519" s="2" t="s">
        <v>19</v>
      </c>
      <c r="F519" s="2">
        <v>7.761974704E9</v>
      </c>
    </row>
    <row r="520" ht="15.75" customHeight="1">
      <c r="A520" s="2" t="s">
        <v>613</v>
      </c>
      <c r="B520" s="2" t="s">
        <v>212</v>
      </c>
      <c r="C520" s="2" t="s">
        <v>812</v>
      </c>
      <c r="D520" s="2" t="s">
        <v>26</v>
      </c>
      <c r="E520" s="2" t="s">
        <v>255</v>
      </c>
      <c r="F520" s="2">
        <v>8.252658223E9</v>
      </c>
    </row>
    <row r="521" ht="15.75" customHeight="1">
      <c r="A521" s="2" t="s">
        <v>813</v>
      </c>
      <c r="B521" s="2" t="s">
        <v>50</v>
      </c>
      <c r="C521" s="2" t="s">
        <v>576</v>
      </c>
      <c r="D521" s="2" t="s">
        <v>26</v>
      </c>
      <c r="E521" s="2" t="s">
        <v>19</v>
      </c>
      <c r="F521" s="2">
        <v>9.798677972E9</v>
      </c>
    </row>
    <row r="522" ht="15.75" customHeight="1">
      <c r="A522" s="2" t="s">
        <v>241</v>
      </c>
      <c r="B522" s="2" t="s">
        <v>212</v>
      </c>
      <c r="C522" s="2" t="s">
        <v>249</v>
      </c>
      <c r="D522" s="2" t="s">
        <v>14</v>
      </c>
      <c r="E522" s="2" t="s">
        <v>23</v>
      </c>
      <c r="F522" s="2">
        <v>7.889526121E9</v>
      </c>
    </row>
    <row r="523" ht="15.75" customHeight="1">
      <c r="A523" s="2" t="s">
        <v>814</v>
      </c>
      <c r="B523" s="2" t="s">
        <v>815</v>
      </c>
      <c r="C523" s="2" t="s">
        <v>556</v>
      </c>
      <c r="D523" s="2" t="s">
        <v>26</v>
      </c>
      <c r="E523" s="2" t="s">
        <v>255</v>
      </c>
      <c r="F523" s="2">
        <v>7.763855359E9</v>
      </c>
    </row>
    <row r="524" ht="15.75" customHeight="1">
      <c r="A524" s="2" t="s">
        <v>816</v>
      </c>
      <c r="B524" s="2" t="s">
        <v>52</v>
      </c>
      <c r="C524" s="2" t="s">
        <v>817</v>
      </c>
      <c r="D524" s="2" t="s">
        <v>9</v>
      </c>
      <c r="E524" s="2" t="s">
        <v>19</v>
      </c>
      <c r="F524" s="2">
        <v>8.541041788E9</v>
      </c>
    </row>
    <row r="525" ht="15.75" customHeight="1">
      <c r="A525" s="2" t="s">
        <v>818</v>
      </c>
      <c r="B525" s="2" t="s">
        <v>303</v>
      </c>
      <c r="C525" s="2" t="s">
        <v>819</v>
      </c>
      <c r="D525" s="2" t="s">
        <v>9</v>
      </c>
      <c r="E525" s="2" t="s">
        <v>23</v>
      </c>
      <c r="F525" s="2">
        <v>9.102747822E9</v>
      </c>
    </row>
    <row r="526" ht="15.75" customHeight="1">
      <c r="A526" s="2" t="s">
        <v>290</v>
      </c>
      <c r="B526" s="2" t="s">
        <v>820</v>
      </c>
      <c r="C526" s="2" t="s">
        <v>821</v>
      </c>
      <c r="D526" s="2" t="s">
        <v>26</v>
      </c>
      <c r="E526" s="2" t="s">
        <v>255</v>
      </c>
      <c r="F526" s="2">
        <v>8.292074701E9</v>
      </c>
    </row>
    <row r="527" ht="15.75" customHeight="1">
      <c r="A527" s="2" t="s">
        <v>822</v>
      </c>
      <c r="B527" s="2" t="s">
        <v>50</v>
      </c>
      <c r="C527" s="2" t="s">
        <v>423</v>
      </c>
      <c r="D527" s="2" t="s">
        <v>56</v>
      </c>
      <c r="E527" s="2" t="s">
        <v>19</v>
      </c>
      <c r="F527" s="2">
        <v>8.797282678E9</v>
      </c>
    </row>
    <row r="528" ht="15.75" customHeight="1">
      <c r="A528" s="2" t="s">
        <v>823</v>
      </c>
      <c r="B528" s="2" t="s">
        <v>824</v>
      </c>
      <c r="C528" s="2" t="s">
        <v>825</v>
      </c>
      <c r="D528" s="2" t="s">
        <v>44</v>
      </c>
      <c r="E528" s="2" t="s">
        <v>826</v>
      </c>
      <c r="F528" s="2">
        <v>9.914501756E9</v>
      </c>
    </row>
    <row r="529" ht="15.75" customHeight="1">
      <c r="A529" s="2" t="s">
        <v>52</v>
      </c>
      <c r="B529" s="2" t="s">
        <v>827</v>
      </c>
      <c r="C529" s="2" t="s">
        <v>249</v>
      </c>
      <c r="D529" s="2" t="s">
        <v>44</v>
      </c>
      <c r="E529" s="2" t="s">
        <v>23</v>
      </c>
      <c r="F529" s="2">
        <v>6.205144751E9</v>
      </c>
    </row>
    <row r="530" ht="15.75" customHeight="1">
      <c r="A530" s="2" t="s">
        <v>104</v>
      </c>
      <c r="B530" s="2" t="s">
        <v>119</v>
      </c>
      <c r="C530" s="2" t="s">
        <v>828</v>
      </c>
      <c r="D530" s="2" t="s">
        <v>56</v>
      </c>
      <c r="E530" s="2" t="s">
        <v>19</v>
      </c>
      <c r="F530" s="2">
        <v>9.930885366E9</v>
      </c>
    </row>
    <row r="531" ht="15.75" customHeight="1">
      <c r="A531" s="2" t="s">
        <v>829</v>
      </c>
      <c r="B531" s="2" t="s">
        <v>830</v>
      </c>
      <c r="C531" s="2" t="s">
        <v>223</v>
      </c>
      <c r="D531" s="2" t="s">
        <v>29</v>
      </c>
      <c r="E531" s="2" t="s">
        <v>255</v>
      </c>
      <c r="F531" s="2">
        <v>7.250760879E9</v>
      </c>
    </row>
    <row r="532" ht="15.75" customHeight="1">
      <c r="A532" s="2" t="s">
        <v>831</v>
      </c>
      <c r="B532" s="2" t="s">
        <v>832</v>
      </c>
      <c r="C532" s="2" t="s">
        <v>181</v>
      </c>
      <c r="D532" s="2" t="s">
        <v>26</v>
      </c>
      <c r="E532" s="2" t="s">
        <v>19</v>
      </c>
      <c r="F532" s="2">
        <v>8.295624009E9</v>
      </c>
    </row>
    <row r="533" ht="15.75" customHeight="1">
      <c r="A533" s="2" t="s">
        <v>833</v>
      </c>
      <c r="B533" s="2" t="s">
        <v>50</v>
      </c>
      <c r="C533" s="2" t="s">
        <v>423</v>
      </c>
      <c r="D533" s="2" t="s">
        <v>56</v>
      </c>
      <c r="E533" s="2" t="s">
        <v>19</v>
      </c>
      <c r="F533" s="2">
        <v>8.709207472E9</v>
      </c>
    </row>
    <row r="534" ht="15.75" customHeight="1">
      <c r="A534" s="2" t="s">
        <v>834</v>
      </c>
      <c r="B534" s="2" t="s">
        <v>55</v>
      </c>
      <c r="C534" s="2" t="s">
        <v>249</v>
      </c>
      <c r="D534" s="2" t="s">
        <v>44</v>
      </c>
      <c r="E534" s="2" t="s">
        <v>23</v>
      </c>
      <c r="F534" s="2">
        <v>9.934449941E9</v>
      </c>
    </row>
    <row r="535" ht="15.75" customHeight="1">
      <c r="A535" s="2" t="s">
        <v>835</v>
      </c>
      <c r="B535" s="2" t="s">
        <v>88</v>
      </c>
      <c r="C535" s="2" t="s">
        <v>836</v>
      </c>
      <c r="D535" s="2" t="s">
        <v>26</v>
      </c>
      <c r="E535" s="2" t="s">
        <v>255</v>
      </c>
      <c r="F535" s="2">
        <v>9.608762871E9</v>
      </c>
    </row>
    <row r="536" ht="15.75" customHeight="1">
      <c r="A536" s="2" t="s">
        <v>837</v>
      </c>
      <c r="B536" s="2" t="s">
        <v>65</v>
      </c>
      <c r="C536" s="2" t="s">
        <v>423</v>
      </c>
      <c r="D536" s="2" t="s">
        <v>56</v>
      </c>
      <c r="E536" s="2" t="s">
        <v>19</v>
      </c>
      <c r="F536" s="2">
        <v>9.709913428E9</v>
      </c>
    </row>
    <row r="537" ht="15.75" customHeight="1">
      <c r="A537" s="2" t="s">
        <v>838</v>
      </c>
      <c r="B537" s="2" t="s">
        <v>203</v>
      </c>
      <c r="C537" s="2" t="s">
        <v>839</v>
      </c>
      <c r="D537" s="2" t="s">
        <v>26</v>
      </c>
      <c r="E537" s="2" t="s">
        <v>23</v>
      </c>
      <c r="F537" s="2">
        <v>8.877033922E9</v>
      </c>
    </row>
    <row r="538" ht="15.75" customHeight="1">
      <c r="A538" s="2" t="s">
        <v>840</v>
      </c>
      <c r="B538" s="2" t="s">
        <v>88</v>
      </c>
      <c r="C538" s="2" t="s">
        <v>423</v>
      </c>
      <c r="D538" s="2" t="s">
        <v>26</v>
      </c>
      <c r="E538" s="2" t="s">
        <v>19</v>
      </c>
      <c r="F538" s="2">
        <v>9.708534548E9</v>
      </c>
    </row>
    <row r="539" ht="15.75" customHeight="1">
      <c r="A539" s="2" t="s">
        <v>841</v>
      </c>
      <c r="B539" s="2" t="s">
        <v>50</v>
      </c>
      <c r="C539" s="2" t="s">
        <v>423</v>
      </c>
      <c r="D539" s="2" t="s">
        <v>26</v>
      </c>
      <c r="E539" s="2" t="s">
        <v>19</v>
      </c>
      <c r="F539" s="2">
        <v>8.521886209E9</v>
      </c>
    </row>
    <row r="540" ht="15.75" customHeight="1">
      <c r="A540" s="2" t="s">
        <v>564</v>
      </c>
      <c r="B540" s="2" t="s">
        <v>842</v>
      </c>
      <c r="C540" s="2" t="s">
        <v>254</v>
      </c>
      <c r="D540" s="2" t="s">
        <v>26</v>
      </c>
      <c r="E540" s="2" t="s">
        <v>255</v>
      </c>
      <c r="F540" s="2">
        <v>7.870404111E9</v>
      </c>
    </row>
    <row r="541" ht="15.75" customHeight="1">
      <c r="A541" s="2" t="s">
        <v>795</v>
      </c>
      <c r="B541" s="2" t="s">
        <v>119</v>
      </c>
      <c r="C541" s="2" t="s">
        <v>423</v>
      </c>
      <c r="D541" s="2" t="s">
        <v>26</v>
      </c>
      <c r="E541" s="2" t="s">
        <v>19</v>
      </c>
      <c r="F541" s="2">
        <v>9.905530202E9</v>
      </c>
    </row>
    <row r="542" ht="15.75" customHeight="1">
      <c r="A542" s="2" t="s">
        <v>843</v>
      </c>
      <c r="B542" s="2" t="s">
        <v>212</v>
      </c>
      <c r="C542" s="2" t="s">
        <v>844</v>
      </c>
      <c r="D542" s="2" t="s">
        <v>44</v>
      </c>
      <c r="E542" s="2" t="s">
        <v>23</v>
      </c>
      <c r="F542" s="2">
        <v>8.210084832E9</v>
      </c>
    </row>
    <row r="543" ht="15.75" customHeight="1">
      <c r="A543" s="2" t="s">
        <v>561</v>
      </c>
      <c r="B543" s="2" t="s">
        <v>212</v>
      </c>
      <c r="C543" s="2" t="s">
        <v>237</v>
      </c>
      <c r="D543" s="2" t="s">
        <v>26</v>
      </c>
      <c r="E543" s="2" t="s">
        <v>255</v>
      </c>
      <c r="F543" s="2">
        <v>7.766837578E9</v>
      </c>
    </row>
    <row r="544" ht="15.75" customHeight="1">
      <c r="A544" s="2" t="s">
        <v>845</v>
      </c>
      <c r="B544" s="2" t="s">
        <v>846</v>
      </c>
      <c r="C544" s="2" t="s">
        <v>210</v>
      </c>
      <c r="D544" s="2" t="s">
        <v>26</v>
      </c>
      <c r="E544" s="2" t="s">
        <v>23</v>
      </c>
      <c r="F544" s="2">
        <v>9.53411125E9</v>
      </c>
    </row>
    <row r="545" ht="15.75" customHeight="1">
      <c r="A545" s="2" t="s">
        <v>847</v>
      </c>
      <c r="B545" s="2" t="s">
        <v>848</v>
      </c>
      <c r="C545" s="2" t="s">
        <v>423</v>
      </c>
      <c r="D545" s="2" t="s">
        <v>56</v>
      </c>
      <c r="E545" s="2" t="s">
        <v>19</v>
      </c>
      <c r="F545" s="2">
        <v>6.206211106E9</v>
      </c>
    </row>
    <row r="546" ht="15.75" customHeight="1">
      <c r="A546" s="2" t="s">
        <v>849</v>
      </c>
      <c r="B546" s="2" t="s">
        <v>850</v>
      </c>
      <c r="C546" s="2" t="s">
        <v>423</v>
      </c>
      <c r="D546" s="2" t="s">
        <v>26</v>
      </c>
      <c r="E546" s="2" t="s">
        <v>19</v>
      </c>
      <c r="F546" s="2">
        <v>7.033508972E9</v>
      </c>
    </row>
    <row r="547" ht="15.75" customHeight="1">
      <c r="A547" s="2" t="s">
        <v>851</v>
      </c>
      <c r="B547" s="2" t="s">
        <v>119</v>
      </c>
      <c r="C547" s="2" t="s">
        <v>423</v>
      </c>
      <c r="D547" s="2" t="s">
        <v>26</v>
      </c>
      <c r="E547" s="2" t="s">
        <v>19</v>
      </c>
      <c r="F547" s="2">
        <v>9.661500003E9</v>
      </c>
    </row>
    <row r="548" ht="15.75" customHeight="1">
      <c r="A548" s="2" t="s">
        <v>852</v>
      </c>
      <c r="B548" s="2" t="s">
        <v>63</v>
      </c>
      <c r="C548" s="2" t="s">
        <v>423</v>
      </c>
      <c r="D548" s="2" t="s">
        <v>26</v>
      </c>
      <c r="E548" s="2" t="s">
        <v>19</v>
      </c>
      <c r="F548" s="2">
        <v>8.298957926E9</v>
      </c>
    </row>
    <row r="549" ht="15.75" customHeight="1">
      <c r="A549" s="2" t="s">
        <v>124</v>
      </c>
      <c r="B549" s="2" t="s">
        <v>50</v>
      </c>
      <c r="C549" s="2" t="s">
        <v>423</v>
      </c>
      <c r="D549" s="2" t="s">
        <v>26</v>
      </c>
      <c r="E549" s="2" t="s">
        <v>19</v>
      </c>
      <c r="F549" s="2">
        <v>6.201786994E9</v>
      </c>
    </row>
    <row r="550" ht="15.75" customHeight="1">
      <c r="A550" s="2" t="s">
        <v>853</v>
      </c>
      <c r="B550" s="2" t="s">
        <v>854</v>
      </c>
      <c r="C550" s="2" t="s">
        <v>423</v>
      </c>
      <c r="D550" s="2" t="s">
        <v>26</v>
      </c>
      <c r="E550" s="2" t="s">
        <v>19</v>
      </c>
      <c r="F550" s="2">
        <v>7.004614868E9</v>
      </c>
    </row>
    <row r="551" ht="15.75" customHeight="1">
      <c r="A551" s="2" t="s">
        <v>855</v>
      </c>
      <c r="B551" s="2" t="s">
        <v>119</v>
      </c>
      <c r="C551" s="2" t="s">
        <v>423</v>
      </c>
      <c r="D551" s="2" t="s">
        <v>26</v>
      </c>
      <c r="E551" s="2" t="s">
        <v>19</v>
      </c>
      <c r="F551" s="2">
        <v>9.608892887E9</v>
      </c>
    </row>
    <row r="552" ht="15.75" customHeight="1">
      <c r="A552" s="2" t="s">
        <v>856</v>
      </c>
      <c r="B552" s="2" t="s">
        <v>212</v>
      </c>
      <c r="C552" s="2" t="s">
        <v>423</v>
      </c>
      <c r="D552" s="2" t="s">
        <v>26</v>
      </c>
      <c r="E552" s="2" t="s">
        <v>19</v>
      </c>
      <c r="F552" s="2">
        <v>6.209550554E9</v>
      </c>
    </row>
    <row r="553" ht="15.75" customHeight="1">
      <c r="A553" s="2" t="s">
        <v>857</v>
      </c>
      <c r="B553" s="2" t="s">
        <v>50</v>
      </c>
      <c r="C553" s="2" t="s">
        <v>423</v>
      </c>
      <c r="D553" s="2" t="s">
        <v>56</v>
      </c>
      <c r="E553" s="2" t="s">
        <v>19</v>
      </c>
      <c r="F553" s="2">
        <v>9.961959911E9</v>
      </c>
    </row>
    <row r="554" ht="15.75" customHeight="1">
      <c r="A554" s="2" t="s">
        <v>858</v>
      </c>
      <c r="B554" s="2" t="s">
        <v>382</v>
      </c>
      <c r="C554" s="2" t="s">
        <v>423</v>
      </c>
      <c r="D554" s="2" t="s">
        <v>26</v>
      </c>
      <c r="E554" s="2" t="s">
        <v>19</v>
      </c>
      <c r="F554" s="2">
        <v>9.961959911E9</v>
      </c>
    </row>
    <row r="555" ht="15.75" customHeight="1">
      <c r="A555" s="2" t="s">
        <v>374</v>
      </c>
      <c r="B555" s="2" t="s">
        <v>859</v>
      </c>
      <c r="C555" s="2" t="s">
        <v>860</v>
      </c>
      <c r="D555" s="2" t="s">
        <v>26</v>
      </c>
      <c r="E555" s="2" t="s">
        <v>19</v>
      </c>
      <c r="F555" s="2">
        <v>9.572326429E9</v>
      </c>
    </row>
    <row r="556" ht="15.75" customHeight="1">
      <c r="A556" s="2" t="s">
        <v>861</v>
      </c>
      <c r="B556" s="2" t="s">
        <v>862</v>
      </c>
      <c r="C556" s="2" t="s">
        <v>863</v>
      </c>
      <c r="D556" s="2" t="s">
        <v>29</v>
      </c>
      <c r="E556" s="2" t="s">
        <v>255</v>
      </c>
      <c r="F556" s="2">
        <v>7.280985882E9</v>
      </c>
    </row>
    <row r="557" ht="15.75" customHeight="1">
      <c r="A557" s="2" t="s">
        <v>864</v>
      </c>
      <c r="B557" s="2" t="s">
        <v>52</v>
      </c>
      <c r="C557" s="2" t="s">
        <v>809</v>
      </c>
      <c r="D557" s="2" t="s">
        <v>26</v>
      </c>
      <c r="E557" s="2" t="s">
        <v>23</v>
      </c>
      <c r="F557" s="2">
        <v>9.060042112E9</v>
      </c>
    </row>
    <row r="558" ht="15.75" customHeight="1">
      <c r="A558" s="2" t="s">
        <v>374</v>
      </c>
      <c r="B558" s="2" t="s">
        <v>859</v>
      </c>
      <c r="C558" s="2" t="s">
        <v>200</v>
      </c>
      <c r="D558" s="2" t="s">
        <v>26</v>
      </c>
      <c r="E558" s="2" t="s">
        <v>19</v>
      </c>
      <c r="F558" s="2">
        <v>9.572326429E9</v>
      </c>
    </row>
    <row r="559" ht="15.75" customHeight="1">
      <c r="A559" s="2" t="s">
        <v>865</v>
      </c>
      <c r="B559" s="2" t="s">
        <v>55</v>
      </c>
      <c r="C559" s="2" t="s">
        <v>423</v>
      </c>
      <c r="D559" s="2" t="s">
        <v>9</v>
      </c>
      <c r="E559" s="2" t="s">
        <v>19</v>
      </c>
      <c r="F559" s="2">
        <v>7.633819559E9</v>
      </c>
    </row>
    <row r="560" ht="15.75" customHeight="1">
      <c r="A560" s="2" t="s">
        <v>866</v>
      </c>
      <c r="B560" s="2" t="s">
        <v>55</v>
      </c>
      <c r="C560" s="2" t="s">
        <v>867</v>
      </c>
      <c r="D560" s="2" t="s">
        <v>44</v>
      </c>
      <c r="E560" s="2" t="s">
        <v>255</v>
      </c>
      <c r="F560" s="2">
        <v>9.835238865E9</v>
      </c>
    </row>
    <row r="561" ht="15.75" customHeight="1">
      <c r="A561" s="2" t="s">
        <v>98</v>
      </c>
      <c r="B561" s="2" t="s">
        <v>50</v>
      </c>
      <c r="C561" s="2" t="s">
        <v>423</v>
      </c>
      <c r="D561" s="2" t="s">
        <v>9</v>
      </c>
      <c r="E561" s="2" t="s">
        <v>19</v>
      </c>
      <c r="F561" s="2">
        <v>7.645820109E9</v>
      </c>
    </row>
    <row r="562" ht="15.75" customHeight="1">
      <c r="A562" s="2" t="s">
        <v>868</v>
      </c>
      <c r="B562" s="2" t="s">
        <v>869</v>
      </c>
      <c r="C562" s="2" t="s">
        <v>553</v>
      </c>
      <c r="D562" s="2" t="s">
        <v>26</v>
      </c>
      <c r="E562" s="2" t="s">
        <v>23</v>
      </c>
      <c r="F562" s="2">
        <v>9.430068009E9</v>
      </c>
    </row>
    <row r="563" ht="15.75" customHeight="1">
      <c r="A563" s="2" t="s">
        <v>40</v>
      </c>
      <c r="B563" s="2" t="s">
        <v>870</v>
      </c>
      <c r="C563" s="2" t="s">
        <v>860</v>
      </c>
      <c r="D563" s="2" t="s">
        <v>26</v>
      </c>
      <c r="E563" s="2" t="s">
        <v>19</v>
      </c>
      <c r="F563" s="2">
        <v>9.297960117E9</v>
      </c>
    </row>
    <row r="564" ht="15.75" customHeight="1">
      <c r="A564" s="2" t="s">
        <v>564</v>
      </c>
      <c r="B564" s="2" t="s">
        <v>55</v>
      </c>
      <c r="C564" s="2" t="s">
        <v>867</v>
      </c>
      <c r="D564" s="2" t="s">
        <v>14</v>
      </c>
      <c r="E564" s="2" t="s">
        <v>255</v>
      </c>
      <c r="F564" s="2">
        <v>9.507028128E9</v>
      </c>
    </row>
    <row r="565" ht="15.75" customHeight="1">
      <c r="A565" s="2" t="s">
        <v>871</v>
      </c>
      <c r="B565" s="2" t="s">
        <v>50</v>
      </c>
      <c r="C565" s="2" t="s">
        <v>423</v>
      </c>
      <c r="D565" s="2" t="s">
        <v>44</v>
      </c>
      <c r="E565" s="2" t="s">
        <v>19</v>
      </c>
      <c r="F565" s="2">
        <v>9.076050533E9</v>
      </c>
    </row>
    <row r="566" ht="15.75" customHeight="1">
      <c r="A566" s="2" t="s">
        <v>872</v>
      </c>
      <c r="B566" s="2" t="s">
        <v>153</v>
      </c>
      <c r="C566" s="2" t="s">
        <v>819</v>
      </c>
      <c r="D566" s="2" t="s">
        <v>26</v>
      </c>
      <c r="E566" s="2" t="s">
        <v>23</v>
      </c>
      <c r="F566" s="2">
        <v>9.798079306E9</v>
      </c>
    </row>
    <row r="567" ht="15.75" customHeight="1">
      <c r="A567" s="2" t="s">
        <v>873</v>
      </c>
      <c r="B567" s="2" t="s">
        <v>471</v>
      </c>
      <c r="C567" s="2" t="s">
        <v>237</v>
      </c>
      <c r="D567" s="2" t="s">
        <v>56</v>
      </c>
      <c r="E567" s="2" t="s">
        <v>255</v>
      </c>
      <c r="F567" s="2">
        <v>7.667494723E9</v>
      </c>
    </row>
    <row r="568" ht="15.75" customHeight="1">
      <c r="A568" s="2" t="s">
        <v>874</v>
      </c>
      <c r="B568" s="2" t="s">
        <v>55</v>
      </c>
      <c r="C568" s="2" t="s">
        <v>423</v>
      </c>
      <c r="D568" s="2" t="s">
        <v>44</v>
      </c>
      <c r="E568" s="2" t="s">
        <v>19</v>
      </c>
      <c r="F568" s="2">
        <v>9.661155079E9</v>
      </c>
    </row>
    <row r="569" ht="15.75" customHeight="1">
      <c r="A569" s="2" t="s">
        <v>496</v>
      </c>
      <c r="B569" s="2" t="s">
        <v>50</v>
      </c>
      <c r="C569" s="2" t="s">
        <v>875</v>
      </c>
      <c r="D569" s="2" t="s">
        <v>26</v>
      </c>
      <c r="E569" s="2" t="s">
        <v>19</v>
      </c>
      <c r="F569" s="2">
        <v>6.204460313E9</v>
      </c>
    </row>
    <row r="570" ht="15.75" customHeight="1">
      <c r="A570" s="2" t="s">
        <v>827</v>
      </c>
      <c r="B570" s="2" t="s">
        <v>212</v>
      </c>
      <c r="C570" s="2" t="s">
        <v>876</v>
      </c>
      <c r="D570" s="2" t="s">
        <v>44</v>
      </c>
      <c r="E570" s="2" t="s">
        <v>23</v>
      </c>
      <c r="F570" s="2">
        <v>7.870725702E9</v>
      </c>
    </row>
    <row r="571" ht="15.75" customHeight="1">
      <c r="A571" s="2" t="s">
        <v>877</v>
      </c>
      <c r="B571" s="2" t="s">
        <v>382</v>
      </c>
      <c r="C571" s="2" t="s">
        <v>423</v>
      </c>
      <c r="D571" s="2" t="s">
        <v>44</v>
      </c>
      <c r="E571" s="2" t="s">
        <v>19</v>
      </c>
      <c r="F571" s="2">
        <v>8.200625318E9</v>
      </c>
    </row>
    <row r="572" ht="15.75" customHeight="1">
      <c r="A572" s="2" t="s">
        <v>878</v>
      </c>
      <c r="B572" s="2" t="s">
        <v>879</v>
      </c>
      <c r="C572" s="2" t="s">
        <v>423</v>
      </c>
      <c r="D572" s="2" t="s">
        <v>56</v>
      </c>
      <c r="E572" s="2" t="s">
        <v>19</v>
      </c>
      <c r="F572" s="2">
        <v>9.113378265E9</v>
      </c>
    </row>
    <row r="573" ht="15.75" customHeight="1">
      <c r="A573" s="2" t="s">
        <v>880</v>
      </c>
      <c r="B573" s="2" t="s">
        <v>55</v>
      </c>
      <c r="C573" s="2" t="s">
        <v>556</v>
      </c>
      <c r="D573" s="2" t="s">
        <v>26</v>
      </c>
      <c r="E573" s="2" t="s">
        <v>255</v>
      </c>
      <c r="F573" s="2">
        <v>7.283094765E9</v>
      </c>
    </row>
    <row r="574" ht="15.75" customHeight="1">
      <c r="A574" s="2" t="s">
        <v>881</v>
      </c>
      <c r="B574" s="2" t="s">
        <v>882</v>
      </c>
      <c r="C574" s="2" t="s">
        <v>883</v>
      </c>
      <c r="D574" s="2" t="s">
        <v>56</v>
      </c>
      <c r="E574" s="2" t="s">
        <v>19</v>
      </c>
      <c r="F574" s="2">
        <v>9.835717076E9</v>
      </c>
    </row>
    <row r="575" ht="15.75" customHeight="1">
      <c r="A575" s="2" t="s">
        <v>164</v>
      </c>
      <c r="B575" s="2" t="s">
        <v>332</v>
      </c>
      <c r="C575" s="2" t="s">
        <v>249</v>
      </c>
      <c r="D575" s="2" t="s">
        <v>56</v>
      </c>
      <c r="E575" s="2" t="s">
        <v>23</v>
      </c>
      <c r="F575" s="2">
        <v>7.480985882E9</v>
      </c>
    </row>
    <row r="576" ht="15.75" customHeight="1">
      <c r="A576" s="2" t="s">
        <v>884</v>
      </c>
      <c r="B576" s="2" t="s">
        <v>885</v>
      </c>
      <c r="C576" s="2" t="s">
        <v>423</v>
      </c>
      <c r="D576" s="2" t="s">
        <v>56</v>
      </c>
      <c r="E576" s="2" t="s">
        <v>19</v>
      </c>
      <c r="F576" s="2">
        <v>8.555162122E9</v>
      </c>
    </row>
    <row r="577" ht="15.75" customHeight="1">
      <c r="A577" s="2" t="s">
        <v>886</v>
      </c>
      <c r="B577" s="2" t="s">
        <v>55</v>
      </c>
      <c r="C577" s="2" t="s">
        <v>821</v>
      </c>
      <c r="D577" s="2" t="s">
        <v>9</v>
      </c>
      <c r="E577" s="2" t="s">
        <v>255</v>
      </c>
      <c r="F577" s="2">
        <v>9.708648151E9</v>
      </c>
    </row>
    <row r="578" ht="15.75" customHeight="1">
      <c r="A578" s="2" t="s">
        <v>887</v>
      </c>
      <c r="B578" s="2" t="s">
        <v>119</v>
      </c>
      <c r="C578" s="2" t="s">
        <v>423</v>
      </c>
      <c r="D578" s="2" t="s">
        <v>44</v>
      </c>
      <c r="E578" s="2" t="s">
        <v>19</v>
      </c>
      <c r="F578" s="2">
        <v>9.055538063E9</v>
      </c>
    </row>
    <row r="579" ht="15.75" customHeight="1">
      <c r="A579" s="2" t="s">
        <v>888</v>
      </c>
      <c r="B579" s="2" t="s">
        <v>88</v>
      </c>
      <c r="C579" s="2" t="s">
        <v>876</v>
      </c>
      <c r="D579" s="2" t="s">
        <v>56</v>
      </c>
      <c r="E579" s="2" t="s">
        <v>23</v>
      </c>
      <c r="F579" s="2">
        <v>7.337724441E9</v>
      </c>
    </row>
    <row r="580" ht="15.75" customHeight="1">
      <c r="A580" s="2" t="s">
        <v>73</v>
      </c>
      <c r="B580" s="2" t="s">
        <v>63</v>
      </c>
      <c r="C580" s="2" t="s">
        <v>423</v>
      </c>
      <c r="D580" s="2" t="s">
        <v>56</v>
      </c>
      <c r="E580" s="2" t="s">
        <v>19</v>
      </c>
      <c r="F580" s="2">
        <v>9.955595691E9</v>
      </c>
    </row>
    <row r="581" ht="15.75" customHeight="1">
      <c r="A581" s="2" t="s">
        <v>889</v>
      </c>
      <c r="B581" s="2" t="s">
        <v>55</v>
      </c>
      <c r="C581" s="2" t="s">
        <v>223</v>
      </c>
      <c r="D581" s="2" t="s">
        <v>44</v>
      </c>
      <c r="E581" s="2" t="s">
        <v>255</v>
      </c>
      <c r="F581" s="2">
        <v>6.204672213E9</v>
      </c>
    </row>
    <row r="582" ht="15.75" customHeight="1">
      <c r="A582" s="2" t="s">
        <v>890</v>
      </c>
      <c r="B582" s="2" t="s">
        <v>63</v>
      </c>
      <c r="C582" s="2" t="s">
        <v>891</v>
      </c>
      <c r="D582" s="2" t="s">
        <v>26</v>
      </c>
      <c r="E582" s="2" t="s">
        <v>19</v>
      </c>
      <c r="F582" s="2">
        <v>8.877126378E9</v>
      </c>
    </row>
    <row r="583" ht="15.75" customHeight="1">
      <c r="A583" s="2" t="s">
        <v>892</v>
      </c>
      <c r="B583" s="2" t="s">
        <v>320</v>
      </c>
      <c r="C583" s="2" t="s">
        <v>804</v>
      </c>
      <c r="D583" s="2" t="s">
        <v>26</v>
      </c>
      <c r="E583" s="2" t="s">
        <v>23</v>
      </c>
      <c r="F583" s="2">
        <v>8.084286395E9</v>
      </c>
    </row>
    <row r="584" ht="15.75" customHeight="1">
      <c r="A584" s="2" t="s">
        <v>893</v>
      </c>
      <c r="B584" s="2" t="s">
        <v>50</v>
      </c>
      <c r="C584" s="2" t="s">
        <v>423</v>
      </c>
      <c r="D584" s="2" t="s">
        <v>56</v>
      </c>
      <c r="E584" s="2" t="s">
        <v>19</v>
      </c>
      <c r="F584" s="2">
        <v>7.498264895E9</v>
      </c>
    </row>
    <row r="585" ht="15.75" customHeight="1">
      <c r="A585" s="2" t="s">
        <v>775</v>
      </c>
      <c r="B585" s="2" t="s">
        <v>894</v>
      </c>
      <c r="C585" s="2" t="s">
        <v>599</v>
      </c>
      <c r="D585" s="2" t="s">
        <v>14</v>
      </c>
      <c r="E585" s="2" t="s">
        <v>255</v>
      </c>
      <c r="F585" s="2">
        <v>7.283094765E9</v>
      </c>
    </row>
    <row r="586" ht="15.75" customHeight="1">
      <c r="A586" s="2" t="s">
        <v>895</v>
      </c>
      <c r="B586" s="2" t="s">
        <v>797</v>
      </c>
      <c r="C586" s="2" t="s">
        <v>423</v>
      </c>
      <c r="D586" s="2" t="s">
        <v>56</v>
      </c>
      <c r="E586" s="2" t="s">
        <v>19</v>
      </c>
      <c r="F586" s="2">
        <v>8.674051213E9</v>
      </c>
    </row>
    <row r="587" ht="15.75" customHeight="1">
      <c r="A587" s="2" t="s">
        <v>896</v>
      </c>
      <c r="B587" s="2" t="s">
        <v>153</v>
      </c>
      <c r="C587" s="2" t="s">
        <v>897</v>
      </c>
      <c r="D587" s="2" t="s">
        <v>14</v>
      </c>
      <c r="E587" s="2" t="s">
        <v>23</v>
      </c>
      <c r="F587" s="2">
        <v>8.441178281E9</v>
      </c>
    </row>
    <row r="588" ht="15.75" customHeight="1">
      <c r="A588" s="2" t="s">
        <v>898</v>
      </c>
      <c r="B588" s="2" t="s">
        <v>899</v>
      </c>
      <c r="C588" s="2" t="s">
        <v>423</v>
      </c>
      <c r="D588" s="2" t="s">
        <v>56</v>
      </c>
      <c r="E588" s="2" t="s">
        <v>19</v>
      </c>
      <c r="F588" s="2">
        <v>9.102328332E9</v>
      </c>
    </row>
    <row r="589" ht="15.75" customHeight="1">
      <c r="A589" s="2" t="s">
        <v>900</v>
      </c>
      <c r="B589" s="2" t="s">
        <v>901</v>
      </c>
      <c r="C589" s="2" t="s">
        <v>237</v>
      </c>
      <c r="D589" s="2" t="s">
        <v>26</v>
      </c>
      <c r="E589" s="2" t="s">
        <v>255</v>
      </c>
      <c r="F589" s="2">
        <v>9.334534454E9</v>
      </c>
    </row>
    <row r="590" ht="15.75" customHeight="1">
      <c r="A590" s="2" t="s">
        <v>111</v>
      </c>
      <c r="B590" s="2" t="s">
        <v>902</v>
      </c>
      <c r="C590" s="2" t="s">
        <v>423</v>
      </c>
      <c r="D590" s="2" t="s">
        <v>26</v>
      </c>
      <c r="E590" s="2" t="s">
        <v>19</v>
      </c>
      <c r="F590" s="2">
        <v>8.210082774E9</v>
      </c>
    </row>
    <row r="591" ht="15.75" customHeight="1">
      <c r="A591" s="2" t="s">
        <v>903</v>
      </c>
      <c r="B591" s="2" t="s">
        <v>52</v>
      </c>
      <c r="C591" s="2" t="s">
        <v>295</v>
      </c>
      <c r="D591" s="2" t="s">
        <v>26</v>
      </c>
      <c r="E591" s="2" t="s">
        <v>23</v>
      </c>
      <c r="F591" s="2">
        <v>7.903546836E9</v>
      </c>
    </row>
    <row r="592" ht="15.75" customHeight="1">
      <c r="A592" s="2" t="s">
        <v>904</v>
      </c>
      <c r="B592" s="2" t="s">
        <v>47</v>
      </c>
      <c r="C592" s="2" t="s">
        <v>905</v>
      </c>
      <c r="D592" s="2" t="s">
        <v>26</v>
      </c>
      <c r="E592" s="2" t="s">
        <v>19</v>
      </c>
      <c r="F592" s="2">
        <v>7.070313441E9</v>
      </c>
    </row>
    <row r="593" ht="15.75" customHeight="1">
      <c r="A593" s="2" t="s">
        <v>906</v>
      </c>
      <c r="B593" s="2" t="s">
        <v>55</v>
      </c>
      <c r="C593" s="2" t="s">
        <v>576</v>
      </c>
      <c r="D593" s="2" t="s">
        <v>14</v>
      </c>
      <c r="E593" s="2" t="s">
        <v>255</v>
      </c>
      <c r="F593" s="2">
        <v>8.051025014E9</v>
      </c>
    </row>
    <row r="594" ht="15.75" customHeight="1">
      <c r="A594" s="2" t="s">
        <v>907</v>
      </c>
      <c r="B594" s="2" t="s">
        <v>119</v>
      </c>
      <c r="C594" s="2" t="s">
        <v>423</v>
      </c>
      <c r="D594" s="2" t="s">
        <v>26</v>
      </c>
      <c r="E594" s="2" t="s">
        <v>19</v>
      </c>
      <c r="F594" s="2">
        <v>9.771592398E9</v>
      </c>
    </row>
    <row r="595" ht="15.75" customHeight="1">
      <c r="A595" s="2" t="s">
        <v>908</v>
      </c>
      <c r="B595" s="2" t="s">
        <v>909</v>
      </c>
      <c r="C595" s="2" t="s">
        <v>910</v>
      </c>
      <c r="D595" s="2" t="s">
        <v>26</v>
      </c>
      <c r="E595" s="2" t="s">
        <v>23</v>
      </c>
      <c r="F595" s="2">
        <v>9.93430773E9</v>
      </c>
    </row>
    <row r="596" ht="15.75" customHeight="1">
      <c r="A596" s="2" t="s">
        <v>911</v>
      </c>
      <c r="B596" s="2" t="s">
        <v>912</v>
      </c>
      <c r="C596" s="2" t="s">
        <v>729</v>
      </c>
      <c r="D596" s="2" t="s">
        <v>26</v>
      </c>
      <c r="E596" s="2" t="s">
        <v>19</v>
      </c>
      <c r="F596" s="2">
        <v>9.386912901E9</v>
      </c>
    </row>
    <row r="597" ht="15.75" customHeight="1">
      <c r="A597" s="2" t="s">
        <v>913</v>
      </c>
      <c r="B597" s="2" t="s">
        <v>269</v>
      </c>
      <c r="C597" s="2" t="s">
        <v>914</v>
      </c>
      <c r="D597" s="2" t="s">
        <v>26</v>
      </c>
      <c r="E597" s="2" t="s">
        <v>255</v>
      </c>
      <c r="F597" s="2">
        <v>8.986994121E9</v>
      </c>
    </row>
    <row r="598" ht="15.75" customHeight="1">
      <c r="A598" s="2" t="s">
        <v>82</v>
      </c>
      <c r="B598" s="2" t="s">
        <v>88</v>
      </c>
      <c r="C598" s="2" t="s">
        <v>423</v>
      </c>
      <c r="D598" s="2" t="s">
        <v>26</v>
      </c>
      <c r="E598" s="2" t="s">
        <v>19</v>
      </c>
      <c r="F598" s="2">
        <v>8.218072176E9</v>
      </c>
    </row>
    <row r="599" ht="15.75" customHeight="1">
      <c r="A599" s="2" t="s">
        <v>915</v>
      </c>
      <c r="B599" s="2" t="s">
        <v>50</v>
      </c>
      <c r="C599" s="2" t="s">
        <v>916</v>
      </c>
      <c r="D599" s="2" t="s">
        <v>56</v>
      </c>
      <c r="E599" s="2" t="s">
        <v>19</v>
      </c>
      <c r="F599" s="2">
        <v>9.931454612E9</v>
      </c>
    </row>
    <row r="600" ht="15.75" customHeight="1">
      <c r="A600" s="2" t="s">
        <v>381</v>
      </c>
      <c r="B600" s="2" t="s">
        <v>312</v>
      </c>
      <c r="C600" s="2" t="s">
        <v>729</v>
      </c>
      <c r="D600" s="2" t="s">
        <v>56</v>
      </c>
      <c r="E600" s="2" t="s">
        <v>19</v>
      </c>
      <c r="F600" s="2">
        <v>7.763848199E9</v>
      </c>
    </row>
    <row r="601" ht="15.75" customHeight="1">
      <c r="A601" s="2" t="s">
        <v>406</v>
      </c>
      <c r="B601" s="2" t="s">
        <v>869</v>
      </c>
      <c r="C601" s="2" t="s">
        <v>171</v>
      </c>
      <c r="D601" s="2" t="s">
        <v>56</v>
      </c>
      <c r="E601" s="2" t="s">
        <v>19</v>
      </c>
      <c r="F601" s="2">
        <v>7.677807171E9</v>
      </c>
    </row>
    <row r="602" ht="15.75" customHeight="1">
      <c r="A602" s="2" t="s">
        <v>917</v>
      </c>
      <c r="B602" s="2" t="s">
        <v>75</v>
      </c>
      <c r="C602" s="2" t="s">
        <v>918</v>
      </c>
      <c r="D602" s="2" t="s">
        <v>26</v>
      </c>
      <c r="E602" s="2" t="s">
        <v>19</v>
      </c>
      <c r="F602" s="2">
        <v>9.9392712E9</v>
      </c>
    </row>
    <row r="603" ht="15.75" customHeight="1">
      <c r="A603" s="2" t="s">
        <v>146</v>
      </c>
      <c r="B603" s="2" t="s">
        <v>50</v>
      </c>
      <c r="C603" s="2" t="s">
        <v>919</v>
      </c>
      <c r="D603" s="2" t="s">
        <v>26</v>
      </c>
      <c r="E603" s="2" t="s">
        <v>19</v>
      </c>
      <c r="F603" s="2">
        <v>9.835063045E9</v>
      </c>
    </row>
    <row r="604" ht="15.75" customHeight="1">
      <c r="A604" s="2" t="s">
        <v>217</v>
      </c>
      <c r="B604" s="2" t="s">
        <v>119</v>
      </c>
      <c r="C604" s="2" t="s">
        <v>423</v>
      </c>
      <c r="D604" s="2" t="s">
        <v>14</v>
      </c>
      <c r="E604" s="2" t="s">
        <v>19</v>
      </c>
      <c r="F604" s="2">
        <v>7.009180877E9</v>
      </c>
    </row>
    <row r="605" ht="15.75" customHeight="1">
      <c r="A605" s="2" t="s">
        <v>920</v>
      </c>
      <c r="B605" s="2" t="s">
        <v>50</v>
      </c>
      <c r="C605" s="2" t="s">
        <v>921</v>
      </c>
      <c r="D605" s="2" t="s">
        <v>26</v>
      </c>
      <c r="E605" s="2" t="s">
        <v>19</v>
      </c>
      <c r="F605" s="2">
        <v>7.633945264E9</v>
      </c>
    </row>
    <row r="606" ht="15.75" customHeight="1">
      <c r="A606" s="2" t="s">
        <v>202</v>
      </c>
      <c r="B606" s="2" t="s">
        <v>922</v>
      </c>
      <c r="C606" s="2" t="s">
        <v>472</v>
      </c>
      <c r="D606" s="2" t="s">
        <v>26</v>
      </c>
      <c r="E606" s="2" t="s">
        <v>19</v>
      </c>
      <c r="F606" s="2">
        <v>8.00250077E9</v>
      </c>
    </row>
    <row r="607" ht="15.75" customHeight="1">
      <c r="A607" s="2" t="s">
        <v>923</v>
      </c>
      <c r="B607" s="2" t="s">
        <v>924</v>
      </c>
      <c r="C607" s="2" t="s">
        <v>925</v>
      </c>
      <c r="D607" s="2" t="s">
        <v>44</v>
      </c>
      <c r="E607" s="2" t="s">
        <v>926</v>
      </c>
      <c r="F607" s="2">
        <v>9.463051322E9</v>
      </c>
    </row>
    <row r="608" ht="15.75" customHeight="1">
      <c r="A608" s="2" t="s">
        <v>927</v>
      </c>
      <c r="B608" s="2" t="s">
        <v>664</v>
      </c>
      <c r="C608" s="2" t="s">
        <v>928</v>
      </c>
      <c r="D608" s="2" t="s">
        <v>29</v>
      </c>
      <c r="E608" s="2" t="s">
        <v>19</v>
      </c>
      <c r="F608" s="2">
        <v>8.409388717E9</v>
      </c>
    </row>
    <row r="609" ht="15.75" customHeight="1">
      <c r="A609" s="2" t="s">
        <v>929</v>
      </c>
      <c r="B609" s="2" t="s">
        <v>47</v>
      </c>
      <c r="C609" s="2" t="s">
        <v>905</v>
      </c>
      <c r="D609" s="2" t="s">
        <v>9</v>
      </c>
      <c r="E609" s="2" t="s">
        <v>19</v>
      </c>
      <c r="F609" s="2">
        <v>9.234010384E9</v>
      </c>
    </row>
    <row r="610" ht="15.75" customHeight="1">
      <c r="A610" s="2" t="s">
        <v>735</v>
      </c>
      <c r="B610" s="2" t="s">
        <v>930</v>
      </c>
      <c r="C610" s="2" t="s">
        <v>931</v>
      </c>
      <c r="D610" s="2" t="s">
        <v>26</v>
      </c>
      <c r="E610" s="2" t="s">
        <v>282</v>
      </c>
      <c r="F610" s="2">
        <v>9.426154795E9</v>
      </c>
    </row>
    <row r="611" ht="15.75" customHeight="1">
      <c r="A611" s="2" t="s">
        <v>628</v>
      </c>
      <c r="B611" s="2" t="s">
        <v>52</v>
      </c>
      <c r="C611" s="3" t="s">
        <v>932</v>
      </c>
      <c r="D611" s="2" t="s">
        <v>44</v>
      </c>
      <c r="E611" s="2" t="s">
        <v>19</v>
      </c>
      <c r="F611" s="2">
        <v>8.084697049E9</v>
      </c>
    </row>
    <row r="612" ht="15.75" customHeight="1">
      <c r="A612" s="2" t="s">
        <v>98</v>
      </c>
      <c r="B612" s="2" t="s">
        <v>55</v>
      </c>
      <c r="C612" s="2" t="s">
        <v>933</v>
      </c>
      <c r="D612" s="2" t="s">
        <v>44</v>
      </c>
      <c r="E612" s="2" t="s">
        <v>19</v>
      </c>
      <c r="F612" s="2">
        <v>9.334709277E9</v>
      </c>
    </row>
    <row r="613" ht="15.75" customHeight="1">
      <c r="A613" s="2" t="s">
        <v>565</v>
      </c>
      <c r="B613" s="2" t="s">
        <v>63</v>
      </c>
      <c r="C613" s="2" t="s">
        <v>729</v>
      </c>
      <c r="D613" s="2" t="s">
        <v>26</v>
      </c>
      <c r="E613" s="2" t="s">
        <v>19</v>
      </c>
      <c r="F613" s="2">
        <v>9.204123841E9</v>
      </c>
    </row>
    <row r="614" ht="15.75" customHeight="1">
      <c r="A614" s="2" t="s">
        <v>934</v>
      </c>
      <c r="B614" s="2" t="s">
        <v>55</v>
      </c>
      <c r="C614" s="2" t="s">
        <v>181</v>
      </c>
      <c r="D614" s="2" t="s">
        <v>56</v>
      </c>
      <c r="E614" s="2" t="s">
        <v>19</v>
      </c>
      <c r="F614" s="2">
        <v>9.955673386E9</v>
      </c>
    </row>
    <row r="615" ht="15.75" customHeight="1">
      <c r="A615" s="2" t="s">
        <v>584</v>
      </c>
      <c r="B615" s="2" t="s">
        <v>50</v>
      </c>
      <c r="C615" s="2" t="s">
        <v>935</v>
      </c>
      <c r="D615" s="2" t="s">
        <v>56</v>
      </c>
      <c r="E615" s="2" t="s">
        <v>19</v>
      </c>
      <c r="F615" s="2">
        <v>7.488718804E9</v>
      </c>
    </row>
    <row r="616" ht="15.75" customHeight="1">
      <c r="A616" s="2" t="s">
        <v>936</v>
      </c>
      <c r="B616" s="2" t="s">
        <v>119</v>
      </c>
      <c r="C616" s="2" t="s">
        <v>828</v>
      </c>
      <c r="D616" s="2" t="s">
        <v>44</v>
      </c>
      <c r="E616" s="2" t="s">
        <v>19</v>
      </c>
      <c r="F616" s="2">
        <v>8.210803915E9</v>
      </c>
    </row>
    <row r="617" ht="15.75" customHeight="1">
      <c r="A617" s="2" t="s">
        <v>834</v>
      </c>
      <c r="B617" s="2" t="s">
        <v>55</v>
      </c>
      <c r="C617" s="2" t="s">
        <v>937</v>
      </c>
      <c r="D617" s="2" t="s">
        <v>26</v>
      </c>
      <c r="E617" s="2" t="s">
        <v>19</v>
      </c>
      <c r="F617" s="2">
        <v>8.002023051E9</v>
      </c>
    </row>
    <row r="618" ht="15.75" customHeight="1">
      <c r="A618" s="2" t="s">
        <v>938</v>
      </c>
      <c r="B618" s="2" t="s">
        <v>88</v>
      </c>
      <c r="C618" s="2" t="s">
        <v>939</v>
      </c>
      <c r="D618" s="2" t="s">
        <v>26</v>
      </c>
      <c r="E618" s="2" t="s">
        <v>19</v>
      </c>
      <c r="F618" s="2">
        <v>8.789335261E9</v>
      </c>
    </row>
    <row r="619" ht="15.75" customHeight="1">
      <c r="A619" s="2" t="s">
        <v>222</v>
      </c>
      <c r="B619" s="2" t="s">
        <v>850</v>
      </c>
      <c r="C619" s="2" t="s">
        <v>423</v>
      </c>
      <c r="D619" s="2" t="s">
        <v>56</v>
      </c>
      <c r="E619" s="2" t="s">
        <v>19</v>
      </c>
      <c r="F619" s="2">
        <v>7.012913728E9</v>
      </c>
    </row>
    <row r="620" ht="15.75" customHeight="1">
      <c r="A620" s="2" t="s">
        <v>940</v>
      </c>
      <c r="B620" s="2" t="s">
        <v>113</v>
      </c>
      <c r="C620" s="2" t="s">
        <v>941</v>
      </c>
      <c r="D620" s="2" t="s">
        <v>29</v>
      </c>
      <c r="E620" s="2" t="s">
        <v>19</v>
      </c>
      <c r="F620" s="2">
        <v>9.525173868E9</v>
      </c>
    </row>
    <row r="621" ht="15.75" customHeight="1">
      <c r="A621" s="2" t="s">
        <v>942</v>
      </c>
      <c r="B621" s="2" t="s">
        <v>55</v>
      </c>
      <c r="C621" s="2" t="s">
        <v>34</v>
      </c>
      <c r="D621" s="2" t="s">
        <v>26</v>
      </c>
      <c r="E621" s="2" t="s">
        <v>19</v>
      </c>
      <c r="F621" s="2">
        <v>7.54182328E9</v>
      </c>
    </row>
    <row r="622" ht="15.75" customHeight="1">
      <c r="A622" s="2" t="s">
        <v>943</v>
      </c>
      <c r="B622" s="2" t="s">
        <v>50</v>
      </c>
      <c r="C622" s="2" t="s">
        <v>423</v>
      </c>
      <c r="D622" s="2" t="s">
        <v>44</v>
      </c>
      <c r="E622" s="2" t="s">
        <v>19</v>
      </c>
      <c r="F622" s="2">
        <v>8.210161953E9</v>
      </c>
    </row>
    <row r="623" ht="15.75" customHeight="1">
      <c r="A623" s="2" t="s">
        <v>944</v>
      </c>
      <c r="B623" s="2" t="s">
        <v>50</v>
      </c>
      <c r="C623" s="2" t="s">
        <v>200</v>
      </c>
      <c r="D623" s="2" t="s">
        <v>56</v>
      </c>
      <c r="E623" s="2" t="s">
        <v>19</v>
      </c>
      <c r="F623" s="2">
        <v>9.60847896E9</v>
      </c>
    </row>
    <row r="624" ht="15.75" customHeight="1">
      <c r="A624" s="2" t="s">
        <v>945</v>
      </c>
      <c r="B624" s="2" t="s">
        <v>55</v>
      </c>
      <c r="C624" s="2" t="s">
        <v>348</v>
      </c>
      <c r="D624" s="2" t="s">
        <v>44</v>
      </c>
      <c r="E624" s="2" t="s">
        <v>19</v>
      </c>
      <c r="F624" s="2">
        <v>8.34012765E9</v>
      </c>
    </row>
    <row r="625" ht="15.75" customHeight="1">
      <c r="A625" s="2" t="s">
        <v>940</v>
      </c>
      <c r="B625" s="2" t="s">
        <v>125</v>
      </c>
      <c r="C625" s="2" t="s">
        <v>504</v>
      </c>
      <c r="D625" s="2" t="s">
        <v>26</v>
      </c>
      <c r="E625" s="2" t="s">
        <v>19</v>
      </c>
      <c r="F625" s="2">
        <v>6.374424814E9</v>
      </c>
    </row>
    <row r="626" ht="15.75" customHeight="1">
      <c r="A626" s="2" t="s">
        <v>946</v>
      </c>
      <c r="B626" s="2" t="s">
        <v>88</v>
      </c>
      <c r="C626" s="2" t="s">
        <v>947</v>
      </c>
      <c r="D626" s="2" t="s">
        <v>56</v>
      </c>
      <c r="E626" s="2" t="s">
        <v>23</v>
      </c>
      <c r="F626" s="2">
        <v>7.486809802E9</v>
      </c>
    </row>
    <row r="627" ht="15.75" customHeight="1">
      <c r="A627" s="2" t="s">
        <v>948</v>
      </c>
      <c r="B627" s="2" t="s">
        <v>212</v>
      </c>
      <c r="C627" s="2" t="s">
        <v>949</v>
      </c>
      <c r="D627" s="2" t="s">
        <v>56</v>
      </c>
      <c r="E627" s="2" t="s">
        <v>255</v>
      </c>
      <c r="F627" s="2">
        <v>9.819431138E9</v>
      </c>
    </row>
    <row r="628" ht="15.75" customHeight="1">
      <c r="A628" s="2" t="s">
        <v>950</v>
      </c>
      <c r="B628" s="2" t="s">
        <v>55</v>
      </c>
      <c r="C628" s="2" t="s">
        <v>160</v>
      </c>
      <c r="D628" s="2" t="s">
        <v>26</v>
      </c>
      <c r="E628" s="2" t="s">
        <v>19</v>
      </c>
      <c r="F628" s="2">
        <v>7.643936242E9</v>
      </c>
    </row>
    <row r="629" ht="15.75" customHeight="1">
      <c r="A629" s="2" t="s">
        <v>951</v>
      </c>
      <c r="B629" s="2" t="s">
        <v>952</v>
      </c>
      <c r="C629" s="2" t="s">
        <v>953</v>
      </c>
      <c r="D629" s="2" t="s">
        <v>44</v>
      </c>
      <c r="E629" s="2" t="s">
        <v>23</v>
      </c>
      <c r="F629" s="2">
        <v>9.375576716E9</v>
      </c>
    </row>
    <row r="630" ht="15.75" customHeight="1">
      <c r="A630" s="2" t="s">
        <v>954</v>
      </c>
      <c r="B630" s="2" t="s">
        <v>559</v>
      </c>
      <c r="C630" s="2" t="s">
        <v>423</v>
      </c>
      <c r="D630" s="2" t="s">
        <v>44</v>
      </c>
      <c r="E630" s="2" t="s">
        <v>19</v>
      </c>
      <c r="F630" s="2">
        <v>9.110163265E9</v>
      </c>
    </row>
    <row r="631" ht="15.75" customHeight="1">
      <c r="A631" s="2" t="s">
        <v>955</v>
      </c>
      <c r="B631" s="2" t="s">
        <v>956</v>
      </c>
      <c r="C631" s="2" t="s">
        <v>957</v>
      </c>
      <c r="D631" s="2" t="s">
        <v>26</v>
      </c>
      <c r="E631" s="2" t="s">
        <v>19</v>
      </c>
      <c r="F631" s="2">
        <v>8.825253227E9</v>
      </c>
    </row>
    <row r="632" ht="15.75" customHeight="1">
      <c r="A632" s="2" t="s">
        <v>958</v>
      </c>
      <c r="B632" s="2" t="s">
        <v>693</v>
      </c>
      <c r="C632" s="2" t="s">
        <v>959</v>
      </c>
      <c r="D632" s="2" t="s">
        <v>26</v>
      </c>
      <c r="E632" s="2" t="s">
        <v>255</v>
      </c>
      <c r="F632" s="2">
        <v>9.26500899E9</v>
      </c>
    </row>
    <row r="633" ht="15.75" customHeight="1">
      <c r="A633" s="2" t="s">
        <v>940</v>
      </c>
      <c r="B633" s="2" t="s">
        <v>960</v>
      </c>
      <c r="C633" s="2" t="s">
        <v>650</v>
      </c>
      <c r="D633" s="2" t="s">
        <v>29</v>
      </c>
      <c r="E633" s="2" t="s">
        <v>19</v>
      </c>
      <c r="F633" s="2">
        <v>9.109237297E9</v>
      </c>
    </row>
    <row r="634" ht="15.75" customHeight="1">
      <c r="A634" s="2" t="s">
        <v>961</v>
      </c>
      <c r="B634" s="2" t="s">
        <v>962</v>
      </c>
      <c r="C634" s="2" t="s">
        <v>963</v>
      </c>
      <c r="D634" s="2" t="s">
        <v>26</v>
      </c>
      <c r="E634" s="2" t="s">
        <v>19</v>
      </c>
      <c r="F634" s="2">
        <v>9.404742812E9</v>
      </c>
    </row>
    <row r="635" ht="15.75" customHeight="1">
      <c r="A635" s="2" t="s">
        <v>964</v>
      </c>
      <c r="B635" s="2" t="s">
        <v>965</v>
      </c>
      <c r="C635" s="2" t="s">
        <v>966</v>
      </c>
      <c r="D635" s="2" t="s">
        <v>29</v>
      </c>
      <c r="E635" s="2" t="s">
        <v>23</v>
      </c>
      <c r="F635" s="2">
        <v>9.687527754E9</v>
      </c>
    </row>
    <row r="636" ht="15.75" customHeight="1">
      <c r="A636" s="2" t="s">
        <v>967</v>
      </c>
      <c r="B636" s="2" t="s">
        <v>52</v>
      </c>
      <c r="C636" s="2" t="s">
        <v>423</v>
      </c>
      <c r="D636" s="2" t="s">
        <v>14</v>
      </c>
      <c r="E636" s="2" t="s">
        <v>19</v>
      </c>
      <c r="F636" s="2">
        <v>7.280047534E9</v>
      </c>
    </row>
    <row r="637" ht="15.75" customHeight="1">
      <c r="A637" s="2" t="s">
        <v>231</v>
      </c>
      <c r="B637" s="2" t="s">
        <v>693</v>
      </c>
      <c r="C637" s="2" t="s">
        <v>968</v>
      </c>
      <c r="D637" s="2" t="s">
        <v>26</v>
      </c>
      <c r="E637" s="2" t="s">
        <v>255</v>
      </c>
      <c r="F637" s="2">
        <v>7.383204053E9</v>
      </c>
    </row>
    <row r="638" ht="15.75" customHeight="1">
      <c r="A638" s="2" t="s">
        <v>969</v>
      </c>
      <c r="B638" s="2" t="s">
        <v>170</v>
      </c>
      <c r="C638" s="2" t="s">
        <v>970</v>
      </c>
      <c r="D638" s="2" t="s">
        <v>56</v>
      </c>
      <c r="E638" s="2" t="s">
        <v>19</v>
      </c>
      <c r="F638" s="2">
        <v>9.833832219E9</v>
      </c>
    </row>
    <row r="639" ht="15.75" customHeight="1">
      <c r="A639" s="2" t="s">
        <v>971</v>
      </c>
      <c r="B639" s="2" t="s">
        <v>119</v>
      </c>
      <c r="C639" s="2" t="s">
        <v>650</v>
      </c>
      <c r="D639" s="2" t="s">
        <v>29</v>
      </c>
      <c r="E639" s="2" t="s">
        <v>19</v>
      </c>
      <c r="F639" s="2">
        <v>7.368028416E9</v>
      </c>
    </row>
    <row r="640" ht="15.75" customHeight="1">
      <c r="A640" s="2" t="s">
        <v>972</v>
      </c>
      <c r="B640" s="2" t="s">
        <v>276</v>
      </c>
      <c r="C640" s="2" t="s">
        <v>968</v>
      </c>
      <c r="D640" s="2" t="s">
        <v>56</v>
      </c>
      <c r="E640" s="2" t="s">
        <v>23</v>
      </c>
      <c r="F640" s="2">
        <v>8.291030321E9</v>
      </c>
    </row>
    <row r="641" ht="15.75" customHeight="1">
      <c r="A641" s="2" t="s">
        <v>111</v>
      </c>
      <c r="B641" s="2" t="s">
        <v>119</v>
      </c>
      <c r="C641" s="2" t="s">
        <v>423</v>
      </c>
      <c r="D641" s="2" t="s">
        <v>56</v>
      </c>
      <c r="E641" s="2" t="s">
        <v>19</v>
      </c>
      <c r="F641" s="2">
        <v>9.128632655E9</v>
      </c>
    </row>
    <row r="642" ht="15.75" customHeight="1">
      <c r="A642" s="2" t="s">
        <v>973</v>
      </c>
      <c r="B642" s="2" t="s">
        <v>276</v>
      </c>
      <c r="C642" s="2" t="s">
        <v>974</v>
      </c>
      <c r="D642" s="2" t="s">
        <v>26</v>
      </c>
      <c r="E642" s="2" t="s">
        <v>255</v>
      </c>
      <c r="F642" s="2">
        <v>8.356056844E9</v>
      </c>
    </row>
    <row r="643" ht="15.75" customHeight="1">
      <c r="A643" s="2" t="s">
        <v>975</v>
      </c>
      <c r="B643" s="2" t="s">
        <v>119</v>
      </c>
      <c r="C643" s="2" t="s">
        <v>423</v>
      </c>
      <c r="D643" s="2" t="s">
        <v>26</v>
      </c>
      <c r="E643" s="2" t="s">
        <v>19</v>
      </c>
      <c r="F643" s="2">
        <v>8.789500616E9</v>
      </c>
    </row>
    <row r="644" ht="15.75" customHeight="1">
      <c r="A644" s="2" t="s">
        <v>976</v>
      </c>
      <c r="B644" s="2" t="s">
        <v>212</v>
      </c>
      <c r="C644" s="2" t="s">
        <v>977</v>
      </c>
      <c r="D644" s="2" t="s">
        <v>44</v>
      </c>
      <c r="E644" s="2" t="s">
        <v>926</v>
      </c>
      <c r="F644" s="2">
        <v>8.968990667E9</v>
      </c>
    </row>
    <row r="645" ht="15.75" customHeight="1">
      <c r="A645" s="2" t="s">
        <v>126</v>
      </c>
      <c r="B645" s="2" t="s">
        <v>50</v>
      </c>
      <c r="C645" s="2" t="s">
        <v>650</v>
      </c>
      <c r="D645" s="2" t="s">
        <v>29</v>
      </c>
      <c r="E645" s="2" t="s">
        <v>19</v>
      </c>
      <c r="F645" s="2">
        <v>8.797760973E9</v>
      </c>
    </row>
    <row r="646" ht="15.75" customHeight="1">
      <c r="A646" s="2" t="s">
        <v>978</v>
      </c>
      <c r="B646" s="2" t="s">
        <v>63</v>
      </c>
      <c r="C646" s="2" t="s">
        <v>423</v>
      </c>
      <c r="D646" s="2" t="s">
        <v>14</v>
      </c>
      <c r="E646" s="2" t="s">
        <v>19</v>
      </c>
      <c r="F646" s="2">
        <v>7.634045451E9</v>
      </c>
    </row>
    <row r="647" ht="15.75" customHeight="1">
      <c r="A647" s="2" t="s">
        <v>979</v>
      </c>
      <c r="B647" s="2" t="s">
        <v>382</v>
      </c>
      <c r="C647" s="2" t="s">
        <v>650</v>
      </c>
      <c r="D647" s="2" t="s">
        <v>29</v>
      </c>
      <c r="E647" s="2" t="s">
        <v>19</v>
      </c>
      <c r="F647" s="2">
        <v>7.781012282E9</v>
      </c>
    </row>
    <row r="648" ht="15.75" customHeight="1">
      <c r="A648" s="2" t="s">
        <v>980</v>
      </c>
      <c r="B648" s="2" t="s">
        <v>153</v>
      </c>
      <c r="C648" s="2" t="s">
        <v>216</v>
      </c>
      <c r="D648" s="2" t="s">
        <v>56</v>
      </c>
      <c r="E648" s="2" t="s">
        <v>23</v>
      </c>
      <c r="F648" s="2">
        <v>9.006815234E9</v>
      </c>
    </row>
    <row r="649" ht="15.75" customHeight="1">
      <c r="A649" s="2" t="s">
        <v>981</v>
      </c>
      <c r="B649" s="2" t="s">
        <v>982</v>
      </c>
      <c r="C649" s="2" t="s">
        <v>423</v>
      </c>
      <c r="D649" s="2" t="s">
        <v>44</v>
      </c>
      <c r="E649" s="2" t="s">
        <v>19</v>
      </c>
      <c r="F649" s="2">
        <v>9.709082699E9</v>
      </c>
    </row>
    <row r="650" ht="15.75" customHeight="1">
      <c r="A650" s="2" t="s">
        <v>805</v>
      </c>
      <c r="B650" s="2" t="s">
        <v>983</v>
      </c>
      <c r="C650" s="2" t="s">
        <v>984</v>
      </c>
      <c r="D650" s="2" t="s">
        <v>56</v>
      </c>
      <c r="E650" s="2" t="s">
        <v>19</v>
      </c>
      <c r="F650" s="2">
        <v>9.472216554E9</v>
      </c>
    </row>
    <row r="651" ht="15.75" customHeight="1">
      <c r="A651" s="2" t="s">
        <v>890</v>
      </c>
      <c r="B651" s="2" t="s">
        <v>985</v>
      </c>
      <c r="C651" s="2" t="s">
        <v>986</v>
      </c>
      <c r="D651" s="2" t="s">
        <v>29</v>
      </c>
      <c r="E651" s="2" t="s">
        <v>255</v>
      </c>
      <c r="F651" s="2">
        <v>6.207350729E9</v>
      </c>
    </row>
    <row r="652" ht="15.75" customHeight="1">
      <c r="A652" s="2" t="s">
        <v>186</v>
      </c>
      <c r="B652" s="2" t="s">
        <v>418</v>
      </c>
      <c r="C652" s="2" t="s">
        <v>200</v>
      </c>
      <c r="D652" s="2" t="s">
        <v>26</v>
      </c>
      <c r="E652" s="2" t="s">
        <v>19</v>
      </c>
      <c r="F652" s="2">
        <v>9.833832219E9</v>
      </c>
    </row>
    <row r="653" ht="15.75" customHeight="1">
      <c r="A653" s="2" t="s">
        <v>987</v>
      </c>
      <c r="B653" s="2" t="s">
        <v>988</v>
      </c>
      <c r="C653" s="2" t="s">
        <v>445</v>
      </c>
      <c r="D653" s="2" t="s">
        <v>9</v>
      </c>
      <c r="E653" s="2" t="s">
        <v>282</v>
      </c>
      <c r="F653" s="2">
        <v>9.998529813E9</v>
      </c>
    </row>
    <row r="654" ht="15.75" customHeight="1">
      <c r="A654" s="2" t="s">
        <v>989</v>
      </c>
      <c r="B654" s="2" t="s">
        <v>248</v>
      </c>
      <c r="C654" s="2" t="s">
        <v>990</v>
      </c>
      <c r="D654" s="2" t="s">
        <v>29</v>
      </c>
      <c r="E654" s="2" t="s">
        <v>23</v>
      </c>
      <c r="F654" s="2">
        <v>6.206053257E9</v>
      </c>
    </row>
    <row r="655" ht="15.75" customHeight="1">
      <c r="A655" s="2" t="s">
        <v>991</v>
      </c>
      <c r="B655" s="2" t="s">
        <v>992</v>
      </c>
      <c r="C655" s="2" t="s">
        <v>455</v>
      </c>
      <c r="D655" s="2" t="s">
        <v>26</v>
      </c>
      <c r="E655" s="2" t="s">
        <v>19</v>
      </c>
      <c r="F655" s="2">
        <v>6.200624354E9</v>
      </c>
    </row>
    <row r="656" ht="15.75" customHeight="1">
      <c r="A656" s="2" t="s">
        <v>279</v>
      </c>
      <c r="B656" s="2" t="s">
        <v>119</v>
      </c>
      <c r="C656" s="2" t="s">
        <v>423</v>
      </c>
      <c r="D656" s="2" t="s">
        <v>14</v>
      </c>
      <c r="E656" s="2" t="s">
        <v>19</v>
      </c>
      <c r="F656" s="2">
        <v>9.471739018E9</v>
      </c>
    </row>
    <row r="657" ht="15.75" customHeight="1">
      <c r="A657" s="2" t="s">
        <v>993</v>
      </c>
      <c r="B657" s="2" t="s">
        <v>55</v>
      </c>
      <c r="C657" s="2" t="s">
        <v>181</v>
      </c>
      <c r="D657" s="2" t="s">
        <v>26</v>
      </c>
      <c r="E657" s="2" t="s">
        <v>19</v>
      </c>
      <c r="F657" s="2">
        <v>6.209217388E9</v>
      </c>
    </row>
    <row r="658" ht="15.75" customHeight="1">
      <c r="A658" s="2" t="s">
        <v>954</v>
      </c>
      <c r="B658" s="2" t="s">
        <v>119</v>
      </c>
      <c r="C658" s="2" t="s">
        <v>423</v>
      </c>
      <c r="D658" s="2" t="s">
        <v>26</v>
      </c>
      <c r="E658" s="2" t="s">
        <v>19</v>
      </c>
      <c r="F658" s="2">
        <v>9.471739018E9</v>
      </c>
    </row>
    <row r="659" ht="15.75" customHeight="1">
      <c r="A659" s="2" t="s">
        <v>994</v>
      </c>
      <c r="B659" s="2" t="s">
        <v>88</v>
      </c>
      <c r="C659" s="2" t="s">
        <v>576</v>
      </c>
      <c r="D659" s="2" t="s">
        <v>26</v>
      </c>
      <c r="E659" s="2" t="s">
        <v>255</v>
      </c>
      <c r="F659" s="2">
        <v>8.340483021E9</v>
      </c>
    </row>
    <row r="660" ht="15.75" customHeight="1">
      <c r="A660" s="2" t="s">
        <v>762</v>
      </c>
      <c r="B660" s="2" t="s">
        <v>50</v>
      </c>
      <c r="C660" s="2" t="s">
        <v>343</v>
      </c>
      <c r="D660" s="2" t="s">
        <v>9</v>
      </c>
      <c r="E660" s="2" t="s">
        <v>19</v>
      </c>
      <c r="F660" s="2">
        <v>6.200891353E9</v>
      </c>
    </row>
    <row r="661" ht="15.75" customHeight="1">
      <c r="A661" s="2" t="s">
        <v>146</v>
      </c>
      <c r="B661" s="2" t="s">
        <v>68</v>
      </c>
      <c r="C661" s="2" t="s">
        <v>995</v>
      </c>
      <c r="D661" s="2" t="s">
        <v>26</v>
      </c>
      <c r="E661" s="2" t="s">
        <v>494</v>
      </c>
      <c r="F661" s="2">
        <v>9.868210744E9</v>
      </c>
    </row>
    <row r="662" ht="15.75" customHeight="1">
      <c r="A662" s="2" t="s">
        <v>996</v>
      </c>
      <c r="B662" s="2" t="s">
        <v>997</v>
      </c>
      <c r="C662" s="2" t="s">
        <v>998</v>
      </c>
      <c r="D662" s="2" t="s">
        <v>14</v>
      </c>
      <c r="E662" s="2" t="s">
        <v>282</v>
      </c>
      <c r="F662" s="2">
        <v>9.998238981E9</v>
      </c>
    </row>
    <row r="663" ht="15.75" customHeight="1">
      <c r="A663" s="2" t="s">
        <v>535</v>
      </c>
      <c r="B663" s="2" t="s">
        <v>63</v>
      </c>
      <c r="C663" s="2" t="s">
        <v>970</v>
      </c>
      <c r="D663" s="2" t="s">
        <v>26</v>
      </c>
      <c r="E663" s="2" t="s">
        <v>19</v>
      </c>
      <c r="F663" s="2">
        <v>6.201099623E9</v>
      </c>
    </row>
    <row r="664" ht="15.75" customHeight="1">
      <c r="A664" s="2" t="s">
        <v>999</v>
      </c>
      <c r="B664" s="2" t="s">
        <v>999</v>
      </c>
      <c r="C664" s="2" t="s">
        <v>500</v>
      </c>
      <c r="D664" s="2" t="s">
        <v>44</v>
      </c>
      <c r="E664" s="2" t="s">
        <v>19</v>
      </c>
      <c r="F664" s="2">
        <v>9.123301958E9</v>
      </c>
    </row>
    <row r="665" ht="15.75" customHeight="1">
      <c r="A665" s="2" t="s">
        <v>1000</v>
      </c>
      <c r="B665" s="2" t="s">
        <v>212</v>
      </c>
      <c r="C665" s="2" t="s">
        <v>1001</v>
      </c>
      <c r="D665" s="2" t="s">
        <v>26</v>
      </c>
      <c r="E665" s="2" t="s">
        <v>23</v>
      </c>
      <c r="F665" s="2">
        <v>8.229811705E9</v>
      </c>
    </row>
    <row r="666" ht="15.75" customHeight="1">
      <c r="A666" s="2" t="s">
        <v>524</v>
      </c>
      <c r="B666" s="2" t="s">
        <v>69</v>
      </c>
      <c r="C666" s="2" t="s">
        <v>423</v>
      </c>
      <c r="D666" s="2" t="s">
        <v>44</v>
      </c>
      <c r="E666" s="2" t="s">
        <v>19</v>
      </c>
      <c r="F666" s="2">
        <v>9.113150569E9</v>
      </c>
    </row>
    <row r="667" ht="15.75" customHeight="1">
      <c r="A667" s="2" t="s">
        <v>1002</v>
      </c>
      <c r="B667" s="2" t="s">
        <v>276</v>
      </c>
      <c r="C667" s="2" t="s">
        <v>1003</v>
      </c>
      <c r="D667" s="2" t="s">
        <v>26</v>
      </c>
      <c r="E667" s="2" t="s">
        <v>255</v>
      </c>
      <c r="F667" s="2">
        <v>9.304899439E9</v>
      </c>
    </row>
    <row r="668" ht="15.75" customHeight="1">
      <c r="A668" s="2" t="s">
        <v>164</v>
      </c>
      <c r="B668" s="2" t="s">
        <v>55</v>
      </c>
      <c r="C668" s="2" t="s">
        <v>1004</v>
      </c>
      <c r="D668" s="2" t="s">
        <v>56</v>
      </c>
      <c r="E668" s="2" t="s">
        <v>19</v>
      </c>
      <c r="F668" s="2">
        <v>9.064649889E9</v>
      </c>
    </row>
    <row r="669" ht="15.75" customHeight="1">
      <c r="A669" s="2" t="s">
        <v>762</v>
      </c>
      <c r="B669" s="2" t="s">
        <v>50</v>
      </c>
      <c r="C669" s="2" t="s">
        <v>441</v>
      </c>
      <c r="D669" s="2" t="s">
        <v>26</v>
      </c>
      <c r="E669" s="2" t="s">
        <v>19</v>
      </c>
      <c r="F669" s="2">
        <v>9.430754991E9</v>
      </c>
    </row>
    <row r="670" ht="15.75" customHeight="1">
      <c r="A670" s="2" t="s">
        <v>1005</v>
      </c>
      <c r="B670" s="2" t="s">
        <v>220</v>
      </c>
      <c r="C670" s="2" t="s">
        <v>1001</v>
      </c>
      <c r="D670" s="2" t="s">
        <v>26</v>
      </c>
      <c r="E670" s="2" t="s">
        <v>23</v>
      </c>
      <c r="F670" s="2">
        <v>8.709282272E9</v>
      </c>
    </row>
    <row r="671" ht="15.75" customHeight="1">
      <c r="A671" s="2" t="s">
        <v>1006</v>
      </c>
      <c r="B671" s="2" t="s">
        <v>1007</v>
      </c>
      <c r="C671" s="2" t="s">
        <v>83</v>
      </c>
      <c r="D671" s="2" t="s">
        <v>44</v>
      </c>
      <c r="E671" s="2" t="s">
        <v>282</v>
      </c>
      <c r="F671" s="2">
        <v>9.90902572E9</v>
      </c>
    </row>
    <row r="672" ht="15.75" customHeight="1">
      <c r="A672" s="2" t="s">
        <v>208</v>
      </c>
      <c r="B672" s="2" t="s">
        <v>119</v>
      </c>
      <c r="C672" s="2" t="s">
        <v>423</v>
      </c>
      <c r="D672" s="2" t="s">
        <v>44</v>
      </c>
      <c r="E672" s="2" t="s">
        <v>19</v>
      </c>
      <c r="F672" s="2">
        <v>9.082679454E9</v>
      </c>
    </row>
    <row r="673" ht="15.75" customHeight="1">
      <c r="A673" s="2" t="s">
        <v>762</v>
      </c>
      <c r="B673" s="2" t="s">
        <v>108</v>
      </c>
      <c r="C673" s="2" t="s">
        <v>323</v>
      </c>
      <c r="D673" s="2" t="s">
        <v>44</v>
      </c>
      <c r="E673" s="2" t="s">
        <v>1008</v>
      </c>
      <c r="F673" s="2">
        <v>9.901060982E9</v>
      </c>
    </row>
    <row r="674" ht="15.75" customHeight="1">
      <c r="A674" s="2" t="s">
        <v>1009</v>
      </c>
      <c r="B674" s="2" t="s">
        <v>55</v>
      </c>
      <c r="C674" s="2" t="s">
        <v>1010</v>
      </c>
      <c r="D674" s="2" t="s">
        <v>56</v>
      </c>
      <c r="E674" s="2" t="s">
        <v>19</v>
      </c>
      <c r="F674" s="2">
        <v>8.54088787E9</v>
      </c>
    </row>
    <row r="675" ht="15.75" customHeight="1">
      <c r="A675" s="2" t="s">
        <v>1011</v>
      </c>
      <c r="B675" s="2" t="s">
        <v>55</v>
      </c>
      <c r="C675" s="2" t="s">
        <v>1012</v>
      </c>
      <c r="D675" s="2" t="s">
        <v>26</v>
      </c>
      <c r="E675" s="2" t="s">
        <v>255</v>
      </c>
      <c r="F675" s="2">
        <v>6.204392042E9</v>
      </c>
    </row>
    <row r="676" ht="15.75" customHeight="1">
      <c r="A676" s="2" t="s">
        <v>1013</v>
      </c>
      <c r="B676" s="2" t="s">
        <v>1014</v>
      </c>
      <c r="C676" s="2" t="s">
        <v>729</v>
      </c>
      <c r="D676" s="2" t="s">
        <v>26</v>
      </c>
      <c r="E676" s="2" t="s">
        <v>19</v>
      </c>
      <c r="F676" s="2">
        <v>9.57632849E9</v>
      </c>
    </row>
    <row r="677" ht="15.75" customHeight="1">
      <c r="A677" s="2" t="s">
        <v>241</v>
      </c>
      <c r="B677" s="2" t="s">
        <v>552</v>
      </c>
      <c r="C677" s="2" t="s">
        <v>611</v>
      </c>
      <c r="D677" s="2" t="s">
        <v>56</v>
      </c>
      <c r="E677" s="2" t="s">
        <v>19</v>
      </c>
      <c r="F677" s="2">
        <v>9.122301958E9</v>
      </c>
    </row>
    <row r="678" ht="15.75" customHeight="1">
      <c r="A678" s="2" t="s">
        <v>1015</v>
      </c>
      <c r="B678" s="2" t="s">
        <v>1015</v>
      </c>
      <c r="C678" s="2" t="s">
        <v>1016</v>
      </c>
      <c r="D678" s="2" t="s">
        <v>9</v>
      </c>
      <c r="E678" s="2" t="s">
        <v>19</v>
      </c>
      <c r="F678" s="2">
        <v>7.360903056E9</v>
      </c>
    </row>
    <row r="679" ht="15.75" customHeight="1">
      <c r="A679" s="2" t="s">
        <v>1017</v>
      </c>
      <c r="B679" s="2" t="s">
        <v>145</v>
      </c>
      <c r="C679" s="2" t="s">
        <v>370</v>
      </c>
      <c r="D679" s="2" t="s">
        <v>44</v>
      </c>
      <c r="E679" s="2" t="s">
        <v>19</v>
      </c>
      <c r="F679" s="2">
        <v>9.771901263E9</v>
      </c>
    </row>
    <row r="680" ht="15.75" customHeight="1">
      <c r="A680" s="2" t="s">
        <v>1018</v>
      </c>
      <c r="B680" s="2" t="s">
        <v>1019</v>
      </c>
      <c r="C680" s="2" t="s">
        <v>970</v>
      </c>
      <c r="D680" s="2" t="s">
        <v>26</v>
      </c>
      <c r="E680" s="2" t="s">
        <v>19</v>
      </c>
      <c r="F680" s="2">
        <v>8.122468102E9</v>
      </c>
    </row>
    <row r="681" ht="15.75" customHeight="1">
      <c r="A681" s="2" t="s">
        <v>279</v>
      </c>
      <c r="B681" s="2" t="s">
        <v>119</v>
      </c>
      <c r="C681" s="2" t="s">
        <v>343</v>
      </c>
      <c r="D681" s="2" t="s">
        <v>9</v>
      </c>
      <c r="E681" s="2" t="s">
        <v>19</v>
      </c>
      <c r="F681" s="2">
        <v>9.90580688E9</v>
      </c>
    </row>
    <row r="682" ht="15.75" customHeight="1">
      <c r="A682" s="2" t="s">
        <v>1020</v>
      </c>
      <c r="B682" s="2" t="s">
        <v>88</v>
      </c>
      <c r="C682" s="2" t="s">
        <v>423</v>
      </c>
      <c r="D682" s="2" t="s">
        <v>26</v>
      </c>
      <c r="E682" s="2" t="s">
        <v>19</v>
      </c>
      <c r="F682" s="2">
        <v>7.004655008E9</v>
      </c>
    </row>
    <row r="683" ht="15.75" customHeight="1">
      <c r="A683" s="2" t="s">
        <v>1021</v>
      </c>
      <c r="B683" s="2" t="s">
        <v>203</v>
      </c>
      <c r="C683" s="2" t="s">
        <v>957</v>
      </c>
      <c r="D683" s="2" t="s">
        <v>102</v>
      </c>
      <c r="E683" s="2" t="s">
        <v>19</v>
      </c>
      <c r="F683" s="2">
        <v>8.292711414E9</v>
      </c>
    </row>
    <row r="684" ht="15.75" customHeight="1">
      <c r="A684" s="2" t="s">
        <v>1022</v>
      </c>
      <c r="B684" s="2" t="s">
        <v>606</v>
      </c>
      <c r="C684" s="2" t="s">
        <v>1023</v>
      </c>
      <c r="D684" s="2" t="s">
        <v>26</v>
      </c>
      <c r="E684" s="2" t="s">
        <v>19</v>
      </c>
      <c r="F684" s="2">
        <v>7.991106263E9</v>
      </c>
    </row>
    <row r="685" ht="15.75" customHeight="1">
      <c r="A685" s="2" t="s">
        <v>279</v>
      </c>
      <c r="B685" s="2" t="s">
        <v>440</v>
      </c>
      <c r="C685" s="2" t="s">
        <v>1024</v>
      </c>
      <c r="D685" s="2" t="s">
        <v>44</v>
      </c>
      <c r="E685" s="2" t="s">
        <v>19</v>
      </c>
      <c r="F685" s="2">
        <v>9.334762426E9</v>
      </c>
    </row>
    <row r="686" ht="15.75" customHeight="1">
      <c r="A686" s="2" t="s">
        <v>1025</v>
      </c>
      <c r="B686" s="2" t="s">
        <v>1026</v>
      </c>
      <c r="C686" s="2" t="s">
        <v>844</v>
      </c>
      <c r="D686" s="2" t="s">
        <v>26</v>
      </c>
      <c r="E686" s="2" t="s">
        <v>23</v>
      </c>
      <c r="F686" s="2">
        <v>9.30448517E9</v>
      </c>
    </row>
    <row r="687" ht="15.75" customHeight="1">
      <c r="A687" s="2" t="s">
        <v>1027</v>
      </c>
      <c r="B687" s="2" t="s">
        <v>119</v>
      </c>
      <c r="C687" s="2" t="s">
        <v>423</v>
      </c>
      <c r="D687" s="2" t="s">
        <v>44</v>
      </c>
      <c r="E687" s="2" t="s">
        <v>19</v>
      </c>
      <c r="F687" s="2">
        <v>8.202303777E9</v>
      </c>
    </row>
    <row r="688" ht="15.75" customHeight="1">
      <c r="A688" s="2" t="s">
        <v>87</v>
      </c>
      <c r="B688" s="2" t="s">
        <v>119</v>
      </c>
      <c r="C688" s="2" t="s">
        <v>343</v>
      </c>
      <c r="D688" s="2" t="s">
        <v>26</v>
      </c>
      <c r="E688" s="2" t="s">
        <v>19</v>
      </c>
      <c r="F688" s="2">
        <v>8.271888896E9</v>
      </c>
    </row>
    <row r="689" ht="15.75" customHeight="1">
      <c r="A689" s="2" t="s">
        <v>1028</v>
      </c>
      <c r="B689" s="2" t="s">
        <v>1029</v>
      </c>
      <c r="C689" s="2" t="s">
        <v>445</v>
      </c>
      <c r="D689" s="2" t="s">
        <v>14</v>
      </c>
      <c r="E689" s="2" t="s">
        <v>282</v>
      </c>
      <c r="F689" s="2">
        <v>7.802873794E9</v>
      </c>
    </row>
    <row r="690" ht="15.75" customHeight="1">
      <c r="A690" s="2" t="s">
        <v>1030</v>
      </c>
      <c r="B690" s="2" t="s">
        <v>719</v>
      </c>
      <c r="C690" s="2" t="s">
        <v>204</v>
      </c>
      <c r="D690" s="2" t="s">
        <v>26</v>
      </c>
      <c r="E690" s="2" t="s">
        <v>255</v>
      </c>
      <c r="F690" s="2">
        <v>6.206949387E9</v>
      </c>
    </row>
    <row r="691" ht="15.75" customHeight="1">
      <c r="A691" s="2" t="s">
        <v>1031</v>
      </c>
      <c r="B691" s="2" t="s">
        <v>65</v>
      </c>
      <c r="C691" s="2" t="s">
        <v>423</v>
      </c>
      <c r="D691" s="2" t="s">
        <v>56</v>
      </c>
      <c r="E691" s="2" t="s">
        <v>19</v>
      </c>
      <c r="F691" s="2">
        <v>9.93182303E9</v>
      </c>
    </row>
    <row r="692" ht="15.75" customHeight="1">
      <c r="A692" s="2" t="s">
        <v>1032</v>
      </c>
      <c r="B692" s="2" t="s">
        <v>1033</v>
      </c>
      <c r="C692" s="2" t="s">
        <v>1034</v>
      </c>
      <c r="D692" s="2" t="s">
        <v>29</v>
      </c>
      <c r="E692" s="2" t="s">
        <v>23</v>
      </c>
      <c r="F692" s="2">
        <v>7.991101752E9</v>
      </c>
    </row>
    <row r="693" ht="15.75" customHeight="1">
      <c r="A693" s="2" t="s">
        <v>80</v>
      </c>
      <c r="B693" s="2" t="s">
        <v>212</v>
      </c>
      <c r="C693" s="2" t="s">
        <v>1012</v>
      </c>
      <c r="D693" s="2" t="s">
        <v>26</v>
      </c>
      <c r="E693" s="2" t="s">
        <v>19</v>
      </c>
      <c r="F693" s="2">
        <v>9.031952763E9</v>
      </c>
    </row>
    <row r="694" ht="15.75" customHeight="1">
      <c r="A694" s="2" t="s">
        <v>1035</v>
      </c>
      <c r="B694" s="2" t="s">
        <v>65</v>
      </c>
      <c r="C694" s="2" t="s">
        <v>1036</v>
      </c>
      <c r="D694" s="2" t="s">
        <v>26</v>
      </c>
      <c r="E694" s="2" t="s">
        <v>19</v>
      </c>
      <c r="F694" s="2">
        <v>8.507387838E9</v>
      </c>
    </row>
    <row r="695" ht="15.75" customHeight="1">
      <c r="A695" s="2" t="s">
        <v>564</v>
      </c>
      <c r="B695" s="2" t="s">
        <v>55</v>
      </c>
      <c r="C695" s="2" t="s">
        <v>576</v>
      </c>
      <c r="D695" s="2" t="s">
        <v>26</v>
      </c>
      <c r="E695" s="2" t="s">
        <v>255</v>
      </c>
      <c r="F695" s="2">
        <v>8.051100864E9</v>
      </c>
    </row>
    <row r="696" ht="15.75" customHeight="1">
      <c r="A696" s="2" t="s">
        <v>834</v>
      </c>
      <c r="B696" s="2" t="s">
        <v>50</v>
      </c>
      <c r="C696" s="2" t="s">
        <v>423</v>
      </c>
      <c r="D696" s="2" t="s">
        <v>56</v>
      </c>
      <c r="E696" s="2" t="s">
        <v>19</v>
      </c>
      <c r="F696" s="2">
        <v>9.798119634E9</v>
      </c>
    </row>
    <row r="697" ht="15.75" customHeight="1">
      <c r="A697" s="2" t="s">
        <v>1037</v>
      </c>
      <c r="B697" s="2" t="s">
        <v>50</v>
      </c>
      <c r="C697" s="2" t="s">
        <v>650</v>
      </c>
      <c r="D697" s="2" t="s">
        <v>9</v>
      </c>
      <c r="E697" s="2" t="s">
        <v>19</v>
      </c>
      <c r="F697" s="2">
        <v>9.708215905E9</v>
      </c>
    </row>
    <row r="698" ht="15.75" customHeight="1">
      <c r="A698" s="2" t="s">
        <v>268</v>
      </c>
      <c r="B698" s="2" t="s">
        <v>55</v>
      </c>
      <c r="C698" s="2" t="s">
        <v>543</v>
      </c>
      <c r="D698" s="2" t="s">
        <v>56</v>
      </c>
      <c r="E698" s="2" t="s">
        <v>23</v>
      </c>
      <c r="F698" s="2">
        <v>9.835863843E9</v>
      </c>
    </row>
    <row r="699" ht="15.75" customHeight="1">
      <c r="A699" s="2" t="s">
        <v>636</v>
      </c>
      <c r="B699" s="2" t="s">
        <v>1038</v>
      </c>
      <c r="C699" s="2" t="s">
        <v>1039</v>
      </c>
      <c r="D699" s="2" t="s">
        <v>26</v>
      </c>
      <c r="E699" s="2" t="s">
        <v>19</v>
      </c>
      <c r="F699" s="2">
        <v>7.079392122E9</v>
      </c>
    </row>
    <row r="700" ht="15.75" customHeight="1">
      <c r="A700" s="2" t="s">
        <v>263</v>
      </c>
      <c r="B700" s="2" t="s">
        <v>55</v>
      </c>
      <c r="C700" s="2" t="s">
        <v>83</v>
      </c>
      <c r="D700" s="2" t="s">
        <v>44</v>
      </c>
      <c r="E700" s="2" t="s">
        <v>255</v>
      </c>
      <c r="F700" s="2">
        <v>9.835863843E9</v>
      </c>
    </row>
    <row r="701" ht="15.75" customHeight="1">
      <c r="A701" s="2" t="s">
        <v>1040</v>
      </c>
      <c r="B701" s="2" t="s">
        <v>1041</v>
      </c>
      <c r="C701" s="2" t="s">
        <v>1042</v>
      </c>
      <c r="D701" s="2" t="s">
        <v>44</v>
      </c>
      <c r="E701" s="2" t="s">
        <v>19</v>
      </c>
      <c r="F701" s="2">
        <v>6.201626878E9</v>
      </c>
    </row>
    <row r="702" ht="15.75" customHeight="1">
      <c r="A702" s="2" t="s">
        <v>124</v>
      </c>
      <c r="B702" s="2" t="s">
        <v>124</v>
      </c>
      <c r="C702" s="2" t="s">
        <v>1010</v>
      </c>
      <c r="D702" s="2" t="s">
        <v>14</v>
      </c>
      <c r="E702" s="2" t="s">
        <v>19</v>
      </c>
      <c r="F702" s="2">
        <v>8.409722113E9</v>
      </c>
    </row>
    <row r="703" ht="15.75" customHeight="1">
      <c r="A703" s="2" t="s">
        <v>1043</v>
      </c>
      <c r="B703" s="2" t="s">
        <v>55</v>
      </c>
      <c r="C703" s="2" t="s">
        <v>274</v>
      </c>
      <c r="D703" s="2" t="s">
        <v>9</v>
      </c>
      <c r="E703" s="2" t="s">
        <v>23</v>
      </c>
      <c r="F703" s="2">
        <v>9.142737047E9</v>
      </c>
    </row>
    <row r="704" ht="15.75" customHeight="1">
      <c r="A704" s="2" t="s">
        <v>1044</v>
      </c>
      <c r="B704" s="2" t="s">
        <v>1045</v>
      </c>
      <c r="C704" s="2" t="s">
        <v>1042</v>
      </c>
      <c r="D704" s="2" t="s">
        <v>44</v>
      </c>
      <c r="E704" s="2" t="s">
        <v>19</v>
      </c>
      <c r="F704" s="2">
        <v>8.292553772E9</v>
      </c>
    </row>
    <row r="705" ht="15.75" customHeight="1">
      <c r="A705" s="2" t="s">
        <v>1037</v>
      </c>
      <c r="B705" s="2" t="s">
        <v>960</v>
      </c>
      <c r="C705" s="2" t="s">
        <v>300</v>
      </c>
      <c r="D705" s="2" t="s">
        <v>56</v>
      </c>
      <c r="E705" s="2" t="s">
        <v>19</v>
      </c>
      <c r="F705" s="2">
        <v>8.252292538E9</v>
      </c>
    </row>
    <row r="706" ht="15.75" customHeight="1">
      <c r="A706" s="2" t="s">
        <v>1046</v>
      </c>
      <c r="B706" s="2" t="s">
        <v>88</v>
      </c>
      <c r="C706" s="2" t="s">
        <v>1042</v>
      </c>
      <c r="D706" s="2" t="s">
        <v>44</v>
      </c>
      <c r="E706" s="2" t="s">
        <v>19</v>
      </c>
      <c r="F706" s="2">
        <v>9.50897675E9</v>
      </c>
    </row>
    <row r="707" ht="15.75" customHeight="1">
      <c r="A707" s="2" t="s">
        <v>1047</v>
      </c>
      <c r="B707" s="2" t="s">
        <v>269</v>
      </c>
      <c r="C707" s="2" t="s">
        <v>592</v>
      </c>
      <c r="D707" s="2" t="s">
        <v>26</v>
      </c>
      <c r="E707" s="2" t="s">
        <v>255</v>
      </c>
      <c r="F707" s="2">
        <v>8.210400563E9</v>
      </c>
    </row>
    <row r="708" ht="15.75" customHeight="1">
      <c r="A708" s="2" t="s">
        <v>642</v>
      </c>
      <c r="B708" s="2" t="s">
        <v>55</v>
      </c>
      <c r="C708" s="2" t="s">
        <v>910</v>
      </c>
      <c r="D708" s="2" t="s">
        <v>44</v>
      </c>
      <c r="E708" s="2" t="s">
        <v>23</v>
      </c>
      <c r="F708" s="2">
        <v>8.409550534E9</v>
      </c>
    </row>
    <row r="709" ht="15.75" customHeight="1">
      <c r="A709" s="2" t="s">
        <v>1048</v>
      </c>
      <c r="B709" s="2" t="s">
        <v>1049</v>
      </c>
      <c r="C709" s="2" t="s">
        <v>1050</v>
      </c>
      <c r="D709" s="2" t="s">
        <v>56</v>
      </c>
      <c r="E709" s="2" t="s">
        <v>19</v>
      </c>
      <c r="F709" s="2">
        <v>7.634045451E9</v>
      </c>
    </row>
    <row r="710" ht="15.75" customHeight="1">
      <c r="A710" s="2" t="s">
        <v>1051</v>
      </c>
      <c r="B710" s="2" t="s">
        <v>52</v>
      </c>
      <c r="C710" s="2" t="s">
        <v>867</v>
      </c>
      <c r="D710" s="2" t="s">
        <v>26</v>
      </c>
      <c r="E710" s="2" t="s">
        <v>255</v>
      </c>
      <c r="F710" s="2">
        <v>7.250610112E9</v>
      </c>
    </row>
    <row r="711" ht="15.75" customHeight="1">
      <c r="A711" s="2" t="s">
        <v>549</v>
      </c>
      <c r="B711" s="2" t="s">
        <v>63</v>
      </c>
      <c r="C711" s="2" t="s">
        <v>305</v>
      </c>
      <c r="D711" s="2" t="s">
        <v>9</v>
      </c>
      <c r="E711" s="2" t="s">
        <v>19</v>
      </c>
      <c r="F711" s="2">
        <v>8.285897616E9</v>
      </c>
    </row>
    <row r="712" ht="15.75" customHeight="1">
      <c r="A712" s="2" t="s">
        <v>1052</v>
      </c>
      <c r="B712" s="2" t="s">
        <v>1053</v>
      </c>
      <c r="C712" s="2" t="s">
        <v>133</v>
      </c>
      <c r="D712" s="2" t="s">
        <v>56</v>
      </c>
      <c r="E712" s="2" t="s">
        <v>19</v>
      </c>
      <c r="F712" s="2">
        <v>9.70825219E9</v>
      </c>
    </row>
    <row r="713" ht="15.75" customHeight="1">
      <c r="A713" s="2" t="s">
        <v>578</v>
      </c>
      <c r="B713" s="2" t="s">
        <v>119</v>
      </c>
      <c r="C713" s="2" t="s">
        <v>1042</v>
      </c>
      <c r="D713" s="2" t="s">
        <v>56</v>
      </c>
      <c r="E713" s="2" t="s">
        <v>19</v>
      </c>
      <c r="F713" s="2">
        <v>7.488973451E9</v>
      </c>
    </row>
    <row r="714" ht="15.75" customHeight="1">
      <c r="A714" s="2" t="s">
        <v>1054</v>
      </c>
      <c r="B714" s="2" t="s">
        <v>719</v>
      </c>
      <c r="C714" s="2" t="s">
        <v>249</v>
      </c>
      <c r="D714" s="2" t="s">
        <v>29</v>
      </c>
      <c r="E714" s="2" t="s">
        <v>23</v>
      </c>
      <c r="F714" s="2">
        <v>7.992286819E9</v>
      </c>
    </row>
    <row r="715" ht="15.75" customHeight="1">
      <c r="A715" s="2" t="s">
        <v>1055</v>
      </c>
      <c r="B715" s="2" t="s">
        <v>1056</v>
      </c>
      <c r="C715" s="2" t="s">
        <v>1057</v>
      </c>
      <c r="D715" s="2" t="s">
        <v>14</v>
      </c>
      <c r="E715" s="2" t="s">
        <v>19</v>
      </c>
      <c r="F715" s="2">
        <v>7.761853183E9</v>
      </c>
    </row>
    <row r="716" ht="15.75" customHeight="1">
      <c r="A716" s="2" t="s">
        <v>1030</v>
      </c>
      <c r="B716" s="2" t="s">
        <v>55</v>
      </c>
      <c r="C716" s="2" t="s">
        <v>204</v>
      </c>
      <c r="D716" s="2" t="s">
        <v>56</v>
      </c>
      <c r="E716" s="2" t="s">
        <v>255</v>
      </c>
      <c r="F716" s="2">
        <v>9.472988003E9</v>
      </c>
    </row>
    <row r="717" ht="15.75" customHeight="1">
      <c r="A717" s="2" t="s">
        <v>549</v>
      </c>
      <c r="B717" s="2" t="s">
        <v>1058</v>
      </c>
      <c r="C717" s="2" t="s">
        <v>1059</v>
      </c>
      <c r="D717" s="2" t="s">
        <v>14</v>
      </c>
      <c r="E717" s="2" t="s">
        <v>19</v>
      </c>
      <c r="F717" s="2">
        <v>9.800806372E9</v>
      </c>
    </row>
    <row r="718" ht="15.75" customHeight="1">
      <c r="A718" s="2" t="s">
        <v>1060</v>
      </c>
      <c r="B718" s="2" t="s">
        <v>55</v>
      </c>
      <c r="C718" s="2" t="s">
        <v>1034</v>
      </c>
      <c r="D718" s="2" t="s">
        <v>56</v>
      </c>
      <c r="E718" s="2" t="s">
        <v>23</v>
      </c>
      <c r="F718" s="2">
        <v>9.931258193E9</v>
      </c>
    </row>
    <row r="719" ht="15.75" customHeight="1">
      <c r="A719" s="2" t="s">
        <v>272</v>
      </c>
      <c r="B719" s="2" t="s">
        <v>1061</v>
      </c>
      <c r="C719" s="2" t="s">
        <v>1062</v>
      </c>
      <c r="D719" s="2" t="s">
        <v>29</v>
      </c>
      <c r="E719" s="2" t="s">
        <v>19</v>
      </c>
      <c r="F719" s="2">
        <v>7.31971731E9</v>
      </c>
    </row>
    <row r="720" ht="15.75" customHeight="1">
      <c r="A720" s="2" t="s">
        <v>1063</v>
      </c>
      <c r="B720" s="2" t="s">
        <v>119</v>
      </c>
      <c r="C720" s="2" t="s">
        <v>156</v>
      </c>
      <c r="D720" s="2" t="s">
        <v>26</v>
      </c>
      <c r="E720" s="2" t="s">
        <v>19</v>
      </c>
      <c r="F720" s="2">
        <v>8.581018495E9</v>
      </c>
    </row>
    <row r="721" ht="15.75" customHeight="1">
      <c r="A721" s="2" t="s">
        <v>1064</v>
      </c>
      <c r="B721" s="2" t="s">
        <v>88</v>
      </c>
      <c r="C721" s="2" t="s">
        <v>237</v>
      </c>
      <c r="D721" s="2" t="s">
        <v>9</v>
      </c>
      <c r="E721" s="2" t="s">
        <v>255</v>
      </c>
      <c r="F721" s="2">
        <v>7.488773676E9</v>
      </c>
    </row>
    <row r="722" ht="15.75" customHeight="1">
      <c r="A722" s="2" t="s">
        <v>1065</v>
      </c>
      <c r="B722" s="2" t="s">
        <v>50</v>
      </c>
      <c r="C722" s="2" t="s">
        <v>1066</v>
      </c>
      <c r="D722" s="2" t="s">
        <v>26</v>
      </c>
      <c r="E722" s="2" t="s">
        <v>19</v>
      </c>
      <c r="F722" s="2">
        <v>7.012939386E9</v>
      </c>
    </row>
    <row r="723" ht="15.75" customHeight="1">
      <c r="A723" s="2" t="s">
        <v>1067</v>
      </c>
      <c r="B723" s="2" t="s">
        <v>1068</v>
      </c>
      <c r="C723" s="2" t="s">
        <v>1069</v>
      </c>
      <c r="D723" s="2" t="s">
        <v>26</v>
      </c>
      <c r="E723" s="2" t="s">
        <v>23</v>
      </c>
      <c r="F723" s="2">
        <v>9.334108306E9</v>
      </c>
    </row>
    <row r="724" ht="15.75" customHeight="1">
      <c r="A724" s="2" t="s">
        <v>1070</v>
      </c>
      <c r="B724" s="2" t="s">
        <v>119</v>
      </c>
      <c r="C724" s="2" t="s">
        <v>1042</v>
      </c>
      <c r="D724" s="2" t="s">
        <v>44</v>
      </c>
      <c r="E724" s="2" t="s">
        <v>19</v>
      </c>
      <c r="F724" s="2">
        <v>9.507553818E9</v>
      </c>
    </row>
    <row r="725" ht="15.75" customHeight="1">
      <c r="A725" s="2" t="s">
        <v>1071</v>
      </c>
      <c r="B725" s="2" t="s">
        <v>112</v>
      </c>
      <c r="C725" s="2" t="s">
        <v>1072</v>
      </c>
      <c r="D725" s="2" t="s">
        <v>26</v>
      </c>
      <c r="E725" s="2" t="s">
        <v>19</v>
      </c>
      <c r="F725" s="2">
        <v>9.525990027E9</v>
      </c>
    </row>
    <row r="726" ht="15.75" customHeight="1">
      <c r="A726" s="2" t="s">
        <v>1031</v>
      </c>
      <c r="B726" s="2" t="s">
        <v>50</v>
      </c>
      <c r="C726" s="2" t="s">
        <v>412</v>
      </c>
      <c r="D726" s="2" t="s">
        <v>56</v>
      </c>
      <c r="E726" s="2" t="s">
        <v>19</v>
      </c>
      <c r="F726" s="2">
        <v>7.280047153E9</v>
      </c>
    </row>
    <row r="727" ht="15.75" customHeight="1">
      <c r="A727" s="2" t="s">
        <v>1073</v>
      </c>
      <c r="B727" s="2" t="s">
        <v>276</v>
      </c>
      <c r="C727" s="2" t="s">
        <v>986</v>
      </c>
      <c r="D727" s="2" t="s">
        <v>29</v>
      </c>
      <c r="E727" s="2" t="s">
        <v>255</v>
      </c>
      <c r="F727" s="2">
        <v>6.202905428E9</v>
      </c>
    </row>
    <row r="728" ht="15.75" customHeight="1">
      <c r="A728" s="2" t="s">
        <v>1074</v>
      </c>
      <c r="B728" s="2" t="s">
        <v>1075</v>
      </c>
      <c r="C728" s="2" t="s">
        <v>729</v>
      </c>
      <c r="D728" s="2" t="s">
        <v>29</v>
      </c>
      <c r="E728" s="2" t="s">
        <v>19</v>
      </c>
      <c r="F728" s="2">
        <v>7.992439183E9</v>
      </c>
    </row>
    <row r="729" ht="15.75" customHeight="1">
      <c r="A729" s="2" t="s">
        <v>1030</v>
      </c>
      <c r="B729" s="2" t="s">
        <v>212</v>
      </c>
      <c r="C729" s="2" t="s">
        <v>249</v>
      </c>
      <c r="D729" s="2" t="s">
        <v>56</v>
      </c>
      <c r="E729" s="2" t="s">
        <v>23</v>
      </c>
      <c r="F729" s="2">
        <v>9.931091141E9</v>
      </c>
    </row>
    <row r="730" ht="15.75" customHeight="1">
      <c r="A730" s="2" t="s">
        <v>1076</v>
      </c>
      <c r="B730" s="2" t="s">
        <v>1077</v>
      </c>
      <c r="C730" s="2" t="s">
        <v>1042</v>
      </c>
      <c r="D730" s="2" t="s">
        <v>44</v>
      </c>
      <c r="E730" s="2" t="s">
        <v>19</v>
      </c>
      <c r="F730" s="2">
        <v>8.210592821E9</v>
      </c>
    </row>
    <row r="731" ht="15.75" customHeight="1">
      <c r="A731" s="2" t="s">
        <v>1078</v>
      </c>
      <c r="B731" s="2" t="s">
        <v>55</v>
      </c>
      <c r="C731" s="2" t="s">
        <v>83</v>
      </c>
      <c r="D731" s="2" t="s">
        <v>29</v>
      </c>
      <c r="E731" s="2" t="s">
        <v>255</v>
      </c>
      <c r="F731" s="2">
        <v>8.521558168E9</v>
      </c>
    </row>
    <row r="732" ht="15.75" customHeight="1">
      <c r="A732" s="2" t="s">
        <v>1079</v>
      </c>
      <c r="B732" s="2" t="s">
        <v>65</v>
      </c>
      <c r="C732" s="2" t="s">
        <v>1080</v>
      </c>
      <c r="D732" s="2" t="s">
        <v>44</v>
      </c>
      <c r="E732" s="2" t="s">
        <v>282</v>
      </c>
      <c r="F732" s="2">
        <v>9.427016448E9</v>
      </c>
    </row>
    <row r="733" ht="15.75" customHeight="1">
      <c r="A733" s="2" t="s">
        <v>805</v>
      </c>
      <c r="B733" s="2" t="s">
        <v>112</v>
      </c>
      <c r="C733" s="2" t="s">
        <v>230</v>
      </c>
      <c r="D733" s="2" t="s">
        <v>29</v>
      </c>
      <c r="E733" s="2" t="s">
        <v>19</v>
      </c>
      <c r="F733" s="2">
        <v>9.431766578E9</v>
      </c>
    </row>
    <row r="734" ht="15.75" customHeight="1">
      <c r="A734" s="2" t="s">
        <v>590</v>
      </c>
      <c r="B734" s="2" t="s">
        <v>212</v>
      </c>
      <c r="C734" s="2" t="s">
        <v>1081</v>
      </c>
      <c r="D734" s="2" t="s">
        <v>29</v>
      </c>
      <c r="E734" s="2" t="s">
        <v>23</v>
      </c>
      <c r="F734" s="2">
        <v>6.202612938E9</v>
      </c>
    </row>
    <row r="735" ht="15.75" customHeight="1">
      <c r="A735" s="2" t="s">
        <v>1082</v>
      </c>
      <c r="B735" s="2" t="s">
        <v>582</v>
      </c>
      <c r="C735" s="2" t="s">
        <v>1083</v>
      </c>
      <c r="D735" s="2" t="s">
        <v>26</v>
      </c>
      <c r="E735" s="2" t="s">
        <v>19</v>
      </c>
      <c r="F735" s="2">
        <v>7.545844871E9</v>
      </c>
    </row>
    <row r="736" ht="15.75" customHeight="1">
      <c r="A736" s="2" t="s">
        <v>1084</v>
      </c>
      <c r="B736" s="2" t="s">
        <v>559</v>
      </c>
      <c r="C736" s="2" t="s">
        <v>1042</v>
      </c>
      <c r="D736" s="2" t="s">
        <v>56</v>
      </c>
      <c r="E736" s="2" t="s">
        <v>19</v>
      </c>
      <c r="F736" s="2">
        <v>9.934226842E9</v>
      </c>
    </row>
    <row r="737" ht="15.75" customHeight="1">
      <c r="A737" s="2" t="s">
        <v>1079</v>
      </c>
      <c r="B737" s="2" t="s">
        <v>1085</v>
      </c>
      <c r="C737" s="2" t="s">
        <v>536</v>
      </c>
      <c r="D737" s="2" t="s">
        <v>26</v>
      </c>
      <c r="E737" s="2" t="s">
        <v>19</v>
      </c>
      <c r="F737" s="2">
        <v>6.20298542E9</v>
      </c>
    </row>
    <row r="738" ht="15.75" customHeight="1">
      <c r="A738" s="2" t="s">
        <v>1086</v>
      </c>
      <c r="B738" s="2" t="s">
        <v>815</v>
      </c>
      <c r="C738" s="2" t="s">
        <v>1012</v>
      </c>
      <c r="D738" s="2" t="s">
        <v>29</v>
      </c>
      <c r="E738" s="2" t="s">
        <v>255</v>
      </c>
      <c r="F738" s="2">
        <v>7.979047747E9</v>
      </c>
    </row>
    <row r="739" ht="15.75" customHeight="1">
      <c r="A739" s="2" t="s">
        <v>1087</v>
      </c>
      <c r="B739" s="2" t="s">
        <v>63</v>
      </c>
      <c r="C739" s="2" t="s">
        <v>1042</v>
      </c>
      <c r="D739" s="2" t="s">
        <v>26</v>
      </c>
      <c r="E739" s="2" t="s">
        <v>19</v>
      </c>
      <c r="F739" s="2">
        <v>9.471121777E9</v>
      </c>
    </row>
    <row r="740" ht="15.75" customHeight="1">
      <c r="A740" s="2" t="s">
        <v>336</v>
      </c>
      <c r="B740" s="2" t="s">
        <v>55</v>
      </c>
      <c r="C740" s="2" t="s">
        <v>990</v>
      </c>
      <c r="D740" s="2" t="s">
        <v>29</v>
      </c>
      <c r="E740" s="2" t="s">
        <v>23</v>
      </c>
      <c r="F740" s="2">
        <v>9.523440267E9</v>
      </c>
    </row>
    <row r="741" ht="15.75" customHeight="1">
      <c r="A741" s="2" t="s">
        <v>1088</v>
      </c>
      <c r="B741" s="2" t="s">
        <v>63</v>
      </c>
      <c r="C741" s="2" t="s">
        <v>905</v>
      </c>
      <c r="D741" s="2" t="s">
        <v>26</v>
      </c>
      <c r="E741" s="2" t="s">
        <v>19</v>
      </c>
      <c r="F741" s="2">
        <v>9.113150569E9</v>
      </c>
    </row>
    <row r="742" ht="15.75" customHeight="1">
      <c r="A742" s="2" t="s">
        <v>1089</v>
      </c>
      <c r="B742" s="2" t="s">
        <v>55</v>
      </c>
      <c r="C742" s="2" t="s">
        <v>237</v>
      </c>
      <c r="D742" s="2" t="s">
        <v>56</v>
      </c>
      <c r="E742" s="2" t="s">
        <v>255</v>
      </c>
      <c r="F742" s="2">
        <v>6.299962769E9</v>
      </c>
    </row>
    <row r="743" ht="15.75" customHeight="1">
      <c r="A743" s="2" t="s">
        <v>892</v>
      </c>
      <c r="B743" s="2" t="s">
        <v>52</v>
      </c>
      <c r="C743" s="2" t="s">
        <v>1042</v>
      </c>
      <c r="D743" s="2" t="s">
        <v>26</v>
      </c>
      <c r="E743" s="2" t="s">
        <v>19</v>
      </c>
      <c r="F743" s="2">
        <v>9.801981302E9</v>
      </c>
    </row>
    <row r="744" ht="15.75" customHeight="1">
      <c r="A744" s="2" t="s">
        <v>1079</v>
      </c>
      <c r="B744" s="2" t="s">
        <v>1090</v>
      </c>
      <c r="C744" s="2" t="s">
        <v>867</v>
      </c>
      <c r="D744" s="2" t="s">
        <v>56</v>
      </c>
      <c r="E744" s="2" t="s">
        <v>19</v>
      </c>
      <c r="F744" s="2">
        <v>9.57584401E9</v>
      </c>
    </row>
    <row r="745" ht="15.75" customHeight="1">
      <c r="A745" s="2" t="s">
        <v>1091</v>
      </c>
      <c r="B745" s="2" t="s">
        <v>664</v>
      </c>
      <c r="C745" s="2" t="s">
        <v>1042</v>
      </c>
      <c r="D745" s="2" t="s">
        <v>44</v>
      </c>
      <c r="E745" s="2" t="s">
        <v>19</v>
      </c>
      <c r="F745" s="2">
        <v>8.521827267E9</v>
      </c>
    </row>
    <row r="746" ht="15.75" customHeight="1">
      <c r="A746" s="2" t="s">
        <v>1092</v>
      </c>
      <c r="B746" s="2" t="s">
        <v>1093</v>
      </c>
      <c r="C746" s="2" t="s">
        <v>1094</v>
      </c>
      <c r="D746" s="2" t="s">
        <v>9</v>
      </c>
      <c r="E746" s="2" t="s">
        <v>1095</v>
      </c>
      <c r="F746" s="2">
        <v>7.701870479E9</v>
      </c>
    </row>
    <row r="747" ht="15.75" customHeight="1">
      <c r="A747" s="2" t="s">
        <v>1096</v>
      </c>
      <c r="B747" s="2" t="s">
        <v>119</v>
      </c>
      <c r="C747" s="2">
        <v>8.40951987E9</v>
      </c>
      <c r="D747" s="2" t="s">
        <v>26</v>
      </c>
      <c r="E747" s="2" t="s">
        <v>19</v>
      </c>
      <c r="F747" s="2">
        <v>8.40951987E9</v>
      </c>
    </row>
    <row r="748" ht="15.75" customHeight="1">
      <c r="A748" s="2" t="s">
        <v>1097</v>
      </c>
      <c r="B748" s="2" t="s">
        <v>65</v>
      </c>
      <c r="C748" s="2" t="s">
        <v>1098</v>
      </c>
      <c r="D748" s="2" t="s">
        <v>26</v>
      </c>
      <c r="E748" s="2" t="s">
        <v>19</v>
      </c>
      <c r="F748" s="2">
        <v>8.291381945E9</v>
      </c>
    </row>
    <row r="749" ht="15.75" customHeight="1">
      <c r="A749" s="2" t="s">
        <v>1099</v>
      </c>
      <c r="B749" s="2" t="s">
        <v>1100</v>
      </c>
      <c r="C749" s="2" t="s">
        <v>1101</v>
      </c>
      <c r="D749" s="2" t="s">
        <v>29</v>
      </c>
      <c r="E749" s="2" t="s">
        <v>1102</v>
      </c>
      <c r="F749" s="2">
        <v>9.91024598E9</v>
      </c>
    </row>
    <row r="750" ht="15.75" customHeight="1">
      <c r="A750" s="2" t="s">
        <v>365</v>
      </c>
      <c r="B750" s="2" t="s">
        <v>50</v>
      </c>
      <c r="C750" s="2" t="s">
        <v>1042</v>
      </c>
      <c r="D750" s="2" t="s">
        <v>44</v>
      </c>
      <c r="E750" s="2" t="s">
        <v>19</v>
      </c>
      <c r="F750" s="2">
        <v>9.472782233E9</v>
      </c>
    </row>
    <row r="751" ht="15.75" customHeight="1">
      <c r="A751" s="2" t="s">
        <v>1103</v>
      </c>
      <c r="B751" s="2" t="s">
        <v>50</v>
      </c>
      <c r="C751" s="2" t="s">
        <v>1042</v>
      </c>
      <c r="D751" s="2" t="s">
        <v>14</v>
      </c>
      <c r="E751" s="2" t="s">
        <v>19</v>
      </c>
      <c r="F751" s="2">
        <v>9.798029202E9</v>
      </c>
    </row>
    <row r="752" ht="15.75" customHeight="1">
      <c r="A752" s="2" t="s">
        <v>215</v>
      </c>
      <c r="B752" s="2" t="s">
        <v>1014</v>
      </c>
      <c r="C752" s="2" t="s">
        <v>741</v>
      </c>
      <c r="D752" s="2" t="s">
        <v>29</v>
      </c>
      <c r="E752" s="2" t="s">
        <v>19</v>
      </c>
      <c r="F752" s="2">
        <v>6.299636619E9</v>
      </c>
    </row>
    <row r="753" ht="15.75" customHeight="1">
      <c r="A753" s="2" t="s">
        <v>406</v>
      </c>
      <c r="B753" s="2" t="s">
        <v>850</v>
      </c>
      <c r="C753" s="2" t="s">
        <v>1042</v>
      </c>
      <c r="D753" s="2" t="s">
        <v>44</v>
      </c>
      <c r="E753" s="2" t="s">
        <v>19</v>
      </c>
      <c r="F753" s="2">
        <v>8.539053403E9</v>
      </c>
    </row>
    <row r="754" ht="15.75" customHeight="1">
      <c r="A754" s="2" t="s">
        <v>1104</v>
      </c>
      <c r="B754" s="2" t="s">
        <v>125</v>
      </c>
      <c r="C754" s="2" t="s">
        <v>905</v>
      </c>
      <c r="D754" s="2" t="s">
        <v>26</v>
      </c>
      <c r="E754" s="2" t="s">
        <v>19</v>
      </c>
      <c r="F754" s="2">
        <v>7.764035719E9</v>
      </c>
    </row>
    <row r="755" ht="15.75" customHeight="1">
      <c r="A755" s="2" t="s">
        <v>110</v>
      </c>
      <c r="B755" s="2" t="s">
        <v>199</v>
      </c>
      <c r="C755" s="2" t="s">
        <v>1042</v>
      </c>
      <c r="D755" s="2" t="s">
        <v>102</v>
      </c>
      <c r="E755" s="2" t="s">
        <v>19</v>
      </c>
      <c r="F755" s="2">
        <v>7.887992202E9</v>
      </c>
    </row>
    <row r="756" ht="15.75" customHeight="1">
      <c r="A756" s="2" t="s">
        <v>1105</v>
      </c>
      <c r="B756" s="2" t="s">
        <v>1106</v>
      </c>
      <c r="C756" s="2" t="s">
        <v>1107</v>
      </c>
      <c r="D756" s="2" t="s">
        <v>1108</v>
      </c>
      <c r="E756" s="2" t="s">
        <v>1109</v>
      </c>
      <c r="F756" s="2">
        <v>8.056993959E9</v>
      </c>
    </row>
    <row r="757" ht="15.75" customHeight="1">
      <c r="A757" s="2" t="s">
        <v>231</v>
      </c>
      <c r="B757" s="2" t="s">
        <v>231</v>
      </c>
      <c r="C757" s="2" t="s">
        <v>1110</v>
      </c>
      <c r="D757" s="2" t="s">
        <v>26</v>
      </c>
      <c r="E757" s="2" t="s">
        <v>23</v>
      </c>
      <c r="F757" s="2">
        <v>9.546777029E9</v>
      </c>
    </row>
    <row r="758" ht="15.75" customHeight="1">
      <c r="A758" s="2" t="s">
        <v>1111</v>
      </c>
      <c r="B758" s="2" t="s">
        <v>55</v>
      </c>
      <c r="C758" s="2" t="s">
        <v>34</v>
      </c>
      <c r="D758" s="2" t="s">
        <v>44</v>
      </c>
      <c r="E758" s="2" t="s">
        <v>23</v>
      </c>
      <c r="F758" s="2">
        <v>7.870796061E9</v>
      </c>
    </row>
    <row r="759" ht="15.75" customHeight="1">
      <c r="A759" s="2" t="s">
        <v>1112</v>
      </c>
      <c r="B759" s="2" t="s">
        <v>65</v>
      </c>
      <c r="C759" s="2" t="s">
        <v>1113</v>
      </c>
      <c r="D759" s="2" t="s">
        <v>26</v>
      </c>
      <c r="E759" s="2" t="s">
        <v>19</v>
      </c>
      <c r="F759" s="2">
        <v>7.033805595E9</v>
      </c>
    </row>
    <row r="760" ht="15.75" customHeight="1">
      <c r="A760" s="2" t="s">
        <v>1114</v>
      </c>
      <c r="B760" s="2" t="s">
        <v>1114</v>
      </c>
      <c r="C760" s="2" t="s">
        <v>1115</v>
      </c>
      <c r="D760" s="2" t="s">
        <v>56</v>
      </c>
      <c r="E760" s="2" t="s">
        <v>23</v>
      </c>
      <c r="F760" s="2">
        <v>9.30496229E9</v>
      </c>
    </row>
    <row r="761" ht="15.75" customHeight="1">
      <c r="A761" s="2" t="s">
        <v>1116</v>
      </c>
      <c r="B761" s="2" t="s">
        <v>55</v>
      </c>
      <c r="C761" s="2" t="s">
        <v>399</v>
      </c>
      <c r="D761" s="2" t="s">
        <v>29</v>
      </c>
      <c r="E761" s="2" t="s">
        <v>23</v>
      </c>
      <c r="F761" s="2">
        <v>6.207625109E9</v>
      </c>
    </row>
    <row r="762" ht="15.75" customHeight="1">
      <c r="A762" s="2" t="s">
        <v>1030</v>
      </c>
      <c r="B762" s="2" t="s">
        <v>1117</v>
      </c>
      <c r="C762" s="2" t="s">
        <v>154</v>
      </c>
      <c r="D762" s="2" t="s">
        <v>44</v>
      </c>
      <c r="E762" s="2" t="s">
        <v>23</v>
      </c>
      <c r="F762" s="2">
        <v>8.252937816E9</v>
      </c>
    </row>
    <row r="763" ht="15.75" customHeight="1">
      <c r="A763" s="2" t="s">
        <v>1118</v>
      </c>
      <c r="B763" s="2" t="s">
        <v>55</v>
      </c>
      <c r="C763" s="2" t="s">
        <v>1119</v>
      </c>
      <c r="D763" s="2" t="s">
        <v>29</v>
      </c>
      <c r="E763" s="2" t="s">
        <v>255</v>
      </c>
      <c r="F763" s="2">
        <v>7.488627795E9</v>
      </c>
    </row>
    <row r="764" ht="15.75" customHeight="1">
      <c r="A764" s="2" t="s">
        <v>1112</v>
      </c>
      <c r="B764" s="2" t="s">
        <v>50</v>
      </c>
      <c r="C764" s="2" t="s">
        <v>650</v>
      </c>
      <c r="D764" s="2" t="s">
        <v>29</v>
      </c>
      <c r="E764" s="2" t="s">
        <v>19</v>
      </c>
      <c r="F764" s="2">
        <v>8.434403068E9</v>
      </c>
    </row>
    <row r="765" ht="15.75" customHeight="1">
      <c r="A765" s="2" t="s">
        <v>1120</v>
      </c>
      <c r="B765" s="2" t="s">
        <v>1121</v>
      </c>
      <c r="C765" s="2" t="s">
        <v>939</v>
      </c>
      <c r="D765" s="2" t="s">
        <v>56</v>
      </c>
      <c r="E765" s="2" t="s">
        <v>23</v>
      </c>
      <c r="F765" s="2">
        <v>9.608454043E9</v>
      </c>
    </row>
    <row r="766" ht="15.75" customHeight="1">
      <c r="A766" s="2" t="s">
        <v>1122</v>
      </c>
      <c r="B766" s="2" t="s">
        <v>212</v>
      </c>
      <c r="C766" s="2" t="s">
        <v>910</v>
      </c>
      <c r="D766" s="2" t="s">
        <v>56</v>
      </c>
      <c r="E766" s="2" t="s">
        <v>23</v>
      </c>
      <c r="F766" s="2">
        <v>8.877533223E9</v>
      </c>
    </row>
    <row r="767" ht="15.75" customHeight="1">
      <c r="A767" s="2" t="s">
        <v>1030</v>
      </c>
      <c r="B767" s="2" t="s">
        <v>55</v>
      </c>
      <c r="C767" s="2" t="s">
        <v>1001</v>
      </c>
      <c r="D767" s="2" t="s">
        <v>44</v>
      </c>
      <c r="E767" s="2" t="s">
        <v>23</v>
      </c>
      <c r="F767" s="2">
        <v>8.271049926E9</v>
      </c>
    </row>
    <row r="768" ht="15.75" customHeight="1">
      <c r="A768" s="2" t="s">
        <v>1032</v>
      </c>
      <c r="B768" s="2" t="s">
        <v>212</v>
      </c>
      <c r="C768" s="2" t="s">
        <v>986</v>
      </c>
      <c r="D768" s="2" t="s">
        <v>29</v>
      </c>
      <c r="E768" s="2" t="s">
        <v>255</v>
      </c>
      <c r="F768" s="2">
        <v>6.202936311E9</v>
      </c>
    </row>
    <row r="769" ht="15.75" customHeight="1">
      <c r="A769" s="2" t="s">
        <v>1123</v>
      </c>
      <c r="B769" s="2" t="s">
        <v>50</v>
      </c>
      <c r="C769" s="2" t="s">
        <v>592</v>
      </c>
      <c r="D769" s="2" t="s">
        <v>29</v>
      </c>
      <c r="E769" s="2" t="s">
        <v>19</v>
      </c>
      <c r="F769" s="2">
        <v>9.835711666E9</v>
      </c>
    </row>
    <row r="770" ht="15.75" customHeight="1">
      <c r="A770" s="2" t="s">
        <v>1124</v>
      </c>
      <c r="B770" s="2" t="s">
        <v>1124</v>
      </c>
      <c r="C770" s="2" t="s">
        <v>1115</v>
      </c>
      <c r="D770" s="2" t="s">
        <v>56</v>
      </c>
      <c r="E770" s="2" t="s">
        <v>23</v>
      </c>
      <c r="F770" s="2">
        <v>6.207387781E9</v>
      </c>
    </row>
    <row r="771" ht="15.75" customHeight="1">
      <c r="A771" s="2" t="s">
        <v>1125</v>
      </c>
      <c r="B771" s="2" t="s">
        <v>276</v>
      </c>
      <c r="C771" s="2" t="s">
        <v>809</v>
      </c>
      <c r="D771" s="2" t="s">
        <v>56</v>
      </c>
      <c r="E771" s="2" t="s">
        <v>23</v>
      </c>
      <c r="F771" s="2">
        <v>9.065946549E9</v>
      </c>
    </row>
    <row r="772" ht="15.75" customHeight="1">
      <c r="A772" s="2" t="s">
        <v>1126</v>
      </c>
      <c r="B772" s="2" t="s">
        <v>1127</v>
      </c>
      <c r="C772" s="2" t="s">
        <v>1128</v>
      </c>
      <c r="D772" s="2" t="s">
        <v>56</v>
      </c>
      <c r="E772" s="2" t="s">
        <v>23</v>
      </c>
      <c r="F772" s="2">
        <v>7.763015477E9</v>
      </c>
    </row>
    <row r="773" ht="15.75" customHeight="1">
      <c r="A773" s="2" t="s">
        <v>1129</v>
      </c>
      <c r="B773" s="2" t="s">
        <v>212</v>
      </c>
      <c r="C773" s="2" t="s">
        <v>83</v>
      </c>
      <c r="D773" s="2" t="s">
        <v>29</v>
      </c>
      <c r="E773" s="2" t="s">
        <v>255</v>
      </c>
      <c r="F773" s="2">
        <v>9.981786169E9</v>
      </c>
    </row>
    <row r="774" ht="15.75" customHeight="1">
      <c r="A774" s="2" t="s">
        <v>1130</v>
      </c>
      <c r="B774" s="2" t="s">
        <v>960</v>
      </c>
      <c r="C774" s="2" t="s">
        <v>763</v>
      </c>
      <c r="D774" s="2" t="s">
        <v>14</v>
      </c>
      <c r="E774" s="2" t="s">
        <v>19</v>
      </c>
      <c r="F774" s="2">
        <v>9.30440387E9</v>
      </c>
    </row>
    <row r="775" ht="15.75" customHeight="1">
      <c r="A775" s="2" t="s">
        <v>1131</v>
      </c>
      <c r="B775" s="2" t="s">
        <v>1132</v>
      </c>
      <c r="C775" s="2" t="s">
        <v>1081</v>
      </c>
      <c r="D775" s="2" t="s">
        <v>14</v>
      </c>
      <c r="E775" s="2" t="s">
        <v>23</v>
      </c>
      <c r="F775" s="2">
        <v>9.93900873E9</v>
      </c>
    </row>
    <row r="776" ht="15.75" customHeight="1">
      <c r="A776" s="2" t="s">
        <v>1133</v>
      </c>
      <c r="B776" s="2" t="s">
        <v>1134</v>
      </c>
      <c r="C776" s="2" t="s">
        <v>1135</v>
      </c>
      <c r="D776" s="2" t="s">
        <v>44</v>
      </c>
      <c r="E776" s="2" t="s">
        <v>23</v>
      </c>
      <c r="F776" s="2">
        <v>9.525064583E9</v>
      </c>
    </row>
    <row r="777" ht="15.75" customHeight="1">
      <c r="A777" s="2" t="s">
        <v>1136</v>
      </c>
      <c r="B777" s="2" t="s">
        <v>276</v>
      </c>
      <c r="C777" s="2" t="s">
        <v>986</v>
      </c>
      <c r="D777" s="2" t="s">
        <v>29</v>
      </c>
      <c r="E777" s="2" t="s">
        <v>255</v>
      </c>
      <c r="F777" s="2">
        <v>9.155817705E9</v>
      </c>
    </row>
    <row r="778" ht="15.75" customHeight="1">
      <c r="A778" s="2" t="s">
        <v>1137</v>
      </c>
      <c r="B778" s="2" t="s">
        <v>1137</v>
      </c>
      <c r="C778" s="2" t="s">
        <v>1115</v>
      </c>
      <c r="D778" s="2" t="s">
        <v>56</v>
      </c>
      <c r="E778" s="2" t="s">
        <v>23</v>
      </c>
      <c r="F778" s="2">
        <v>8.789796272E9</v>
      </c>
    </row>
    <row r="779" ht="15.75" customHeight="1">
      <c r="A779" s="2" t="s">
        <v>1138</v>
      </c>
      <c r="B779" s="2" t="s">
        <v>119</v>
      </c>
      <c r="C779" s="2" t="s">
        <v>1139</v>
      </c>
      <c r="D779" s="2" t="s">
        <v>26</v>
      </c>
      <c r="E779" s="2" t="s">
        <v>19</v>
      </c>
      <c r="F779" s="2">
        <v>7.903864634E9</v>
      </c>
    </row>
    <row r="780" ht="15.75" customHeight="1">
      <c r="A780" s="2" t="s">
        <v>827</v>
      </c>
      <c r="B780" s="2" t="s">
        <v>1140</v>
      </c>
      <c r="C780" s="2" t="s">
        <v>295</v>
      </c>
      <c r="D780" s="2" t="s">
        <v>56</v>
      </c>
      <c r="E780" s="2" t="s">
        <v>23</v>
      </c>
      <c r="F780" s="2">
        <v>7.978510697E9</v>
      </c>
    </row>
    <row r="781" ht="15.75" customHeight="1">
      <c r="A781" s="2" t="s">
        <v>175</v>
      </c>
      <c r="B781" s="2" t="s">
        <v>55</v>
      </c>
      <c r="C781" s="2" t="s">
        <v>1141</v>
      </c>
      <c r="D781" s="2" t="s">
        <v>44</v>
      </c>
      <c r="E781" s="2" t="s">
        <v>23</v>
      </c>
      <c r="F781" s="2">
        <v>8.340641161E9</v>
      </c>
    </row>
    <row r="782" ht="15.75" customHeight="1">
      <c r="A782" s="2" t="s">
        <v>829</v>
      </c>
      <c r="B782" s="2" t="s">
        <v>212</v>
      </c>
      <c r="C782" s="2" t="s">
        <v>986</v>
      </c>
      <c r="D782" s="2" t="s">
        <v>29</v>
      </c>
      <c r="E782" s="2" t="s">
        <v>255</v>
      </c>
      <c r="F782" s="2">
        <v>6.207933378E9</v>
      </c>
    </row>
    <row r="783" ht="15.75" customHeight="1">
      <c r="A783" s="2" t="s">
        <v>904</v>
      </c>
      <c r="B783" s="2" t="s">
        <v>904</v>
      </c>
      <c r="C783" s="2" t="s">
        <v>1142</v>
      </c>
      <c r="D783" s="2" t="s">
        <v>44</v>
      </c>
      <c r="E783" s="2" t="s">
        <v>23</v>
      </c>
      <c r="F783" s="2">
        <v>6.203080526E9</v>
      </c>
    </row>
    <row r="784" ht="15.75" customHeight="1">
      <c r="A784" s="2" t="s">
        <v>1138</v>
      </c>
      <c r="B784" s="2" t="s">
        <v>119</v>
      </c>
      <c r="C784" s="2" t="s">
        <v>1113</v>
      </c>
      <c r="D784" s="2" t="s">
        <v>9</v>
      </c>
      <c r="E784" s="2" t="s">
        <v>19</v>
      </c>
      <c r="F784" s="2">
        <v>6.936307826E9</v>
      </c>
    </row>
    <row r="785" ht="15.75" customHeight="1">
      <c r="A785" s="2" t="s">
        <v>827</v>
      </c>
      <c r="B785" s="2" t="s">
        <v>303</v>
      </c>
      <c r="C785" s="2" t="s">
        <v>399</v>
      </c>
      <c r="D785" s="2" t="s">
        <v>56</v>
      </c>
      <c r="E785" s="2" t="s">
        <v>23</v>
      </c>
      <c r="F785" s="2">
        <v>8.210066971E9</v>
      </c>
    </row>
    <row r="786" ht="15.75" customHeight="1">
      <c r="A786" s="2" t="s">
        <v>1143</v>
      </c>
      <c r="B786" s="2" t="s">
        <v>1143</v>
      </c>
      <c r="C786" s="2" t="s">
        <v>34</v>
      </c>
      <c r="D786" s="2" t="s">
        <v>56</v>
      </c>
      <c r="E786" s="2" t="s">
        <v>23</v>
      </c>
      <c r="F786" s="2">
        <v>6.207403807E9</v>
      </c>
    </row>
    <row r="787" ht="15.75" customHeight="1">
      <c r="A787" s="2" t="s">
        <v>570</v>
      </c>
      <c r="B787" s="2" t="s">
        <v>55</v>
      </c>
      <c r="C787" s="2" t="s">
        <v>986</v>
      </c>
      <c r="D787" s="2" t="s">
        <v>29</v>
      </c>
      <c r="E787" s="2" t="s">
        <v>255</v>
      </c>
      <c r="F787" s="2">
        <v>8.210843812E9</v>
      </c>
    </row>
    <row r="788" ht="15.75" customHeight="1">
      <c r="A788" s="2" t="s">
        <v>1144</v>
      </c>
      <c r="B788" s="2" t="s">
        <v>832</v>
      </c>
      <c r="C788" s="2" t="s">
        <v>1145</v>
      </c>
      <c r="D788" s="2" t="s">
        <v>44</v>
      </c>
      <c r="E788" s="2" t="s">
        <v>255</v>
      </c>
      <c r="F788" s="2">
        <v>9.852123154E9</v>
      </c>
    </row>
    <row r="789" ht="15.75" customHeight="1">
      <c r="A789" s="2" t="s">
        <v>1146</v>
      </c>
      <c r="B789" s="2" t="s">
        <v>909</v>
      </c>
      <c r="C789" s="2" t="s">
        <v>990</v>
      </c>
      <c r="D789" s="2" t="s">
        <v>29</v>
      </c>
      <c r="E789" s="2" t="s">
        <v>23</v>
      </c>
      <c r="F789" s="2">
        <v>7.677569074E9</v>
      </c>
    </row>
    <row r="790" ht="15.75" customHeight="1">
      <c r="A790" s="2" t="s">
        <v>1138</v>
      </c>
      <c r="B790" s="2" t="s">
        <v>1147</v>
      </c>
      <c r="C790" s="2" t="s">
        <v>1113</v>
      </c>
      <c r="D790" s="2" t="s">
        <v>26</v>
      </c>
      <c r="E790" s="2" t="s">
        <v>19</v>
      </c>
      <c r="F790" s="2">
        <v>7.004779028E9</v>
      </c>
    </row>
    <row r="791" ht="15.75" customHeight="1">
      <c r="A791" s="2" t="s">
        <v>1148</v>
      </c>
      <c r="B791" s="2" t="s">
        <v>1148</v>
      </c>
      <c r="C791" s="2" t="s">
        <v>34</v>
      </c>
      <c r="D791" s="2" t="s">
        <v>56</v>
      </c>
      <c r="E791" s="2" t="s">
        <v>23</v>
      </c>
      <c r="F791" s="2">
        <v>6.20337016E9</v>
      </c>
    </row>
    <row r="792" ht="15.75" customHeight="1">
      <c r="A792" s="2" t="s">
        <v>1149</v>
      </c>
      <c r="B792" s="2" t="s">
        <v>212</v>
      </c>
      <c r="C792" s="2" t="s">
        <v>1150</v>
      </c>
      <c r="D792" s="2" t="s">
        <v>44</v>
      </c>
      <c r="E792" s="2" t="s">
        <v>255</v>
      </c>
      <c r="F792" s="2">
        <v>9.523082376E9</v>
      </c>
    </row>
    <row r="793" ht="15.75" customHeight="1">
      <c r="A793" s="2" t="s">
        <v>1151</v>
      </c>
      <c r="B793" s="2" t="s">
        <v>832</v>
      </c>
      <c r="C793" s="2" t="s">
        <v>1152</v>
      </c>
      <c r="D793" s="2" t="s">
        <v>29</v>
      </c>
      <c r="E793" s="2" t="s">
        <v>255</v>
      </c>
      <c r="F793" s="2">
        <v>8.789664519E9</v>
      </c>
    </row>
    <row r="794" ht="15.75" customHeight="1">
      <c r="A794" s="2" t="s">
        <v>1153</v>
      </c>
      <c r="B794" s="2" t="s">
        <v>1154</v>
      </c>
      <c r="C794" s="2" t="s">
        <v>844</v>
      </c>
      <c r="D794" s="2" t="s">
        <v>26</v>
      </c>
      <c r="E794" s="2" t="s">
        <v>23</v>
      </c>
      <c r="F794" s="2">
        <v>9.399319571E9</v>
      </c>
    </row>
    <row r="795" ht="15.75" customHeight="1">
      <c r="A795" s="2" t="s">
        <v>1155</v>
      </c>
      <c r="B795" s="2" t="s">
        <v>1156</v>
      </c>
      <c r="C795" s="2" t="s">
        <v>34</v>
      </c>
      <c r="D795" s="2" t="s">
        <v>26</v>
      </c>
      <c r="E795" s="2" t="s">
        <v>23</v>
      </c>
      <c r="F795" s="2">
        <v>8.102829044E9</v>
      </c>
    </row>
    <row r="796" ht="15.75" customHeight="1">
      <c r="A796" s="2" t="s">
        <v>219</v>
      </c>
      <c r="B796" s="2" t="s">
        <v>303</v>
      </c>
      <c r="C796" s="2" t="s">
        <v>1157</v>
      </c>
      <c r="D796" s="2" t="s">
        <v>56</v>
      </c>
      <c r="E796" s="2" t="s">
        <v>23</v>
      </c>
      <c r="F796" s="2">
        <v>8.877704557E9</v>
      </c>
    </row>
    <row r="797" ht="15.75" customHeight="1">
      <c r="A797" s="2" t="s">
        <v>1158</v>
      </c>
      <c r="B797" s="2" t="s">
        <v>832</v>
      </c>
      <c r="C797" s="2" t="s">
        <v>210</v>
      </c>
      <c r="D797" s="2" t="s">
        <v>56</v>
      </c>
      <c r="E797" s="2" t="s">
        <v>23</v>
      </c>
      <c r="F797" s="2">
        <v>9.625804155E9</v>
      </c>
    </row>
    <row r="798" ht="15.75" customHeight="1">
      <c r="A798" s="2" t="s">
        <v>1159</v>
      </c>
      <c r="B798" s="2" t="s">
        <v>1160</v>
      </c>
      <c r="C798" s="2" t="s">
        <v>1161</v>
      </c>
      <c r="D798" s="2" t="s">
        <v>14</v>
      </c>
      <c r="E798" s="2" t="s">
        <v>282</v>
      </c>
      <c r="F798" s="2">
        <v>7.778072106E9</v>
      </c>
    </row>
    <row r="799" ht="15.75" customHeight="1">
      <c r="A799" s="2" t="s">
        <v>1162</v>
      </c>
      <c r="B799" s="2" t="s">
        <v>55</v>
      </c>
      <c r="C799" s="2" t="s">
        <v>34</v>
      </c>
      <c r="D799" s="2" t="s">
        <v>56</v>
      </c>
      <c r="E799" s="2" t="s">
        <v>23</v>
      </c>
      <c r="F799" s="2">
        <v>9.835558189E9</v>
      </c>
    </row>
    <row r="800" ht="15.75" customHeight="1">
      <c r="A800" s="2" t="s">
        <v>1163</v>
      </c>
      <c r="B800" s="2" t="s">
        <v>1164</v>
      </c>
      <c r="C800" s="2" t="s">
        <v>595</v>
      </c>
      <c r="D800" s="2" t="s">
        <v>14</v>
      </c>
      <c r="E800" s="2" t="s">
        <v>255</v>
      </c>
      <c r="F800" s="2">
        <v>8.340482364E9</v>
      </c>
    </row>
    <row r="801" ht="15.75" customHeight="1">
      <c r="A801" s="2" t="s">
        <v>799</v>
      </c>
      <c r="B801" s="2" t="s">
        <v>50</v>
      </c>
      <c r="C801" s="2" t="s">
        <v>1165</v>
      </c>
      <c r="D801" s="2" t="s">
        <v>26</v>
      </c>
      <c r="E801" s="2" t="s">
        <v>19</v>
      </c>
      <c r="F801" s="2">
        <v>8.877193115E9</v>
      </c>
    </row>
    <row r="802" ht="15.75" customHeight="1">
      <c r="A802" s="2" t="s">
        <v>1166</v>
      </c>
      <c r="B802" s="2" t="s">
        <v>832</v>
      </c>
      <c r="C802" s="2" t="s">
        <v>844</v>
      </c>
      <c r="D802" s="2" t="s">
        <v>26</v>
      </c>
      <c r="E802" s="2" t="s">
        <v>23</v>
      </c>
      <c r="F802" s="2">
        <v>8.825251011E9</v>
      </c>
    </row>
    <row r="803" ht="15.75" customHeight="1">
      <c r="A803" s="2" t="s">
        <v>1167</v>
      </c>
      <c r="B803" s="2" t="s">
        <v>485</v>
      </c>
      <c r="C803" s="2" t="s">
        <v>1042</v>
      </c>
      <c r="D803" s="2" t="s">
        <v>102</v>
      </c>
      <c r="E803" s="2" t="s">
        <v>19</v>
      </c>
      <c r="F803" s="2">
        <v>7.887992202E9</v>
      </c>
    </row>
    <row r="804" ht="15.75" customHeight="1">
      <c r="A804" s="2" t="s">
        <v>782</v>
      </c>
      <c r="B804" s="2" t="s">
        <v>75</v>
      </c>
      <c r="C804" s="2" t="s">
        <v>1165</v>
      </c>
      <c r="D804" s="2" t="s">
        <v>56</v>
      </c>
      <c r="E804" s="2" t="s">
        <v>19</v>
      </c>
      <c r="F804" s="2">
        <v>8.294352849E9</v>
      </c>
    </row>
    <row r="805" ht="15.75" customHeight="1">
      <c r="A805" s="2" t="s">
        <v>1168</v>
      </c>
      <c r="B805" s="2" t="s">
        <v>328</v>
      </c>
      <c r="C805" s="2" t="s">
        <v>905</v>
      </c>
      <c r="D805" s="2" t="s">
        <v>26</v>
      </c>
      <c r="E805" s="2" t="s">
        <v>19</v>
      </c>
      <c r="F805" s="2">
        <v>7.761968399E9</v>
      </c>
    </row>
    <row r="806" ht="15.75" customHeight="1">
      <c r="A806" s="2" t="s">
        <v>651</v>
      </c>
      <c r="B806" s="2" t="s">
        <v>55</v>
      </c>
      <c r="C806" s="2" t="s">
        <v>254</v>
      </c>
      <c r="D806" s="2" t="s">
        <v>56</v>
      </c>
      <c r="E806" s="2" t="s">
        <v>255</v>
      </c>
      <c r="F806" s="2">
        <v>7.004869075E9</v>
      </c>
    </row>
    <row r="807" ht="15.75" customHeight="1">
      <c r="A807" s="2" t="s">
        <v>1169</v>
      </c>
      <c r="B807" s="2" t="s">
        <v>88</v>
      </c>
      <c r="C807" s="2" t="s">
        <v>154</v>
      </c>
      <c r="D807" s="2" t="s">
        <v>44</v>
      </c>
      <c r="E807" s="2" t="s">
        <v>23</v>
      </c>
      <c r="F807" s="2">
        <v>9.065332009E9</v>
      </c>
    </row>
    <row r="808" ht="15.75" customHeight="1">
      <c r="A808" s="2" t="s">
        <v>1170</v>
      </c>
      <c r="B808" s="2" t="s">
        <v>992</v>
      </c>
      <c r="C808" s="2" t="s">
        <v>592</v>
      </c>
      <c r="D808" s="2" t="s">
        <v>26</v>
      </c>
      <c r="E808" s="2" t="s">
        <v>19</v>
      </c>
      <c r="F808" s="2">
        <v>9.195989218E9</v>
      </c>
    </row>
    <row r="809" ht="15.75" customHeight="1">
      <c r="A809" s="2" t="s">
        <v>496</v>
      </c>
      <c r="B809" s="2" t="s">
        <v>1171</v>
      </c>
      <c r="C809" s="2" t="s">
        <v>1165</v>
      </c>
      <c r="D809" s="2" t="s">
        <v>26</v>
      </c>
      <c r="E809" s="2" t="s">
        <v>19</v>
      </c>
      <c r="F809" s="2">
        <v>6.207312205E9</v>
      </c>
    </row>
    <row r="810" ht="15.75" customHeight="1">
      <c r="A810" s="2" t="s">
        <v>525</v>
      </c>
      <c r="B810" s="2" t="s">
        <v>1172</v>
      </c>
      <c r="C810" s="2" t="s">
        <v>226</v>
      </c>
      <c r="D810" s="2" t="s">
        <v>29</v>
      </c>
      <c r="E810" s="2" t="s">
        <v>19</v>
      </c>
      <c r="F810" s="2">
        <v>7.004997919E9</v>
      </c>
    </row>
    <row r="811" ht="15.75" customHeight="1">
      <c r="A811" s="2" t="s">
        <v>52</v>
      </c>
      <c r="B811" s="2" t="s">
        <v>1173</v>
      </c>
      <c r="C811" s="2" t="s">
        <v>216</v>
      </c>
      <c r="D811" s="2" t="s">
        <v>56</v>
      </c>
      <c r="E811" s="2" t="s">
        <v>23</v>
      </c>
      <c r="F811" s="2">
        <v>6.207610472E9</v>
      </c>
    </row>
    <row r="812" ht="15.75" customHeight="1">
      <c r="A812" s="2" t="s">
        <v>1174</v>
      </c>
      <c r="B812" s="2" t="s">
        <v>1175</v>
      </c>
      <c r="C812" s="2" t="s">
        <v>1165</v>
      </c>
      <c r="D812" s="2" t="s">
        <v>56</v>
      </c>
      <c r="E812" s="2" t="s">
        <v>19</v>
      </c>
      <c r="F812" s="2">
        <v>7.980994978E9</v>
      </c>
    </row>
    <row r="813" ht="15.75" customHeight="1">
      <c r="A813" s="2" t="s">
        <v>1176</v>
      </c>
      <c r="B813" s="2" t="s">
        <v>55</v>
      </c>
      <c r="C813" s="2" t="s">
        <v>844</v>
      </c>
      <c r="D813" s="2" t="s">
        <v>26</v>
      </c>
      <c r="E813" s="2" t="s">
        <v>23</v>
      </c>
      <c r="F813" s="2">
        <v>6.202140406E9</v>
      </c>
    </row>
    <row r="814" ht="15.75" customHeight="1">
      <c r="A814" s="2" t="s">
        <v>290</v>
      </c>
      <c r="B814" s="2" t="s">
        <v>55</v>
      </c>
      <c r="C814" s="2" t="s">
        <v>1004</v>
      </c>
      <c r="D814" s="2" t="s">
        <v>26</v>
      </c>
      <c r="E814" s="2" t="s">
        <v>23</v>
      </c>
      <c r="F814" s="2">
        <v>7.97990428E9</v>
      </c>
    </row>
    <row r="815" ht="15.75" customHeight="1">
      <c r="A815" s="2" t="s">
        <v>94</v>
      </c>
      <c r="B815" s="2" t="s">
        <v>1177</v>
      </c>
      <c r="C815" s="2" t="s">
        <v>1042</v>
      </c>
      <c r="D815" s="2" t="s">
        <v>14</v>
      </c>
      <c r="E815" s="2" t="s">
        <v>19</v>
      </c>
      <c r="F815" s="2">
        <v>7.04874328E9</v>
      </c>
    </row>
    <row r="816" ht="15.75" customHeight="1">
      <c r="A816" s="2" t="s">
        <v>1178</v>
      </c>
      <c r="B816" s="2" t="s">
        <v>1179</v>
      </c>
      <c r="C816" s="2" t="s">
        <v>867</v>
      </c>
      <c r="D816" s="2" t="s">
        <v>14</v>
      </c>
      <c r="E816" s="2" t="s">
        <v>282</v>
      </c>
      <c r="F816" s="2">
        <v>9.377556668E9</v>
      </c>
    </row>
    <row r="817" ht="15.75" customHeight="1">
      <c r="A817" s="2" t="s">
        <v>950</v>
      </c>
      <c r="B817" s="2" t="s">
        <v>559</v>
      </c>
      <c r="C817" s="2" t="s">
        <v>246</v>
      </c>
      <c r="D817" s="2" t="s">
        <v>9</v>
      </c>
      <c r="E817" s="2" t="s">
        <v>255</v>
      </c>
      <c r="F817" s="2">
        <v>6.201108699E9</v>
      </c>
    </row>
    <row r="818" ht="15.75" customHeight="1">
      <c r="A818" s="2" t="s">
        <v>1180</v>
      </c>
      <c r="B818" s="2" t="s">
        <v>55</v>
      </c>
      <c r="C818" s="2" t="s">
        <v>844</v>
      </c>
      <c r="D818" s="2" t="s">
        <v>56</v>
      </c>
      <c r="E818" s="2" t="s">
        <v>23</v>
      </c>
      <c r="F818" s="2">
        <v>7.091069471E9</v>
      </c>
    </row>
    <row r="819" ht="15.75" customHeight="1">
      <c r="A819" s="2" t="s">
        <v>1181</v>
      </c>
      <c r="B819" s="2" t="s">
        <v>50</v>
      </c>
      <c r="C819" s="2" t="s">
        <v>1165</v>
      </c>
      <c r="D819" s="2" t="s">
        <v>56</v>
      </c>
      <c r="E819" s="2" t="s">
        <v>19</v>
      </c>
      <c r="F819" s="2">
        <v>9.304369678E9</v>
      </c>
    </row>
    <row r="820" ht="15.75" customHeight="1">
      <c r="A820" s="2" t="s">
        <v>1182</v>
      </c>
      <c r="B820" s="2" t="s">
        <v>507</v>
      </c>
      <c r="C820" s="2" t="s">
        <v>963</v>
      </c>
      <c r="D820" s="2" t="s">
        <v>9</v>
      </c>
      <c r="E820" s="2" t="s">
        <v>19</v>
      </c>
      <c r="F820" s="2">
        <v>8.707317602E9</v>
      </c>
    </row>
    <row r="821" ht="15.75" customHeight="1">
      <c r="A821" s="2" t="s">
        <v>1183</v>
      </c>
      <c r="B821" s="2" t="s">
        <v>1184</v>
      </c>
      <c r="C821" s="2" t="s">
        <v>1185</v>
      </c>
      <c r="D821" s="2" t="s">
        <v>44</v>
      </c>
      <c r="E821" s="2" t="s">
        <v>23</v>
      </c>
      <c r="F821" s="2">
        <v>9.006336622E9</v>
      </c>
    </row>
    <row r="822" ht="15.75" customHeight="1">
      <c r="A822" s="2" t="s">
        <v>834</v>
      </c>
      <c r="B822" s="2" t="s">
        <v>55</v>
      </c>
      <c r="C822" s="2" t="s">
        <v>1186</v>
      </c>
      <c r="D822" s="2" t="s">
        <v>26</v>
      </c>
      <c r="E822" s="2" t="s">
        <v>23</v>
      </c>
      <c r="F822" s="2">
        <v>7.209455101E9</v>
      </c>
    </row>
    <row r="823" ht="15.75" customHeight="1">
      <c r="A823" s="2" t="s">
        <v>1187</v>
      </c>
      <c r="B823" s="2" t="s">
        <v>112</v>
      </c>
      <c r="C823" s="2" t="s">
        <v>1042</v>
      </c>
      <c r="D823" s="2" t="s">
        <v>44</v>
      </c>
      <c r="E823" s="2" t="s">
        <v>19</v>
      </c>
      <c r="F823" s="2">
        <v>9.006696651E9</v>
      </c>
    </row>
    <row r="824" ht="15.75" customHeight="1">
      <c r="A824" s="2" t="s">
        <v>1188</v>
      </c>
      <c r="B824" s="2" t="s">
        <v>65</v>
      </c>
      <c r="C824" s="2" t="s">
        <v>1165</v>
      </c>
      <c r="D824" s="2" t="s">
        <v>56</v>
      </c>
      <c r="E824" s="2" t="s">
        <v>19</v>
      </c>
      <c r="F824" s="2">
        <v>8.294403051E9</v>
      </c>
    </row>
    <row r="825" ht="15.75" customHeight="1">
      <c r="A825" s="2" t="s">
        <v>1189</v>
      </c>
      <c r="B825" s="2" t="s">
        <v>1190</v>
      </c>
      <c r="C825" s="2" t="s">
        <v>1139</v>
      </c>
      <c r="D825" s="2" t="s">
        <v>26</v>
      </c>
      <c r="E825" s="2" t="s">
        <v>19</v>
      </c>
      <c r="F825" s="2">
        <v>7.48815109E9</v>
      </c>
    </row>
    <row r="826" ht="15.75" customHeight="1">
      <c r="A826" s="2" t="s">
        <v>1191</v>
      </c>
      <c r="B826" s="2" t="s">
        <v>1192</v>
      </c>
      <c r="C826" s="2" t="s">
        <v>844</v>
      </c>
      <c r="D826" s="2" t="s">
        <v>9</v>
      </c>
      <c r="E826" s="2" t="s">
        <v>23</v>
      </c>
      <c r="F826" s="2">
        <v>7.324807969E9</v>
      </c>
    </row>
    <row r="827" ht="15.75" customHeight="1">
      <c r="A827" s="2" t="s">
        <v>1193</v>
      </c>
      <c r="B827" s="2" t="s">
        <v>1194</v>
      </c>
      <c r="C827" s="2" t="s">
        <v>1050</v>
      </c>
      <c r="D827" s="2" t="s">
        <v>102</v>
      </c>
      <c r="E827" s="2" t="s">
        <v>19</v>
      </c>
      <c r="F827" s="2">
        <v>6.288636619E9</v>
      </c>
    </row>
    <row r="828" ht="15.75" customHeight="1">
      <c r="A828" s="2" t="s">
        <v>1195</v>
      </c>
      <c r="B828" s="2" t="s">
        <v>88</v>
      </c>
      <c r="C828" s="2" t="s">
        <v>662</v>
      </c>
      <c r="D828" s="2" t="s">
        <v>26</v>
      </c>
      <c r="E828" s="2" t="s">
        <v>255</v>
      </c>
      <c r="F828" s="2">
        <v>7.645939319E9</v>
      </c>
    </row>
    <row r="829" ht="15.75" customHeight="1">
      <c r="A829" s="2" t="s">
        <v>1196</v>
      </c>
      <c r="B829" s="2" t="s">
        <v>119</v>
      </c>
      <c r="C829" s="2" t="s">
        <v>1165</v>
      </c>
      <c r="D829" s="2" t="s">
        <v>26</v>
      </c>
      <c r="E829" s="2" t="s">
        <v>19</v>
      </c>
      <c r="F829" s="2">
        <v>8.294403051E9</v>
      </c>
    </row>
    <row r="830" ht="15.75" customHeight="1">
      <c r="A830" s="2" t="s">
        <v>1197</v>
      </c>
      <c r="B830" s="2" t="s">
        <v>212</v>
      </c>
      <c r="C830" s="2" t="s">
        <v>844</v>
      </c>
      <c r="D830" s="2" t="s">
        <v>26</v>
      </c>
      <c r="E830" s="2" t="s">
        <v>23</v>
      </c>
      <c r="F830" s="2">
        <v>9.060442038E9</v>
      </c>
    </row>
    <row r="831" ht="15.75" customHeight="1">
      <c r="A831" s="2" t="s">
        <v>1198</v>
      </c>
      <c r="B831" s="2" t="s">
        <v>55</v>
      </c>
      <c r="C831" s="2" t="s">
        <v>399</v>
      </c>
      <c r="D831" s="2" t="s">
        <v>26</v>
      </c>
      <c r="E831" s="2" t="s">
        <v>23</v>
      </c>
      <c r="F831" s="2">
        <v>9.770156552E9</v>
      </c>
    </row>
    <row r="832" ht="15.75" customHeight="1">
      <c r="A832" s="2" t="s">
        <v>800</v>
      </c>
      <c r="B832" s="2" t="s">
        <v>91</v>
      </c>
      <c r="C832" s="2" t="s">
        <v>1165</v>
      </c>
      <c r="D832" s="2" t="s">
        <v>56</v>
      </c>
      <c r="E832" s="2" t="s">
        <v>19</v>
      </c>
      <c r="F832" s="2">
        <v>8.797041629E9</v>
      </c>
    </row>
    <row r="833" ht="15.75" customHeight="1">
      <c r="A833" s="2" t="s">
        <v>903</v>
      </c>
      <c r="B833" s="2" t="s">
        <v>1199</v>
      </c>
      <c r="C833" s="2" t="s">
        <v>844</v>
      </c>
      <c r="D833" s="2" t="s">
        <v>56</v>
      </c>
      <c r="E833" s="2" t="s">
        <v>23</v>
      </c>
      <c r="F833" s="2">
        <v>7.209715344E9</v>
      </c>
    </row>
    <row r="834" ht="15.75" customHeight="1">
      <c r="A834" s="2" t="s">
        <v>777</v>
      </c>
      <c r="B834" s="2" t="s">
        <v>1200</v>
      </c>
      <c r="C834" s="2" t="s">
        <v>867</v>
      </c>
      <c r="D834" s="2" t="s">
        <v>29</v>
      </c>
      <c r="E834" s="2" t="s">
        <v>19</v>
      </c>
      <c r="F834" s="2">
        <v>9.853332141E9</v>
      </c>
    </row>
    <row r="835" ht="15.75" customHeight="1">
      <c r="A835" s="2" t="s">
        <v>96</v>
      </c>
      <c r="B835" s="2" t="s">
        <v>108</v>
      </c>
      <c r="C835" s="2" t="s">
        <v>1042</v>
      </c>
      <c r="D835" s="2" t="s">
        <v>14</v>
      </c>
      <c r="E835" s="2" t="s">
        <v>19</v>
      </c>
      <c r="F835" s="2">
        <v>7.004523013E9</v>
      </c>
    </row>
    <row r="836" ht="15.75" customHeight="1">
      <c r="A836" s="2" t="s">
        <v>1201</v>
      </c>
      <c r="B836" s="2" t="s">
        <v>1202</v>
      </c>
      <c r="C836" s="2" t="s">
        <v>246</v>
      </c>
      <c r="D836" s="2" t="s">
        <v>56</v>
      </c>
      <c r="E836" s="2" t="s">
        <v>255</v>
      </c>
      <c r="F836" s="2">
        <v>6.206705466E9</v>
      </c>
    </row>
    <row r="837" ht="15.75" customHeight="1">
      <c r="A837" s="2" t="s">
        <v>1203</v>
      </c>
      <c r="B837" s="2" t="s">
        <v>119</v>
      </c>
      <c r="C837" s="2" t="s">
        <v>1204</v>
      </c>
      <c r="D837" s="2" t="s">
        <v>56</v>
      </c>
      <c r="E837" s="2" t="s">
        <v>19</v>
      </c>
      <c r="F837" s="2">
        <v>6.267950009E9</v>
      </c>
    </row>
    <row r="838" ht="15.75" customHeight="1">
      <c r="A838" s="2" t="s">
        <v>1089</v>
      </c>
      <c r="B838" s="2" t="s">
        <v>55</v>
      </c>
      <c r="C838" s="2" t="s">
        <v>844</v>
      </c>
      <c r="D838" s="2" t="s">
        <v>56</v>
      </c>
      <c r="E838" s="2" t="s">
        <v>23</v>
      </c>
      <c r="F838" s="2">
        <v>8.051001864E9</v>
      </c>
    </row>
    <row r="839" ht="15.75" customHeight="1">
      <c r="A839" s="2" t="s">
        <v>1092</v>
      </c>
      <c r="B839" s="2" t="s">
        <v>125</v>
      </c>
      <c r="C839" s="2" t="s">
        <v>860</v>
      </c>
      <c r="D839" s="2" t="s">
        <v>26</v>
      </c>
      <c r="E839" s="2" t="s">
        <v>19</v>
      </c>
      <c r="F839" s="2">
        <v>9.572892766E9</v>
      </c>
    </row>
    <row r="840" ht="15.75" customHeight="1">
      <c r="A840" s="2" t="s">
        <v>1205</v>
      </c>
      <c r="B840" s="2" t="s">
        <v>50</v>
      </c>
      <c r="C840" s="2" t="s">
        <v>1204</v>
      </c>
      <c r="D840" s="2" t="s">
        <v>56</v>
      </c>
      <c r="E840" s="2" t="s">
        <v>19</v>
      </c>
      <c r="F840" s="2">
        <v>9.693726319E9</v>
      </c>
    </row>
    <row r="841" ht="15.75" customHeight="1">
      <c r="A841" s="2" t="s">
        <v>950</v>
      </c>
      <c r="B841" s="2" t="s">
        <v>55</v>
      </c>
      <c r="C841" s="2" t="s">
        <v>543</v>
      </c>
      <c r="D841" s="2" t="s">
        <v>44</v>
      </c>
      <c r="E841" s="2" t="s">
        <v>23</v>
      </c>
      <c r="F841" s="2">
        <v>9.30454092E9</v>
      </c>
    </row>
    <row r="842" ht="15.75" customHeight="1">
      <c r="A842" s="2" t="s">
        <v>784</v>
      </c>
      <c r="B842" s="2" t="s">
        <v>1206</v>
      </c>
      <c r="C842" s="2" t="s">
        <v>1004</v>
      </c>
      <c r="D842" s="2" t="s">
        <v>29</v>
      </c>
      <c r="E842" s="2" t="s">
        <v>23</v>
      </c>
      <c r="F842" s="2">
        <v>8.52190669E9</v>
      </c>
    </row>
    <row r="843" ht="15.75" customHeight="1">
      <c r="A843" s="2" t="s">
        <v>1044</v>
      </c>
      <c r="B843" s="2" t="s">
        <v>50</v>
      </c>
      <c r="C843" s="2" t="s">
        <v>1165</v>
      </c>
      <c r="D843" s="2" t="s">
        <v>56</v>
      </c>
      <c r="E843" s="2" t="s">
        <v>19</v>
      </c>
      <c r="F843" s="2">
        <v>9.060116028E9</v>
      </c>
    </row>
    <row r="844" ht="15.75" customHeight="1">
      <c r="A844" s="2" t="s">
        <v>1207</v>
      </c>
      <c r="B844" s="2" t="s">
        <v>88</v>
      </c>
      <c r="C844" s="2" t="s">
        <v>246</v>
      </c>
      <c r="D844" s="2" t="s">
        <v>14</v>
      </c>
      <c r="E844" s="2" t="s">
        <v>255</v>
      </c>
      <c r="F844" s="2">
        <v>6.20489992E9</v>
      </c>
    </row>
    <row r="845" ht="15.75" customHeight="1">
      <c r="A845" s="2" t="s">
        <v>1208</v>
      </c>
      <c r="B845" s="2" t="s">
        <v>50</v>
      </c>
      <c r="C845" s="2" t="s">
        <v>741</v>
      </c>
      <c r="D845" s="2" t="s">
        <v>14</v>
      </c>
      <c r="E845" s="2" t="s">
        <v>19</v>
      </c>
      <c r="F845" s="2">
        <v>7.004997419E9</v>
      </c>
    </row>
    <row r="846" ht="15.75" customHeight="1">
      <c r="A846" s="2" t="s">
        <v>777</v>
      </c>
      <c r="B846" s="2" t="s">
        <v>960</v>
      </c>
      <c r="C846" s="2" t="s">
        <v>935</v>
      </c>
      <c r="D846" s="2" t="s">
        <v>26</v>
      </c>
      <c r="E846" s="2" t="s">
        <v>19</v>
      </c>
      <c r="F846" s="2">
        <v>9.006146197E9</v>
      </c>
    </row>
    <row r="847" ht="15.75" customHeight="1">
      <c r="A847" s="2" t="s">
        <v>1209</v>
      </c>
      <c r="B847" s="2" t="s">
        <v>55</v>
      </c>
      <c r="C847" s="2" t="s">
        <v>844</v>
      </c>
      <c r="D847" s="2" t="s">
        <v>26</v>
      </c>
      <c r="E847" s="2" t="s">
        <v>23</v>
      </c>
      <c r="F847" s="2">
        <v>8.227891011E9</v>
      </c>
    </row>
    <row r="848" ht="15.75" customHeight="1">
      <c r="A848" s="2" t="s">
        <v>1210</v>
      </c>
      <c r="B848" s="2" t="s">
        <v>50</v>
      </c>
      <c r="C848" s="2" t="s">
        <v>1042</v>
      </c>
      <c r="D848" s="2" t="s">
        <v>56</v>
      </c>
      <c r="E848" s="2" t="s">
        <v>19</v>
      </c>
      <c r="F848" s="2">
        <v>9.939585981E9</v>
      </c>
    </row>
    <row r="849" ht="15.75" customHeight="1">
      <c r="A849" s="2" t="s">
        <v>1211</v>
      </c>
      <c r="B849" s="2" t="s">
        <v>1212</v>
      </c>
      <c r="C849" s="2" t="s">
        <v>1204</v>
      </c>
      <c r="D849" s="2" t="s">
        <v>56</v>
      </c>
      <c r="E849" s="2" t="s">
        <v>19</v>
      </c>
      <c r="F849" s="2">
        <v>6.20265691E9</v>
      </c>
    </row>
    <row r="850" ht="15.75" customHeight="1">
      <c r="A850" s="2" t="s">
        <v>331</v>
      </c>
      <c r="B850" s="2" t="s">
        <v>331</v>
      </c>
      <c r="C850" s="2" t="s">
        <v>1004</v>
      </c>
      <c r="D850" s="2" t="s">
        <v>29</v>
      </c>
      <c r="E850" s="2" t="s">
        <v>23</v>
      </c>
      <c r="F850" s="2">
        <v>6.205980085E9</v>
      </c>
    </row>
    <row r="851" ht="15.75" customHeight="1">
      <c r="A851" s="2" t="s">
        <v>772</v>
      </c>
      <c r="B851" s="2" t="s">
        <v>50</v>
      </c>
      <c r="C851" s="2" t="s">
        <v>1165</v>
      </c>
      <c r="D851" s="2" t="s">
        <v>56</v>
      </c>
      <c r="E851" s="2" t="s">
        <v>19</v>
      </c>
      <c r="F851" s="2">
        <v>7.050524411E9</v>
      </c>
    </row>
    <row r="852" ht="15.75" customHeight="1">
      <c r="A852" s="2" t="s">
        <v>1030</v>
      </c>
      <c r="B852" s="2" t="s">
        <v>594</v>
      </c>
      <c r="C852" s="2" t="s">
        <v>844</v>
      </c>
      <c r="D852" s="2" t="s">
        <v>9</v>
      </c>
      <c r="E852" s="2" t="s">
        <v>23</v>
      </c>
      <c r="F852" s="2">
        <v>8.090701042E9</v>
      </c>
    </row>
    <row r="853" ht="15.75" customHeight="1">
      <c r="A853" s="2" t="s">
        <v>1213</v>
      </c>
      <c r="B853" s="2" t="s">
        <v>50</v>
      </c>
      <c r="C853" s="2" t="s">
        <v>1165</v>
      </c>
      <c r="D853" s="2" t="s">
        <v>56</v>
      </c>
      <c r="E853" s="2" t="s">
        <v>19</v>
      </c>
      <c r="F853" s="2">
        <v>9.576000007E9</v>
      </c>
    </row>
    <row r="854" ht="15.75" customHeight="1">
      <c r="A854" s="2" t="s">
        <v>1214</v>
      </c>
      <c r="B854" s="2" t="s">
        <v>1215</v>
      </c>
      <c r="C854" s="2" t="s">
        <v>1098</v>
      </c>
      <c r="D854" s="2" t="s">
        <v>26</v>
      </c>
      <c r="E854" s="2" t="s">
        <v>19</v>
      </c>
      <c r="F854" s="2">
        <v>8.210047106E9</v>
      </c>
    </row>
    <row r="855" ht="15.75" customHeight="1">
      <c r="A855" s="2" t="s">
        <v>903</v>
      </c>
      <c r="B855" s="2" t="s">
        <v>303</v>
      </c>
      <c r="C855" s="2" t="s">
        <v>844</v>
      </c>
      <c r="D855" s="2" t="s">
        <v>26</v>
      </c>
      <c r="E855" s="2" t="s">
        <v>23</v>
      </c>
      <c r="F855" s="2">
        <v>8.340469451E9</v>
      </c>
    </row>
    <row r="856" ht="15.75" customHeight="1">
      <c r="A856" s="2" t="s">
        <v>1211</v>
      </c>
      <c r="B856" s="2" t="s">
        <v>1216</v>
      </c>
      <c r="C856" s="2" t="s">
        <v>1217</v>
      </c>
      <c r="D856" s="2" t="s">
        <v>56</v>
      </c>
      <c r="E856" s="2" t="s">
        <v>19</v>
      </c>
      <c r="F856" s="2">
        <v>8.271887516E9</v>
      </c>
    </row>
    <row r="857" ht="15.75" customHeight="1">
      <c r="A857" s="2" t="s">
        <v>1218</v>
      </c>
      <c r="B857" s="2" t="s">
        <v>960</v>
      </c>
      <c r="C857" s="2" t="s">
        <v>1139</v>
      </c>
      <c r="D857" s="2" t="s">
        <v>56</v>
      </c>
      <c r="E857" s="2" t="s">
        <v>19</v>
      </c>
      <c r="F857" s="2">
        <v>7.992233142E9</v>
      </c>
    </row>
    <row r="858" ht="15.75" customHeight="1">
      <c r="A858" s="2" t="s">
        <v>429</v>
      </c>
      <c r="B858" s="2" t="s">
        <v>119</v>
      </c>
      <c r="C858" s="2" t="s">
        <v>1042</v>
      </c>
      <c r="D858" s="2" t="s">
        <v>14</v>
      </c>
      <c r="E858" s="2" t="s">
        <v>19</v>
      </c>
      <c r="F858" s="2">
        <v>9.939585981E9</v>
      </c>
    </row>
    <row r="859" ht="15.75" customHeight="1">
      <c r="A859" s="2" t="s">
        <v>127</v>
      </c>
      <c r="B859" s="2" t="s">
        <v>225</v>
      </c>
      <c r="C859" s="2" t="s">
        <v>200</v>
      </c>
      <c r="D859" s="2" t="s">
        <v>26</v>
      </c>
      <c r="E859" s="2" t="s">
        <v>19</v>
      </c>
      <c r="F859" s="2">
        <v>8.102209072E9</v>
      </c>
    </row>
    <row r="860" ht="15.75" customHeight="1">
      <c r="A860" s="2" t="s">
        <v>670</v>
      </c>
      <c r="B860" s="2" t="s">
        <v>1171</v>
      </c>
      <c r="C860" s="2" t="s">
        <v>58</v>
      </c>
      <c r="D860" s="2" t="s">
        <v>56</v>
      </c>
      <c r="E860" s="2" t="s">
        <v>19</v>
      </c>
      <c r="F860" s="2">
        <v>6.264781239E9</v>
      </c>
    </row>
    <row r="861" ht="15.75" customHeight="1">
      <c r="A861" s="2" t="s">
        <v>1116</v>
      </c>
      <c r="B861" s="2" t="s">
        <v>55</v>
      </c>
      <c r="C861" s="2" t="s">
        <v>274</v>
      </c>
      <c r="D861" s="2" t="s">
        <v>9</v>
      </c>
      <c r="E861" s="2" t="s">
        <v>23</v>
      </c>
      <c r="F861" s="2">
        <v>8.434403068E9</v>
      </c>
    </row>
    <row r="862" ht="15.75" customHeight="1">
      <c r="A862" s="2" t="s">
        <v>1219</v>
      </c>
      <c r="B862" s="2" t="s">
        <v>594</v>
      </c>
      <c r="C862" s="2" t="s">
        <v>844</v>
      </c>
      <c r="D862" s="2" t="s">
        <v>9</v>
      </c>
      <c r="E862" s="2" t="s">
        <v>23</v>
      </c>
      <c r="F862" s="2">
        <v>8.090701042E9</v>
      </c>
    </row>
    <row r="863" ht="15.75" customHeight="1">
      <c r="A863" s="2" t="s">
        <v>1220</v>
      </c>
      <c r="B863" s="2" t="s">
        <v>119</v>
      </c>
      <c r="C863" s="2" t="s">
        <v>1042</v>
      </c>
      <c r="D863" s="2" t="s">
        <v>14</v>
      </c>
      <c r="E863" s="2" t="s">
        <v>19</v>
      </c>
      <c r="F863" s="2">
        <v>7.256896336E9</v>
      </c>
    </row>
    <row r="864" ht="15.75" customHeight="1">
      <c r="A864" s="2" t="s">
        <v>1218</v>
      </c>
      <c r="B864" s="2" t="s">
        <v>50</v>
      </c>
      <c r="C864" s="2" t="s">
        <v>650</v>
      </c>
      <c r="D864" s="2" t="s">
        <v>9</v>
      </c>
      <c r="E864" s="2" t="s">
        <v>19</v>
      </c>
      <c r="F864" s="2">
        <v>9.934874866E9</v>
      </c>
    </row>
    <row r="865" ht="15.75" customHeight="1">
      <c r="A865" s="2" t="s">
        <v>1221</v>
      </c>
      <c r="B865" s="2" t="s">
        <v>63</v>
      </c>
      <c r="C865" s="2" t="s">
        <v>58</v>
      </c>
      <c r="D865" s="2" t="s">
        <v>26</v>
      </c>
      <c r="E865" s="2" t="s">
        <v>19</v>
      </c>
      <c r="F865" s="2">
        <v>8.210651314E9</v>
      </c>
    </row>
    <row r="866" ht="15.75" customHeight="1">
      <c r="A866" s="2" t="s">
        <v>209</v>
      </c>
      <c r="B866" s="2" t="s">
        <v>55</v>
      </c>
      <c r="C866" s="2" t="s">
        <v>844</v>
      </c>
      <c r="D866" s="2" t="s">
        <v>56</v>
      </c>
      <c r="E866" s="2" t="s">
        <v>23</v>
      </c>
      <c r="F866" s="2">
        <v>9.90580688E9</v>
      </c>
    </row>
    <row r="867" ht="15.75" customHeight="1">
      <c r="A867" s="2" t="s">
        <v>1222</v>
      </c>
      <c r="B867" s="2" t="s">
        <v>1173</v>
      </c>
      <c r="C867" s="2" t="s">
        <v>204</v>
      </c>
      <c r="D867" s="2" t="s">
        <v>29</v>
      </c>
      <c r="E867" s="2" t="s">
        <v>255</v>
      </c>
      <c r="F867" s="2">
        <v>9.131901847E9</v>
      </c>
    </row>
    <row r="868" ht="15.75" customHeight="1">
      <c r="A868" s="2" t="s">
        <v>1223</v>
      </c>
      <c r="B868" s="2" t="s">
        <v>1224</v>
      </c>
      <c r="C868" s="2" t="s">
        <v>156</v>
      </c>
      <c r="D868" s="2" t="s">
        <v>9</v>
      </c>
      <c r="E868" s="2" t="s">
        <v>19</v>
      </c>
      <c r="F868" s="2">
        <v>8.789342577E9</v>
      </c>
    </row>
    <row r="869" ht="15.75" customHeight="1">
      <c r="A869" s="2" t="s">
        <v>707</v>
      </c>
      <c r="B869" s="2" t="s">
        <v>50</v>
      </c>
      <c r="C869" s="2" t="s">
        <v>58</v>
      </c>
      <c r="D869" s="2" t="s">
        <v>56</v>
      </c>
      <c r="E869" s="2" t="s">
        <v>19</v>
      </c>
      <c r="F869" s="2">
        <v>8.409056815E9</v>
      </c>
    </row>
    <row r="870" ht="15.75" customHeight="1">
      <c r="A870" s="2" t="s">
        <v>326</v>
      </c>
      <c r="B870" s="2" t="s">
        <v>248</v>
      </c>
      <c r="C870" s="2" t="s">
        <v>844</v>
      </c>
      <c r="D870" s="2" t="s">
        <v>56</v>
      </c>
      <c r="E870" s="2" t="s">
        <v>23</v>
      </c>
      <c r="F870" s="2">
        <v>7.909087833E9</v>
      </c>
    </row>
    <row r="871" ht="15.75" customHeight="1">
      <c r="A871" s="2" t="s">
        <v>1225</v>
      </c>
      <c r="B871" s="2" t="s">
        <v>212</v>
      </c>
      <c r="C871" s="2" t="s">
        <v>1226</v>
      </c>
      <c r="D871" s="2" t="s">
        <v>44</v>
      </c>
      <c r="E871" s="2" t="s">
        <v>23</v>
      </c>
      <c r="F871" s="2">
        <v>8.271326539E9</v>
      </c>
    </row>
    <row r="872" ht="15.75" customHeight="1">
      <c r="A872" s="2" t="s">
        <v>1227</v>
      </c>
      <c r="B872" s="2" t="s">
        <v>1228</v>
      </c>
      <c r="C872" s="2" t="s">
        <v>1098</v>
      </c>
      <c r="D872" s="2" t="s">
        <v>26</v>
      </c>
      <c r="E872" s="2" t="s">
        <v>19</v>
      </c>
      <c r="F872" s="2">
        <v>6.203573006E9</v>
      </c>
    </row>
    <row r="873" ht="15.75" customHeight="1">
      <c r="A873" s="2" t="s">
        <v>568</v>
      </c>
      <c r="B873" s="2" t="s">
        <v>654</v>
      </c>
      <c r="C873" s="2" t="s">
        <v>905</v>
      </c>
      <c r="D873" s="2" t="s">
        <v>56</v>
      </c>
      <c r="E873" s="2" t="s">
        <v>19</v>
      </c>
      <c r="F873" s="2">
        <v>9.570105755E9</v>
      </c>
    </row>
    <row r="874" ht="15.75" customHeight="1">
      <c r="A874" s="2" t="s">
        <v>728</v>
      </c>
      <c r="B874" s="2" t="s">
        <v>1229</v>
      </c>
      <c r="C874" s="2" t="s">
        <v>844</v>
      </c>
      <c r="D874" s="2" t="s">
        <v>26</v>
      </c>
      <c r="E874" s="2" t="s">
        <v>23</v>
      </c>
      <c r="F874" s="2">
        <v>8.434915808E9</v>
      </c>
    </row>
    <row r="875" ht="15.75" customHeight="1">
      <c r="A875" s="2" t="s">
        <v>1230</v>
      </c>
      <c r="B875" s="2" t="s">
        <v>131</v>
      </c>
      <c r="C875" s="2" t="s">
        <v>1042</v>
      </c>
      <c r="D875" s="2" t="s">
        <v>26</v>
      </c>
      <c r="E875" s="2" t="s">
        <v>19</v>
      </c>
      <c r="F875" s="2">
        <v>7.05052932E9</v>
      </c>
    </row>
    <row r="876" ht="15.75" customHeight="1">
      <c r="A876" s="2" t="s">
        <v>1231</v>
      </c>
      <c r="B876" s="2" t="s">
        <v>50</v>
      </c>
      <c r="C876" s="2" t="s">
        <v>676</v>
      </c>
      <c r="D876" s="2" t="s">
        <v>14</v>
      </c>
      <c r="E876" s="2" t="s">
        <v>19</v>
      </c>
      <c r="F876" s="2">
        <v>8.457854826E9</v>
      </c>
    </row>
    <row r="877" ht="15.75" customHeight="1">
      <c r="A877" s="2" t="s">
        <v>1232</v>
      </c>
      <c r="B877" s="2" t="s">
        <v>1233</v>
      </c>
      <c r="C877" s="2" t="s">
        <v>844</v>
      </c>
      <c r="D877" s="2" t="s">
        <v>44</v>
      </c>
      <c r="E877" s="2" t="s">
        <v>23</v>
      </c>
      <c r="F877" s="2">
        <v>6.201660132E9</v>
      </c>
    </row>
    <row r="878" ht="15.75" customHeight="1">
      <c r="A878" s="2" t="s">
        <v>1234</v>
      </c>
      <c r="B878" s="2" t="s">
        <v>507</v>
      </c>
      <c r="C878" s="2" t="s">
        <v>330</v>
      </c>
      <c r="D878" s="2" t="s">
        <v>44</v>
      </c>
      <c r="E878" s="2" t="s">
        <v>19</v>
      </c>
      <c r="F878" s="2">
        <v>9.534004779E9</v>
      </c>
    </row>
    <row r="879" ht="15.75" customHeight="1">
      <c r="A879" s="2" t="s">
        <v>1218</v>
      </c>
      <c r="B879" s="2" t="s">
        <v>1235</v>
      </c>
      <c r="C879" s="2" t="s">
        <v>1113</v>
      </c>
      <c r="D879" s="2" t="s">
        <v>26</v>
      </c>
      <c r="E879" s="2" t="s">
        <v>19</v>
      </c>
      <c r="F879" s="2">
        <v>9.135512786E9</v>
      </c>
    </row>
    <row r="880" ht="15.75" customHeight="1">
      <c r="A880" s="2" t="s">
        <v>1236</v>
      </c>
      <c r="B880" s="2" t="s">
        <v>65</v>
      </c>
      <c r="C880" s="2" t="s">
        <v>1237</v>
      </c>
      <c r="D880" s="2" t="s">
        <v>26</v>
      </c>
      <c r="E880" s="2" t="s">
        <v>19</v>
      </c>
      <c r="F880" s="2">
        <v>9.708529891E9</v>
      </c>
    </row>
    <row r="881" ht="15.75" customHeight="1">
      <c r="A881" s="2" t="s">
        <v>1238</v>
      </c>
      <c r="B881" s="2" t="s">
        <v>212</v>
      </c>
      <c r="C881" s="2" t="s">
        <v>844</v>
      </c>
      <c r="D881" s="2" t="s">
        <v>26</v>
      </c>
      <c r="E881" s="2" t="s">
        <v>23</v>
      </c>
      <c r="F881" s="2">
        <v>9.060785415E9</v>
      </c>
    </row>
    <row r="882" ht="15.75" customHeight="1">
      <c r="A882" s="2" t="s">
        <v>1239</v>
      </c>
      <c r="B882" s="2" t="s">
        <v>63</v>
      </c>
      <c r="C882" s="2" t="s">
        <v>500</v>
      </c>
      <c r="D882" s="2" t="s">
        <v>44</v>
      </c>
      <c r="E882" s="2" t="s">
        <v>19</v>
      </c>
      <c r="F882" s="2">
        <v>9.939533378E9</v>
      </c>
    </row>
    <row r="883" ht="15.75" customHeight="1">
      <c r="A883" s="2" t="s">
        <v>1162</v>
      </c>
      <c r="B883" s="2" t="s">
        <v>55</v>
      </c>
      <c r="C883" s="2" t="s">
        <v>844</v>
      </c>
      <c r="D883" s="2" t="s">
        <v>56</v>
      </c>
      <c r="E883" s="2" t="s">
        <v>23</v>
      </c>
      <c r="F883" s="2">
        <v>8.10260964E9</v>
      </c>
    </row>
    <row r="884" ht="15.75" customHeight="1">
      <c r="A884" s="2" t="s">
        <v>833</v>
      </c>
      <c r="B884" s="2" t="s">
        <v>50</v>
      </c>
      <c r="C884" s="2" t="s">
        <v>650</v>
      </c>
      <c r="D884" s="2" t="s">
        <v>9</v>
      </c>
      <c r="E884" s="2" t="s">
        <v>19</v>
      </c>
      <c r="F884" s="2">
        <v>7.717750268E9</v>
      </c>
    </row>
    <row r="885" ht="15.75" customHeight="1">
      <c r="A885" s="2" t="s">
        <v>298</v>
      </c>
      <c r="B885" s="2" t="s">
        <v>55</v>
      </c>
      <c r="C885" s="2" t="s">
        <v>844</v>
      </c>
      <c r="D885" s="2" t="s">
        <v>56</v>
      </c>
      <c r="E885" s="2" t="s">
        <v>23</v>
      </c>
      <c r="F885" s="2">
        <v>9.162658369E9</v>
      </c>
    </row>
    <row r="886" ht="15.75" customHeight="1">
      <c r="A886" s="2" t="s">
        <v>1240</v>
      </c>
      <c r="B886" s="2" t="s">
        <v>269</v>
      </c>
      <c r="C886" s="2" t="s">
        <v>1150</v>
      </c>
      <c r="D886" s="2" t="s">
        <v>56</v>
      </c>
      <c r="E886" s="2" t="s">
        <v>255</v>
      </c>
      <c r="F886" s="2">
        <v>9.142567074E9</v>
      </c>
    </row>
    <row r="887" ht="15.75" customHeight="1">
      <c r="A887" s="2" t="s">
        <v>1241</v>
      </c>
      <c r="B887" s="2" t="s">
        <v>1242</v>
      </c>
      <c r="C887" s="2" t="s">
        <v>210</v>
      </c>
      <c r="D887" s="2" t="s">
        <v>26</v>
      </c>
      <c r="E887" s="2" t="s">
        <v>23</v>
      </c>
      <c r="F887" s="2">
        <v>7.066388965E9</v>
      </c>
    </row>
    <row r="888" ht="15.75" customHeight="1">
      <c r="A888" s="2" t="s">
        <v>1243</v>
      </c>
      <c r="B888" s="2" t="s">
        <v>108</v>
      </c>
      <c r="C888" s="2" t="s">
        <v>500</v>
      </c>
      <c r="D888" s="2" t="s">
        <v>14</v>
      </c>
      <c r="E888" s="2" t="s">
        <v>19</v>
      </c>
      <c r="F888" s="2">
        <v>9.885306852E9</v>
      </c>
    </row>
    <row r="889" ht="15.75" customHeight="1">
      <c r="A889" s="2" t="s">
        <v>1244</v>
      </c>
      <c r="B889" s="2" t="s">
        <v>212</v>
      </c>
      <c r="C889" s="2" t="s">
        <v>246</v>
      </c>
      <c r="D889" s="2" t="s">
        <v>56</v>
      </c>
      <c r="E889" s="2" t="s">
        <v>255</v>
      </c>
      <c r="F889" s="2">
        <v>9.470959874E9</v>
      </c>
    </row>
    <row r="890" ht="15.75" customHeight="1">
      <c r="A890" s="2" t="s">
        <v>430</v>
      </c>
      <c r="B890" s="2" t="s">
        <v>1245</v>
      </c>
      <c r="C890" s="2" t="s">
        <v>860</v>
      </c>
      <c r="D890" s="2" t="s">
        <v>26</v>
      </c>
      <c r="E890" s="2" t="s">
        <v>19</v>
      </c>
      <c r="F890" s="2">
        <v>7.479435696E9</v>
      </c>
    </row>
    <row r="891" ht="15.75" customHeight="1">
      <c r="A891" s="2" t="s">
        <v>1246</v>
      </c>
      <c r="B891" s="2" t="s">
        <v>1209</v>
      </c>
      <c r="C891" s="2" t="s">
        <v>1001</v>
      </c>
      <c r="D891" s="2" t="s">
        <v>56</v>
      </c>
      <c r="E891" s="2" t="s">
        <v>23</v>
      </c>
      <c r="F891" s="2">
        <v>9.931060754E9</v>
      </c>
    </row>
    <row r="892" ht="15.75" customHeight="1">
      <c r="A892" s="2" t="s">
        <v>1247</v>
      </c>
      <c r="B892" s="2" t="s">
        <v>119</v>
      </c>
      <c r="C892" s="2" t="s">
        <v>500</v>
      </c>
      <c r="D892" s="2" t="s">
        <v>14</v>
      </c>
      <c r="E892" s="2" t="s">
        <v>19</v>
      </c>
      <c r="F892" s="2">
        <v>9.334450256E9</v>
      </c>
    </row>
    <row r="893" ht="15.75" customHeight="1">
      <c r="A893" s="2" t="s">
        <v>215</v>
      </c>
      <c r="B893" s="2" t="s">
        <v>1173</v>
      </c>
      <c r="C893" s="2" t="s">
        <v>271</v>
      </c>
      <c r="D893" s="2" t="s">
        <v>44</v>
      </c>
      <c r="E893" s="2" t="s">
        <v>255</v>
      </c>
      <c r="F893" s="2">
        <v>9.893300213E9</v>
      </c>
    </row>
    <row r="894" ht="15.75" customHeight="1">
      <c r="A894" s="2" t="s">
        <v>1248</v>
      </c>
      <c r="B894" s="2" t="s">
        <v>901</v>
      </c>
      <c r="C894" s="2" t="s">
        <v>156</v>
      </c>
      <c r="D894" s="2" t="s">
        <v>56</v>
      </c>
      <c r="E894" s="2" t="s">
        <v>19</v>
      </c>
      <c r="F894" s="2">
        <v>7.050889425E9</v>
      </c>
    </row>
    <row r="895" ht="15.75" customHeight="1">
      <c r="A895" s="2" t="s">
        <v>1249</v>
      </c>
      <c r="B895" s="2" t="s">
        <v>78</v>
      </c>
      <c r="C895" s="2" t="s">
        <v>1113</v>
      </c>
      <c r="D895" s="2" t="s">
        <v>26</v>
      </c>
      <c r="E895" s="2" t="s">
        <v>19</v>
      </c>
      <c r="F895" s="2">
        <v>9.250912099E9</v>
      </c>
    </row>
    <row r="896" ht="15.75" customHeight="1">
      <c r="A896" s="2" t="s">
        <v>1250</v>
      </c>
      <c r="B896" s="2" t="s">
        <v>212</v>
      </c>
      <c r="C896" s="2" t="s">
        <v>249</v>
      </c>
      <c r="D896" s="2" t="s">
        <v>26</v>
      </c>
      <c r="E896" s="2" t="s">
        <v>23</v>
      </c>
      <c r="F896" s="2">
        <v>6.200674063E9</v>
      </c>
    </row>
    <row r="897" ht="15.75" customHeight="1">
      <c r="A897" s="2" t="s">
        <v>1251</v>
      </c>
      <c r="B897" s="2" t="s">
        <v>1079</v>
      </c>
      <c r="C897" s="2" t="s">
        <v>1252</v>
      </c>
      <c r="D897" s="2" t="s">
        <v>26</v>
      </c>
      <c r="E897" s="2" t="s">
        <v>19</v>
      </c>
      <c r="F897" s="2">
        <v>7.82053828E9</v>
      </c>
    </row>
    <row r="898" ht="15.75" customHeight="1">
      <c r="A898" s="2" t="s">
        <v>572</v>
      </c>
      <c r="B898" s="2" t="s">
        <v>69</v>
      </c>
      <c r="C898" s="2" t="s">
        <v>500</v>
      </c>
      <c r="D898" s="2" t="s">
        <v>14</v>
      </c>
      <c r="E898" s="2" t="s">
        <v>19</v>
      </c>
      <c r="F898" s="2">
        <v>7.488972639E9</v>
      </c>
    </row>
    <row r="899" ht="15.75" customHeight="1">
      <c r="A899" s="2" t="s">
        <v>49</v>
      </c>
      <c r="B899" s="2" t="s">
        <v>1253</v>
      </c>
      <c r="C899" s="2" t="s">
        <v>867</v>
      </c>
      <c r="D899" s="2" t="s">
        <v>9</v>
      </c>
      <c r="E899" s="2" t="s">
        <v>19</v>
      </c>
      <c r="F899" s="2">
        <v>9.822511026E9</v>
      </c>
    </row>
    <row r="900" ht="15.75" customHeight="1">
      <c r="A900" s="2" t="s">
        <v>175</v>
      </c>
      <c r="B900" s="2" t="s">
        <v>1254</v>
      </c>
      <c r="C900" s="2" t="s">
        <v>662</v>
      </c>
      <c r="D900" s="2" t="s">
        <v>44</v>
      </c>
      <c r="E900" s="2" t="s">
        <v>255</v>
      </c>
      <c r="F900" s="2">
        <v>6.202250729E9</v>
      </c>
    </row>
    <row r="901" ht="15.75" customHeight="1">
      <c r="A901" s="2" t="s">
        <v>1255</v>
      </c>
      <c r="B901" s="2" t="s">
        <v>112</v>
      </c>
      <c r="C901" s="2" t="s">
        <v>230</v>
      </c>
      <c r="D901" s="2" t="s">
        <v>26</v>
      </c>
      <c r="E901" s="2" t="s">
        <v>19</v>
      </c>
      <c r="F901" s="2">
        <v>6.266097475E9</v>
      </c>
    </row>
    <row r="902" ht="15.75" customHeight="1">
      <c r="A902" s="2" t="s">
        <v>49</v>
      </c>
      <c r="B902" s="2" t="s">
        <v>50</v>
      </c>
      <c r="C902" s="2" t="s">
        <v>1256</v>
      </c>
      <c r="D902" s="2" t="s">
        <v>26</v>
      </c>
      <c r="E902" s="2" t="s">
        <v>19</v>
      </c>
      <c r="F902" s="2">
        <v>8.210813625E9</v>
      </c>
    </row>
    <row r="903" ht="15.75" customHeight="1">
      <c r="A903" s="2" t="s">
        <v>1257</v>
      </c>
      <c r="B903" s="2" t="s">
        <v>88</v>
      </c>
      <c r="C903" s="2" t="s">
        <v>543</v>
      </c>
      <c r="D903" s="2" t="s">
        <v>44</v>
      </c>
      <c r="E903" s="2" t="s">
        <v>23</v>
      </c>
      <c r="F903" s="2">
        <v>8.75705775E9</v>
      </c>
    </row>
    <row r="904" ht="15.75" customHeight="1">
      <c r="A904" s="2" t="s">
        <v>538</v>
      </c>
      <c r="B904" s="2" t="s">
        <v>1258</v>
      </c>
      <c r="C904" s="2" t="s">
        <v>500</v>
      </c>
      <c r="D904" s="2" t="s">
        <v>44</v>
      </c>
      <c r="E904" s="2" t="s">
        <v>19</v>
      </c>
      <c r="F904" s="2">
        <v>7.488251016E9</v>
      </c>
    </row>
    <row r="905" ht="15.75" customHeight="1">
      <c r="A905" s="2" t="s">
        <v>1197</v>
      </c>
      <c r="B905" s="2" t="s">
        <v>212</v>
      </c>
      <c r="C905" s="2" t="s">
        <v>341</v>
      </c>
      <c r="D905" s="2" t="s">
        <v>56</v>
      </c>
      <c r="E905" s="2" t="s">
        <v>255</v>
      </c>
      <c r="F905" s="2">
        <v>7.909015478E9</v>
      </c>
    </row>
    <row r="906" ht="15.75" customHeight="1">
      <c r="A906" s="2" t="s">
        <v>1259</v>
      </c>
      <c r="B906" s="2" t="s">
        <v>1228</v>
      </c>
      <c r="C906" s="2" t="s">
        <v>1098</v>
      </c>
      <c r="D906" s="2" t="s">
        <v>26</v>
      </c>
      <c r="E906" s="2" t="s">
        <v>19</v>
      </c>
      <c r="F906" s="2">
        <v>8.580230891E9</v>
      </c>
    </row>
    <row r="907" ht="15.75" customHeight="1">
      <c r="A907" s="2" t="s">
        <v>1030</v>
      </c>
      <c r="B907" s="2" t="s">
        <v>291</v>
      </c>
      <c r="C907" s="2" t="s">
        <v>543</v>
      </c>
      <c r="D907" s="2" t="s">
        <v>29</v>
      </c>
      <c r="E907" s="2" t="s">
        <v>23</v>
      </c>
      <c r="F907" s="2">
        <v>6.266564704E9</v>
      </c>
    </row>
    <row r="908" ht="15.75" customHeight="1">
      <c r="A908" s="2" t="s">
        <v>1260</v>
      </c>
      <c r="B908" s="2" t="s">
        <v>1261</v>
      </c>
      <c r="C908" s="2" t="s">
        <v>1262</v>
      </c>
      <c r="D908" s="2" t="s">
        <v>56</v>
      </c>
      <c r="E908" s="2" t="s">
        <v>282</v>
      </c>
      <c r="F908" s="2">
        <v>9.898541991E9</v>
      </c>
    </row>
    <row r="909" ht="15.75" customHeight="1">
      <c r="A909" s="2" t="s">
        <v>547</v>
      </c>
      <c r="B909" s="2" t="s">
        <v>1056</v>
      </c>
      <c r="C909" s="2" t="s">
        <v>500</v>
      </c>
      <c r="D909" s="2" t="s">
        <v>56</v>
      </c>
      <c r="E909" s="2" t="s">
        <v>19</v>
      </c>
      <c r="F909" s="2">
        <v>8.651376712E9</v>
      </c>
    </row>
    <row r="910" ht="15.75" customHeight="1">
      <c r="A910" s="2" t="s">
        <v>1263</v>
      </c>
      <c r="B910" s="2" t="s">
        <v>212</v>
      </c>
      <c r="C910" s="2" t="s">
        <v>867</v>
      </c>
      <c r="D910" s="2" t="s">
        <v>26</v>
      </c>
      <c r="E910" s="2" t="s">
        <v>255</v>
      </c>
      <c r="F910" s="2">
        <v>6.287671342E9</v>
      </c>
    </row>
    <row r="911" ht="15.75" customHeight="1">
      <c r="A911" s="2" t="s">
        <v>1264</v>
      </c>
      <c r="B911" s="2" t="s">
        <v>1265</v>
      </c>
      <c r="C911" s="2" t="s">
        <v>58</v>
      </c>
      <c r="D911" s="2" t="s">
        <v>26</v>
      </c>
      <c r="E911" s="2" t="s">
        <v>19</v>
      </c>
      <c r="F911" s="2">
        <v>8.034224973E9</v>
      </c>
    </row>
    <row r="912" ht="15.75" customHeight="1">
      <c r="A912" s="2" t="s">
        <v>381</v>
      </c>
      <c r="B912" s="2" t="s">
        <v>50</v>
      </c>
      <c r="C912" s="2" t="s">
        <v>453</v>
      </c>
      <c r="D912" s="2" t="s">
        <v>26</v>
      </c>
      <c r="E912" s="2" t="s">
        <v>19</v>
      </c>
      <c r="F912" s="2">
        <v>7.209626179E9</v>
      </c>
    </row>
    <row r="913" ht="15.75" customHeight="1">
      <c r="A913" s="2" t="s">
        <v>1260</v>
      </c>
      <c r="B913" s="2" t="s">
        <v>1266</v>
      </c>
      <c r="C913" s="2" t="s">
        <v>1267</v>
      </c>
      <c r="D913" s="2" t="s">
        <v>26</v>
      </c>
      <c r="E913" s="2" t="s">
        <v>282</v>
      </c>
      <c r="F913" s="2">
        <v>9.426350166E9</v>
      </c>
    </row>
    <row r="914" ht="15.75" customHeight="1">
      <c r="A914" s="2" t="s">
        <v>1268</v>
      </c>
      <c r="B914" s="2" t="s">
        <v>664</v>
      </c>
      <c r="C914" s="2" t="s">
        <v>500</v>
      </c>
      <c r="D914" s="2" t="s">
        <v>56</v>
      </c>
      <c r="E914" s="2" t="s">
        <v>19</v>
      </c>
      <c r="F914" s="2">
        <v>8.757547243E9</v>
      </c>
    </row>
    <row r="915" ht="15.75" customHeight="1">
      <c r="A915" s="2" t="s">
        <v>1269</v>
      </c>
      <c r="B915" s="2" t="s">
        <v>909</v>
      </c>
      <c r="C915" s="2" t="s">
        <v>295</v>
      </c>
      <c r="D915" s="2" t="s">
        <v>29</v>
      </c>
      <c r="E915" s="2" t="s">
        <v>23</v>
      </c>
      <c r="F915" s="2">
        <v>9.523448457E9</v>
      </c>
    </row>
    <row r="916" ht="15.75" customHeight="1">
      <c r="A916" s="2" t="s">
        <v>944</v>
      </c>
      <c r="B916" s="2" t="s">
        <v>50</v>
      </c>
      <c r="C916" s="2" t="s">
        <v>305</v>
      </c>
      <c r="D916" s="2" t="s">
        <v>29</v>
      </c>
      <c r="E916" s="2" t="s">
        <v>19</v>
      </c>
      <c r="F916" s="2">
        <v>8.789845272E9</v>
      </c>
    </row>
    <row r="917" ht="15.75" customHeight="1">
      <c r="A917" s="2" t="s">
        <v>1270</v>
      </c>
      <c r="B917" s="2" t="s">
        <v>55</v>
      </c>
      <c r="C917" s="2" t="s">
        <v>867</v>
      </c>
      <c r="D917" s="2" t="s">
        <v>29</v>
      </c>
      <c r="E917" s="2" t="s">
        <v>255</v>
      </c>
      <c r="F917" s="2">
        <v>6.203010494E9</v>
      </c>
    </row>
    <row r="918" ht="15.75" customHeight="1">
      <c r="A918" s="2" t="s">
        <v>538</v>
      </c>
      <c r="B918" s="2" t="s">
        <v>594</v>
      </c>
      <c r="C918" s="2" t="s">
        <v>230</v>
      </c>
      <c r="D918" s="2" t="s">
        <v>56</v>
      </c>
      <c r="E918" s="2" t="s">
        <v>19</v>
      </c>
      <c r="F918" s="2">
        <v>7.004416263E9</v>
      </c>
    </row>
    <row r="919" ht="15.75" customHeight="1">
      <c r="A919" s="2" t="s">
        <v>1271</v>
      </c>
      <c r="B919" s="2" t="s">
        <v>654</v>
      </c>
      <c r="C919" s="2" t="s">
        <v>1113</v>
      </c>
      <c r="D919" s="2" t="s">
        <v>9</v>
      </c>
      <c r="E919" s="2" t="s">
        <v>19</v>
      </c>
      <c r="F919" s="2">
        <v>6.287672747E9</v>
      </c>
    </row>
    <row r="920" ht="15.75" customHeight="1">
      <c r="A920" s="2" t="s">
        <v>1272</v>
      </c>
      <c r="B920" s="2" t="s">
        <v>212</v>
      </c>
      <c r="C920" s="2" t="s">
        <v>844</v>
      </c>
      <c r="D920" s="2" t="s">
        <v>56</v>
      </c>
      <c r="E920" s="2" t="s">
        <v>23</v>
      </c>
      <c r="F920" s="2">
        <v>7.079016989E9</v>
      </c>
    </row>
    <row r="921" ht="15.75" customHeight="1">
      <c r="A921" s="2" t="s">
        <v>1273</v>
      </c>
      <c r="B921" s="2" t="s">
        <v>50</v>
      </c>
      <c r="C921" s="2" t="s">
        <v>500</v>
      </c>
      <c r="D921" s="2" t="s">
        <v>56</v>
      </c>
      <c r="E921" s="2" t="s">
        <v>19</v>
      </c>
      <c r="F921" s="2">
        <v>8.521176543E9</v>
      </c>
    </row>
    <row r="922" ht="15.75" customHeight="1">
      <c r="A922" s="2" t="s">
        <v>1274</v>
      </c>
      <c r="B922" s="2" t="s">
        <v>88</v>
      </c>
      <c r="C922" s="2" t="s">
        <v>844</v>
      </c>
      <c r="D922" s="2" t="s">
        <v>26</v>
      </c>
      <c r="E922" s="2" t="s">
        <v>23</v>
      </c>
      <c r="F922" s="2">
        <v>7.89830986E9</v>
      </c>
    </row>
    <row r="923" ht="15.75" customHeight="1">
      <c r="A923" s="2" t="s">
        <v>1273</v>
      </c>
      <c r="B923" s="2" t="s">
        <v>55</v>
      </c>
      <c r="C923" s="2" t="s">
        <v>1098</v>
      </c>
      <c r="D923" s="2" t="s">
        <v>26</v>
      </c>
      <c r="E923" s="2" t="s">
        <v>19</v>
      </c>
      <c r="F923" s="2">
        <v>9.11093424E9</v>
      </c>
    </row>
    <row r="924" ht="15.75" customHeight="1">
      <c r="A924" s="2" t="s">
        <v>1275</v>
      </c>
      <c r="B924" s="2" t="s">
        <v>55</v>
      </c>
      <c r="C924" s="2" t="s">
        <v>844</v>
      </c>
      <c r="D924" s="2" t="s">
        <v>56</v>
      </c>
      <c r="E924" s="2" t="s">
        <v>23</v>
      </c>
      <c r="F924" s="2">
        <v>8.409007372E9</v>
      </c>
    </row>
    <row r="925" ht="15.75" customHeight="1">
      <c r="A925" s="2" t="s">
        <v>1271</v>
      </c>
      <c r="B925" s="2" t="s">
        <v>65</v>
      </c>
      <c r="C925" s="2" t="s">
        <v>592</v>
      </c>
      <c r="D925" s="2" t="s">
        <v>26</v>
      </c>
      <c r="E925" s="2" t="s">
        <v>19</v>
      </c>
      <c r="F925" s="2">
        <v>9.608722349E9</v>
      </c>
    </row>
    <row r="926" ht="15.75" customHeight="1">
      <c r="A926" s="2" t="s">
        <v>1276</v>
      </c>
      <c r="B926" s="2" t="s">
        <v>1277</v>
      </c>
      <c r="C926" s="2" t="s">
        <v>1098</v>
      </c>
      <c r="D926" s="2" t="s">
        <v>26</v>
      </c>
      <c r="E926" s="2" t="s">
        <v>19</v>
      </c>
      <c r="F926" s="2">
        <v>9.798849855E9</v>
      </c>
    </row>
    <row r="927" ht="15.75" customHeight="1">
      <c r="A927" s="2" t="s">
        <v>1278</v>
      </c>
      <c r="B927" s="2" t="s">
        <v>125</v>
      </c>
      <c r="C927" s="2" t="s">
        <v>58</v>
      </c>
      <c r="D927" s="2" t="s">
        <v>9</v>
      </c>
      <c r="E927" s="2" t="s">
        <v>19</v>
      </c>
      <c r="F927" s="2">
        <v>6.201645382E9</v>
      </c>
    </row>
    <row r="928" ht="15.75" customHeight="1">
      <c r="A928" s="2" t="s">
        <v>1279</v>
      </c>
      <c r="B928" s="2" t="s">
        <v>212</v>
      </c>
      <c r="C928" s="2" t="s">
        <v>844</v>
      </c>
      <c r="D928" s="2" t="s">
        <v>26</v>
      </c>
      <c r="E928" s="2" t="s">
        <v>23</v>
      </c>
      <c r="F928" s="2">
        <v>7.488691923E9</v>
      </c>
    </row>
    <row r="929" ht="15.75" customHeight="1">
      <c r="A929" s="2" t="s">
        <v>1280</v>
      </c>
      <c r="B929" s="2" t="s">
        <v>1281</v>
      </c>
      <c r="C929" s="2" t="s">
        <v>1282</v>
      </c>
      <c r="D929" s="2" t="s">
        <v>56</v>
      </c>
      <c r="E929" s="2" t="s">
        <v>282</v>
      </c>
      <c r="F929" s="2">
        <v>9.42904534E9</v>
      </c>
    </row>
    <row r="930" ht="15.75" customHeight="1">
      <c r="A930" s="2" t="s">
        <v>1271</v>
      </c>
      <c r="B930" s="2" t="s">
        <v>382</v>
      </c>
      <c r="C930" s="2" t="s">
        <v>1113</v>
      </c>
      <c r="D930" s="2" t="s">
        <v>26</v>
      </c>
      <c r="E930" s="2" t="s">
        <v>19</v>
      </c>
      <c r="F930" s="2">
        <v>8.434828022E9</v>
      </c>
    </row>
    <row r="931" ht="15.75" customHeight="1">
      <c r="A931" s="2" t="s">
        <v>1283</v>
      </c>
      <c r="B931" s="2" t="s">
        <v>1283</v>
      </c>
      <c r="C931" s="2" t="s">
        <v>543</v>
      </c>
      <c r="D931" s="2" t="s">
        <v>29</v>
      </c>
      <c r="E931" s="2" t="s">
        <v>23</v>
      </c>
      <c r="F931" s="2">
        <v>8.102829044E9</v>
      </c>
    </row>
    <row r="932" ht="15.75" customHeight="1">
      <c r="A932" s="2" t="s">
        <v>1284</v>
      </c>
      <c r="B932" s="2" t="s">
        <v>1285</v>
      </c>
      <c r="C932" s="2" t="s">
        <v>1286</v>
      </c>
      <c r="D932" s="2" t="s">
        <v>26</v>
      </c>
      <c r="E932" s="2" t="s">
        <v>45</v>
      </c>
      <c r="F932" s="2">
        <v>9.726362788E9</v>
      </c>
    </row>
    <row r="933" ht="15.75" customHeight="1">
      <c r="A933" s="2" t="s">
        <v>1287</v>
      </c>
      <c r="B933" s="2" t="s">
        <v>50</v>
      </c>
      <c r="C933" s="2" t="s">
        <v>650</v>
      </c>
      <c r="D933" s="2" t="s">
        <v>29</v>
      </c>
      <c r="E933" s="2" t="s">
        <v>19</v>
      </c>
      <c r="F933" s="2">
        <v>9.523082376E9</v>
      </c>
    </row>
    <row r="934" ht="15.75" customHeight="1">
      <c r="A934" s="2" t="s">
        <v>1288</v>
      </c>
      <c r="B934" s="2" t="s">
        <v>1289</v>
      </c>
      <c r="C934" s="2" t="s">
        <v>1001</v>
      </c>
      <c r="D934" s="2" t="s">
        <v>56</v>
      </c>
      <c r="E934" s="2" t="s">
        <v>23</v>
      </c>
      <c r="F934" s="2">
        <v>8.409574708E9</v>
      </c>
    </row>
    <row r="935" ht="15.75" customHeight="1">
      <c r="A935" s="2" t="s">
        <v>1290</v>
      </c>
      <c r="B935" s="2" t="s">
        <v>212</v>
      </c>
      <c r="C935" s="2" t="s">
        <v>576</v>
      </c>
      <c r="D935" s="2" t="s">
        <v>26</v>
      </c>
      <c r="E935" s="2" t="s">
        <v>19</v>
      </c>
      <c r="F935" s="2">
        <v>7.903885784E9</v>
      </c>
    </row>
    <row r="936" ht="15.75" customHeight="1">
      <c r="A936" s="2" t="s">
        <v>1291</v>
      </c>
      <c r="B936" s="2" t="s">
        <v>91</v>
      </c>
      <c r="C936" s="2" t="s">
        <v>1292</v>
      </c>
      <c r="D936" s="2" t="s">
        <v>26</v>
      </c>
      <c r="E936" s="2" t="s">
        <v>19</v>
      </c>
      <c r="F936" s="2">
        <v>8.580304318E9</v>
      </c>
    </row>
    <row r="937" ht="15.75" customHeight="1">
      <c r="A937" s="2" t="s">
        <v>1293</v>
      </c>
      <c r="B937" s="2" t="s">
        <v>389</v>
      </c>
      <c r="C937" s="2" t="s">
        <v>968</v>
      </c>
      <c r="D937" s="2" t="s">
        <v>26</v>
      </c>
      <c r="E937" s="2" t="s">
        <v>282</v>
      </c>
      <c r="F937" s="2">
        <v>7.878799364E9</v>
      </c>
    </row>
    <row r="938" ht="15.75" customHeight="1">
      <c r="A938" s="2" t="s">
        <v>1294</v>
      </c>
      <c r="B938" s="2" t="s">
        <v>312</v>
      </c>
      <c r="C938" s="2" t="s">
        <v>1113</v>
      </c>
      <c r="D938" s="2" t="s">
        <v>26</v>
      </c>
      <c r="E938" s="2" t="s">
        <v>19</v>
      </c>
      <c r="F938" s="2">
        <v>7.070705012E9</v>
      </c>
    </row>
    <row r="939" ht="15.75" customHeight="1">
      <c r="A939" s="2" t="s">
        <v>1044</v>
      </c>
      <c r="B939" s="2" t="s">
        <v>125</v>
      </c>
      <c r="C939" s="2" t="s">
        <v>305</v>
      </c>
      <c r="D939" s="2" t="s">
        <v>29</v>
      </c>
      <c r="E939" s="2" t="s">
        <v>19</v>
      </c>
      <c r="F939" s="2">
        <v>8.789357952E9</v>
      </c>
    </row>
    <row r="940" ht="15.75" customHeight="1">
      <c r="A940" s="2" t="s">
        <v>1295</v>
      </c>
      <c r="B940" s="2" t="s">
        <v>982</v>
      </c>
      <c r="C940" s="2" t="s">
        <v>171</v>
      </c>
      <c r="D940" s="2" t="s">
        <v>44</v>
      </c>
      <c r="E940" s="2" t="s">
        <v>23</v>
      </c>
      <c r="F940" s="2">
        <v>9.334672501E9</v>
      </c>
    </row>
    <row r="941" ht="15.75" customHeight="1">
      <c r="A941" s="2" t="s">
        <v>1296</v>
      </c>
      <c r="B941" s="2" t="s">
        <v>332</v>
      </c>
      <c r="C941" s="2" t="s">
        <v>500</v>
      </c>
      <c r="D941" s="2" t="s">
        <v>26</v>
      </c>
      <c r="E941" s="2" t="s">
        <v>19</v>
      </c>
      <c r="F941" s="2">
        <v>9.065194588E9</v>
      </c>
    </row>
    <row r="942" ht="15.75" customHeight="1">
      <c r="A942" s="2" t="s">
        <v>1297</v>
      </c>
      <c r="B942" s="2" t="s">
        <v>1298</v>
      </c>
      <c r="C942" s="2" t="s">
        <v>1299</v>
      </c>
      <c r="D942" s="2" t="s">
        <v>44</v>
      </c>
      <c r="E942" s="2" t="s">
        <v>45</v>
      </c>
      <c r="F942" s="2">
        <v>9.687207474E9</v>
      </c>
    </row>
    <row r="943" ht="15.75" customHeight="1">
      <c r="A943" s="2" t="s">
        <v>304</v>
      </c>
      <c r="B943" s="2" t="s">
        <v>65</v>
      </c>
      <c r="C943" s="2" t="s">
        <v>1066</v>
      </c>
      <c r="D943" s="2" t="s">
        <v>102</v>
      </c>
      <c r="E943" s="2" t="s">
        <v>19</v>
      </c>
      <c r="F943" s="2">
        <v>9.798498555E9</v>
      </c>
    </row>
    <row r="944" ht="15.75" customHeight="1">
      <c r="A944" s="2" t="s">
        <v>1060</v>
      </c>
      <c r="B944" s="2" t="s">
        <v>88</v>
      </c>
      <c r="C944" s="2" t="s">
        <v>1004</v>
      </c>
      <c r="D944" s="2" t="s">
        <v>44</v>
      </c>
      <c r="E944" s="2" t="s">
        <v>23</v>
      </c>
      <c r="F944" s="2">
        <v>9.931258193E9</v>
      </c>
    </row>
    <row r="945" ht="15.75" customHeight="1">
      <c r="A945" s="2" t="s">
        <v>570</v>
      </c>
      <c r="B945" s="2" t="s">
        <v>50</v>
      </c>
      <c r="C945" s="2" t="s">
        <v>1300</v>
      </c>
      <c r="D945" s="2" t="s">
        <v>26</v>
      </c>
      <c r="E945" s="2" t="s">
        <v>19</v>
      </c>
      <c r="F945" s="2">
        <v>8.809003739E9</v>
      </c>
    </row>
    <row r="946" ht="15.75" customHeight="1">
      <c r="A946" s="2" t="s">
        <v>1301</v>
      </c>
      <c r="B946" s="2" t="s">
        <v>693</v>
      </c>
      <c r="C946" s="2" t="s">
        <v>1299</v>
      </c>
      <c r="D946" s="2" t="s">
        <v>9</v>
      </c>
      <c r="E946" s="2" t="s">
        <v>282</v>
      </c>
      <c r="F946" s="2">
        <v>9.904121234E9</v>
      </c>
    </row>
    <row r="947" ht="15.75" customHeight="1">
      <c r="A947" s="2" t="s">
        <v>1302</v>
      </c>
      <c r="B947" s="2" t="s">
        <v>746</v>
      </c>
      <c r="C947" s="2" t="s">
        <v>252</v>
      </c>
      <c r="D947" s="2" t="s">
        <v>56</v>
      </c>
      <c r="E947" s="2" t="s">
        <v>23</v>
      </c>
      <c r="F947" s="2">
        <v>9.53405149E9</v>
      </c>
    </row>
    <row r="948" ht="15.75" customHeight="1">
      <c r="A948" s="2" t="s">
        <v>374</v>
      </c>
      <c r="B948" s="2" t="s">
        <v>1303</v>
      </c>
      <c r="C948" s="2" t="s">
        <v>500</v>
      </c>
      <c r="D948" s="2" t="s">
        <v>56</v>
      </c>
      <c r="E948" s="2" t="s">
        <v>19</v>
      </c>
      <c r="F948" s="2">
        <v>7.856890772E9</v>
      </c>
    </row>
    <row r="949" ht="15.75" customHeight="1">
      <c r="A949" s="2" t="s">
        <v>1304</v>
      </c>
      <c r="B949" s="2" t="s">
        <v>71</v>
      </c>
      <c r="C949" s="2" t="s">
        <v>1305</v>
      </c>
      <c r="D949" s="2" t="s">
        <v>44</v>
      </c>
      <c r="E949" s="2" t="s">
        <v>45</v>
      </c>
      <c r="F949" s="2">
        <v>9.413637703E9</v>
      </c>
    </row>
    <row r="950" ht="15.75" customHeight="1">
      <c r="A950" s="2" t="s">
        <v>1011</v>
      </c>
      <c r="B950" s="2" t="s">
        <v>1306</v>
      </c>
      <c r="C950" s="2" t="s">
        <v>1307</v>
      </c>
      <c r="D950" s="2" t="s">
        <v>29</v>
      </c>
      <c r="E950" s="2" t="s">
        <v>23</v>
      </c>
      <c r="F950" s="2">
        <v>6.204392042E9</v>
      </c>
    </row>
    <row r="951" ht="15.75" customHeight="1">
      <c r="A951" s="2" t="s">
        <v>1308</v>
      </c>
      <c r="B951" s="2" t="s">
        <v>1309</v>
      </c>
      <c r="C951" s="2" t="s">
        <v>500</v>
      </c>
      <c r="D951" s="2" t="s">
        <v>102</v>
      </c>
      <c r="E951" s="2" t="s">
        <v>19</v>
      </c>
      <c r="F951" s="2">
        <v>9.340749668E9</v>
      </c>
    </row>
    <row r="952" ht="15.75" customHeight="1">
      <c r="A952" s="2" t="s">
        <v>617</v>
      </c>
      <c r="B952" s="2" t="s">
        <v>55</v>
      </c>
      <c r="C952" s="2" t="s">
        <v>1310</v>
      </c>
      <c r="D952" s="2" t="s">
        <v>56</v>
      </c>
      <c r="E952" s="2" t="s">
        <v>23</v>
      </c>
      <c r="F952" s="2">
        <v>8.86645989E9</v>
      </c>
    </row>
    <row r="953" ht="15.75" customHeight="1">
      <c r="A953" s="2" t="s">
        <v>1031</v>
      </c>
      <c r="B953" s="2" t="s">
        <v>50</v>
      </c>
      <c r="C953" s="2" t="s">
        <v>453</v>
      </c>
      <c r="D953" s="2" t="s">
        <v>26</v>
      </c>
      <c r="E953" s="2" t="s">
        <v>19</v>
      </c>
      <c r="F953" s="2">
        <v>7.361980158E9</v>
      </c>
    </row>
    <row r="954" ht="15.75" customHeight="1">
      <c r="A954" s="2" t="s">
        <v>1311</v>
      </c>
      <c r="B954" s="2" t="s">
        <v>1312</v>
      </c>
      <c r="C954" s="2" t="s">
        <v>1299</v>
      </c>
      <c r="D954" s="2" t="s">
        <v>26</v>
      </c>
      <c r="E954" s="2" t="s">
        <v>255</v>
      </c>
      <c r="F954" s="2">
        <v>9.413637703E9</v>
      </c>
    </row>
    <row r="955" ht="15.75" customHeight="1">
      <c r="A955" s="2" t="s">
        <v>278</v>
      </c>
      <c r="B955" s="2" t="s">
        <v>65</v>
      </c>
      <c r="C955" s="2" t="s">
        <v>500</v>
      </c>
      <c r="D955" s="2" t="s">
        <v>56</v>
      </c>
      <c r="E955" s="2" t="s">
        <v>19</v>
      </c>
      <c r="F955" s="2">
        <v>6.206686518E9</v>
      </c>
    </row>
    <row r="956" ht="15.75" customHeight="1">
      <c r="A956" s="2" t="s">
        <v>131</v>
      </c>
      <c r="B956" s="2" t="s">
        <v>135</v>
      </c>
      <c r="C956" s="2" t="s">
        <v>1313</v>
      </c>
      <c r="D956" s="2" t="s">
        <v>29</v>
      </c>
      <c r="E956" s="2" t="s">
        <v>19</v>
      </c>
      <c r="F956" s="2">
        <v>8.210232079E9</v>
      </c>
    </row>
    <row r="957" ht="15.75" customHeight="1">
      <c r="A957" s="2" t="s">
        <v>666</v>
      </c>
      <c r="B957" s="2" t="s">
        <v>452</v>
      </c>
      <c r="C957" s="2" t="s">
        <v>1314</v>
      </c>
      <c r="D957" s="2" t="s">
        <v>26</v>
      </c>
      <c r="E957" s="2" t="s">
        <v>23</v>
      </c>
      <c r="F957" s="2">
        <v>8.34068311E9</v>
      </c>
    </row>
    <row r="958" ht="15.75" customHeight="1">
      <c r="A958" s="2" t="s">
        <v>1315</v>
      </c>
      <c r="B958" s="2" t="s">
        <v>55</v>
      </c>
      <c r="C958" s="2" t="s">
        <v>844</v>
      </c>
      <c r="D958" s="2" t="s">
        <v>29</v>
      </c>
      <c r="E958" s="2" t="s">
        <v>23</v>
      </c>
      <c r="F958" s="2">
        <v>7.542028806E9</v>
      </c>
    </row>
    <row r="959" ht="15.75" customHeight="1">
      <c r="A959" s="2" t="s">
        <v>50</v>
      </c>
      <c r="B959" s="2" t="s">
        <v>189</v>
      </c>
      <c r="C959" s="2" t="s">
        <v>1316</v>
      </c>
      <c r="D959" s="2" t="s">
        <v>56</v>
      </c>
      <c r="E959" s="2" t="s">
        <v>1317</v>
      </c>
      <c r="F959" s="2">
        <v>9.064677356E9</v>
      </c>
    </row>
    <row r="960" ht="15.75" customHeight="1">
      <c r="A960" s="2" t="s">
        <v>146</v>
      </c>
      <c r="B960" s="2" t="s">
        <v>1318</v>
      </c>
      <c r="C960" s="2" t="s">
        <v>13</v>
      </c>
      <c r="D960" s="2" t="s">
        <v>44</v>
      </c>
      <c r="E960" s="2" t="s">
        <v>15</v>
      </c>
      <c r="F960" s="2">
        <v>8.390099778E9</v>
      </c>
    </row>
    <row r="961" ht="15.75" customHeight="1">
      <c r="A961" s="2" t="s">
        <v>1319</v>
      </c>
      <c r="B961" s="2" t="s">
        <v>176</v>
      </c>
      <c r="C961" s="2" t="s">
        <v>806</v>
      </c>
      <c r="D961" s="2" t="s">
        <v>29</v>
      </c>
      <c r="E961" s="2" t="s">
        <v>23</v>
      </c>
      <c r="F961" s="2">
        <v>6.202399187E9</v>
      </c>
    </row>
    <row r="962" ht="15.75" customHeight="1">
      <c r="A962" s="2" t="s">
        <v>903</v>
      </c>
      <c r="B962" s="2" t="s">
        <v>212</v>
      </c>
      <c r="C962" s="2" t="s">
        <v>277</v>
      </c>
      <c r="D962" s="2" t="s">
        <v>56</v>
      </c>
      <c r="E962" s="2" t="s">
        <v>23</v>
      </c>
      <c r="F962" s="2">
        <v>6.201510275E9</v>
      </c>
    </row>
    <row r="963" ht="15.75" customHeight="1">
      <c r="A963" s="2" t="s">
        <v>1302</v>
      </c>
      <c r="B963" s="2" t="s">
        <v>303</v>
      </c>
      <c r="C963" s="2" t="s">
        <v>740</v>
      </c>
      <c r="D963" s="2" t="s">
        <v>29</v>
      </c>
      <c r="E963" s="2" t="s">
        <v>23</v>
      </c>
      <c r="F963" s="2">
        <v>7.091719835E9</v>
      </c>
    </row>
    <row r="964" ht="15.75" customHeight="1">
      <c r="A964" s="2" t="s">
        <v>285</v>
      </c>
      <c r="B964" s="2" t="s">
        <v>1320</v>
      </c>
      <c r="C964" s="2" t="s">
        <v>1321</v>
      </c>
      <c r="D964" s="2" t="s">
        <v>56</v>
      </c>
      <c r="E964" s="2" t="s">
        <v>23</v>
      </c>
      <c r="F964" s="2">
        <v>8.789946696E9</v>
      </c>
    </row>
    <row r="965" ht="15.75" customHeight="1">
      <c r="A965" s="2" t="s">
        <v>853</v>
      </c>
      <c r="B965" s="2" t="s">
        <v>55</v>
      </c>
      <c r="C965" s="2" t="s">
        <v>1322</v>
      </c>
      <c r="D965" s="2" t="s">
        <v>26</v>
      </c>
      <c r="E965" s="2" t="s">
        <v>23</v>
      </c>
      <c r="F965" s="2">
        <v>7.979099784E9</v>
      </c>
    </row>
    <row r="966" ht="15.75" customHeight="1">
      <c r="A966" s="2" t="s">
        <v>1323</v>
      </c>
      <c r="B966" s="2" t="s">
        <v>1323</v>
      </c>
      <c r="C966" s="2" t="s">
        <v>1324</v>
      </c>
      <c r="D966" s="2" t="s">
        <v>56</v>
      </c>
      <c r="E966" s="2" t="s">
        <v>23</v>
      </c>
      <c r="F966" s="2">
        <v>8.788695495E9</v>
      </c>
    </row>
    <row r="967" ht="15.75" customHeight="1">
      <c r="A967" s="2" t="s">
        <v>1325</v>
      </c>
      <c r="B967" s="2" t="s">
        <v>1325</v>
      </c>
      <c r="C967" s="2" t="s">
        <v>1326</v>
      </c>
      <c r="D967" s="2" t="s">
        <v>26</v>
      </c>
      <c r="E967" s="2" t="s">
        <v>23</v>
      </c>
      <c r="F967" s="2">
        <v>7.549843609E9</v>
      </c>
    </row>
    <row r="968" ht="15.75" customHeight="1">
      <c r="A968" s="2" t="s">
        <v>1327</v>
      </c>
      <c r="B968" s="2" t="s">
        <v>982</v>
      </c>
      <c r="C968" s="2" t="s">
        <v>1226</v>
      </c>
      <c r="D968" s="2" t="s">
        <v>26</v>
      </c>
      <c r="E968" s="2" t="s">
        <v>23</v>
      </c>
      <c r="F968" s="2">
        <v>7.20929981E9</v>
      </c>
    </row>
    <row r="969" ht="15.75" customHeight="1">
      <c r="A969" s="2" t="s">
        <v>1328</v>
      </c>
      <c r="B969" s="2" t="s">
        <v>1049</v>
      </c>
      <c r="C969" s="2" t="s">
        <v>1329</v>
      </c>
      <c r="D969" s="2" t="s">
        <v>26</v>
      </c>
      <c r="E969" s="2" t="s">
        <v>23</v>
      </c>
      <c r="F969" s="2">
        <v>7.634045451E9</v>
      </c>
    </row>
    <row r="970" ht="15.75" customHeight="1">
      <c r="A970" s="2" t="s">
        <v>1330</v>
      </c>
      <c r="B970" s="2" t="s">
        <v>1331</v>
      </c>
      <c r="C970" s="2" t="s">
        <v>1001</v>
      </c>
      <c r="D970" s="2" t="s">
        <v>29</v>
      </c>
      <c r="E970" s="2" t="s">
        <v>23</v>
      </c>
      <c r="F970" s="2">
        <v>7.488953993E9</v>
      </c>
    </row>
    <row r="971" ht="15.75" customHeight="1">
      <c r="A971" s="2" t="s">
        <v>1332</v>
      </c>
      <c r="B971" s="2" t="s">
        <v>276</v>
      </c>
      <c r="C971" s="2" t="s">
        <v>1307</v>
      </c>
      <c r="D971" s="2" t="s">
        <v>29</v>
      </c>
      <c r="E971" s="2" t="s">
        <v>23</v>
      </c>
      <c r="F971" s="2">
        <v>9.162219907E9</v>
      </c>
    </row>
    <row r="972" ht="15.75" customHeight="1">
      <c r="A972" s="2" t="s">
        <v>1333</v>
      </c>
      <c r="B972" s="2" t="s">
        <v>1334</v>
      </c>
      <c r="C972" s="2" t="s">
        <v>13</v>
      </c>
      <c r="D972" s="2" t="s">
        <v>44</v>
      </c>
      <c r="E972" s="2" t="s">
        <v>1335</v>
      </c>
      <c r="F972" s="2" t="str">
        <f>+91 7760116888</f>
        <v>#ERROR!</v>
      </c>
    </row>
    <row r="973" ht="15.75" customHeight="1">
      <c r="A973" s="2" t="s">
        <v>1336</v>
      </c>
      <c r="B973" s="2" t="s">
        <v>407</v>
      </c>
      <c r="C973" s="2" t="s">
        <v>648</v>
      </c>
      <c r="D973" s="2" t="s">
        <v>9</v>
      </c>
      <c r="E973" s="2" t="s">
        <v>23</v>
      </c>
      <c r="F973" s="2">
        <v>7.808828996E9</v>
      </c>
    </row>
    <row r="974" ht="15.75" customHeight="1">
      <c r="A974" s="2" t="s">
        <v>1337</v>
      </c>
      <c r="B974" s="2" t="s">
        <v>1337</v>
      </c>
      <c r="C974" s="2" t="s">
        <v>648</v>
      </c>
      <c r="D974" s="2" t="s">
        <v>29</v>
      </c>
      <c r="E974" s="2" t="s">
        <v>23</v>
      </c>
      <c r="F974" s="2">
        <v>6.392338052E9</v>
      </c>
    </row>
    <row r="975" ht="15.75" customHeight="1">
      <c r="A975" s="2" t="s">
        <v>463</v>
      </c>
      <c r="B975" s="2" t="s">
        <v>315</v>
      </c>
      <c r="C975" s="2" t="s">
        <v>1338</v>
      </c>
      <c r="D975" s="2" t="s">
        <v>29</v>
      </c>
      <c r="E975" s="2" t="s">
        <v>1339</v>
      </c>
      <c r="F975" s="2">
        <v>8.928279996E9</v>
      </c>
    </row>
    <row r="976" ht="15.75" customHeight="1">
      <c r="A976" s="2" t="s">
        <v>1340</v>
      </c>
      <c r="B976" s="2" t="s">
        <v>1340</v>
      </c>
      <c r="C976" s="2" t="s">
        <v>1341</v>
      </c>
      <c r="D976" s="2" t="s">
        <v>14</v>
      </c>
      <c r="E976" s="2" t="s">
        <v>1342</v>
      </c>
      <c r="F976" s="2">
        <v>9.717487626E9</v>
      </c>
    </row>
    <row r="977" ht="15.75" customHeight="1">
      <c r="A977" s="2" t="s">
        <v>463</v>
      </c>
      <c r="B977" s="2" t="s">
        <v>1343</v>
      </c>
      <c r="C977" s="2" t="s">
        <v>1344</v>
      </c>
      <c r="D977" s="2" t="s">
        <v>14</v>
      </c>
      <c r="E977" s="2" t="s">
        <v>1345</v>
      </c>
      <c r="F977" s="2">
        <v>9.900024021E9</v>
      </c>
    </row>
    <row r="978" ht="15.75" customHeight="1">
      <c r="A978" s="2" t="s">
        <v>1346</v>
      </c>
      <c r="B978" s="2" t="s">
        <v>78</v>
      </c>
      <c r="C978" s="2" t="s">
        <v>1347</v>
      </c>
      <c r="D978" s="2" t="s">
        <v>14</v>
      </c>
      <c r="E978" s="2" t="s">
        <v>282</v>
      </c>
      <c r="F978" s="2">
        <v>8.980601859E9</v>
      </c>
    </row>
    <row r="979" ht="15.75" customHeight="1">
      <c r="A979" s="2" t="s">
        <v>1348</v>
      </c>
      <c r="B979" s="2" t="s">
        <v>1349</v>
      </c>
      <c r="C979" s="2" t="s">
        <v>1350</v>
      </c>
      <c r="D979" s="2" t="s">
        <v>14</v>
      </c>
      <c r="E979" s="2" t="s">
        <v>282</v>
      </c>
      <c r="F979" s="2">
        <v>9.714956676E9</v>
      </c>
    </row>
    <row r="980" ht="15.75" customHeight="1">
      <c r="A980" s="2" t="s">
        <v>1351</v>
      </c>
      <c r="B980" s="2" t="s">
        <v>440</v>
      </c>
      <c r="C980" s="2" t="s">
        <v>235</v>
      </c>
      <c r="D980" s="2" t="s">
        <v>26</v>
      </c>
      <c r="E980" s="2" t="s">
        <v>19</v>
      </c>
      <c r="F980" s="2">
        <v>8.852425112E9</v>
      </c>
    </row>
    <row r="981" ht="15.75" customHeight="1">
      <c r="A981" s="2" t="s">
        <v>1348</v>
      </c>
      <c r="B981" s="2" t="s">
        <v>63</v>
      </c>
      <c r="C981" s="2" t="s">
        <v>1113</v>
      </c>
      <c r="D981" s="2" t="s">
        <v>26</v>
      </c>
      <c r="E981" s="2" t="s">
        <v>19</v>
      </c>
      <c r="F981" s="2">
        <v>9.934325926E9</v>
      </c>
    </row>
    <row r="982" ht="15.75" customHeight="1">
      <c r="A982" s="2" t="s">
        <v>1092</v>
      </c>
      <c r="B982" s="2" t="s">
        <v>1352</v>
      </c>
      <c r="C982" s="2" t="s">
        <v>1072</v>
      </c>
      <c r="D982" s="2" t="s">
        <v>26</v>
      </c>
      <c r="E982" s="2" t="s">
        <v>19</v>
      </c>
      <c r="F982" s="2">
        <v>7.57351226E9</v>
      </c>
    </row>
    <row r="983" ht="15.75" customHeight="1">
      <c r="A983" s="2" t="s">
        <v>1353</v>
      </c>
      <c r="B983" s="2" t="s">
        <v>922</v>
      </c>
      <c r="C983" s="2" t="s">
        <v>1350</v>
      </c>
      <c r="D983" s="2" t="s">
        <v>56</v>
      </c>
      <c r="E983" s="2" t="s">
        <v>282</v>
      </c>
      <c r="F983" s="2">
        <v>9.724052066E9</v>
      </c>
    </row>
    <row r="984" ht="15.75" customHeight="1">
      <c r="A984" s="2" t="s">
        <v>1092</v>
      </c>
      <c r="B984" s="2" t="s">
        <v>63</v>
      </c>
      <c r="C984" s="2" t="s">
        <v>761</v>
      </c>
      <c r="D984" s="2" t="s">
        <v>26</v>
      </c>
      <c r="E984" s="2" t="s">
        <v>19</v>
      </c>
      <c r="F984" s="2">
        <v>8.70964567E8</v>
      </c>
    </row>
    <row r="985" ht="15.75" customHeight="1">
      <c r="A985" s="2" t="s">
        <v>1234</v>
      </c>
      <c r="B985" s="2" t="s">
        <v>50</v>
      </c>
      <c r="C985" s="2" t="s">
        <v>650</v>
      </c>
      <c r="D985" s="2" t="s">
        <v>29</v>
      </c>
      <c r="E985" s="2" t="s">
        <v>19</v>
      </c>
      <c r="F985" s="2">
        <v>8.292901953E9</v>
      </c>
    </row>
    <row r="986" ht="15.75" customHeight="1">
      <c r="A986" s="2" t="s">
        <v>1354</v>
      </c>
      <c r="B986" s="2" t="s">
        <v>108</v>
      </c>
      <c r="C986" s="2" t="s">
        <v>1355</v>
      </c>
      <c r="D986" s="2" t="s">
        <v>26</v>
      </c>
      <c r="E986" s="2" t="s">
        <v>19</v>
      </c>
      <c r="F986" s="2">
        <v>7.102655121E9</v>
      </c>
    </row>
    <row r="987" ht="15.75" customHeight="1">
      <c r="A987" s="2" t="s">
        <v>1356</v>
      </c>
      <c r="B987" s="2" t="s">
        <v>1357</v>
      </c>
      <c r="C987" s="2" t="s">
        <v>1358</v>
      </c>
      <c r="D987" s="2" t="s">
        <v>44</v>
      </c>
      <c r="E987" s="2" t="s">
        <v>282</v>
      </c>
      <c r="F987" s="2">
        <v>9.72795171E9</v>
      </c>
    </row>
    <row r="988" ht="15.75" customHeight="1">
      <c r="A988" s="2" t="s">
        <v>1359</v>
      </c>
      <c r="B988" s="2" t="s">
        <v>63</v>
      </c>
      <c r="C988" s="2" t="s">
        <v>235</v>
      </c>
      <c r="D988" s="2" t="s">
        <v>26</v>
      </c>
      <c r="E988" s="2" t="s">
        <v>19</v>
      </c>
      <c r="F988" s="2">
        <v>7.050519924E9</v>
      </c>
    </row>
    <row r="989" ht="15.75" customHeight="1">
      <c r="A989" s="2" t="s">
        <v>1360</v>
      </c>
      <c r="B989" s="2" t="s">
        <v>654</v>
      </c>
      <c r="C989" s="2" t="s">
        <v>300</v>
      </c>
      <c r="D989" s="2" t="s">
        <v>26</v>
      </c>
      <c r="E989" s="2" t="s">
        <v>19</v>
      </c>
      <c r="F989" s="2">
        <v>8.292941881E9</v>
      </c>
    </row>
    <row r="990" ht="15.75" customHeight="1">
      <c r="A990" s="2" t="s">
        <v>224</v>
      </c>
      <c r="B990" s="2" t="s">
        <v>63</v>
      </c>
      <c r="C990" s="2" t="s">
        <v>343</v>
      </c>
      <c r="D990" s="2" t="s">
        <v>29</v>
      </c>
      <c r="E990" s="2" t="s">
        <v>19</v>
      </c>
      <c r="F990" s="2">
        <v>8.709422215E9</v>
      </c>
    </row>
    <row r="991" ht="15.75" customHeight="1">
      <c r="A991" s="2" t="s">
        <v>224</v>
      </c>
      <c r="B991" s="2" t="s">
        <v>50</v>
      </c>
      <c r="C991" s="2" t="s">
        <v>592</v>
      </c>
      <c r="D991" s="2" t="s">
        <v>29</v>
      </c>
      <c r="E991" s="2" t="s">
        <v>19</v>
      </c>
      <c r="F991" s="2">
        <v>9.905973925E9</v>
      </c>
    </row>
    <row r="992" ht="15.75" customHeight="1">
      <c r="A992" s="2" t="s">
        <v>1361</v>
      </c>
      <c r="B992" s="2" t="s">
        <v>1362</v>
      </c>
      <c r="C992" s="2" t="s">
        <v>763</v>
      </c>
      <c r="D992" s="2" t="s">
        <v>44</v>
      </c>
      <c r="E992" s="2" t="s">
        <v>19</v>
      </c>
      <c r="F992" s="2">
        <v>9.724126697E9</v>
      </c>
    </row>
    <row r="993" ht="15.75" customHeight="1">
      <c r="A993" s="2" t="s">
        <v>1361</v>
      </c>
      <c r="B993" s="2" t="s">
        <v>992</v>
      </c>
      <c r="C993" s="2" t="s">
        <v>1113</v>
      </c>
      <c r="D993" s="2" t="s">
        <v>26</v>
      </c>
      <c r="E993" s="2" t="s">
        <v>19</v>
      </c>
      <c r="F993" s="2">
        <v>8.618192218E9</v>
      </c>
    </row>
    <row r="994" ht="15.75" customHeight="1">
      <c r="A994" s="2" t="s">
        <v>1363</v>
      </c>
      <c r="B994" s="2" t="s">
        <v>507</v>
      </c>
      <c r="C994" s="2" t="s">
        <v>235</v>
      </c>
      <c r="D994" s="2" t="s">
        <v>26</v>
      </c>
      <c r="E994" s="2" t="s">
        <v>19</v>
      </c>
      <c r="F994" s="2">
        <v>8.207461552E9</v>
      </c>
    </row>
    <row r="995" ht="15.75" customHeight="1">
      <c r="A995" s="2" t="s">
        <v>1364</v>
      </c>
      <c r="B995" s="2" t="s">
        <v>119</v>
      </c>
      <c r="C995" s="2" t="s">
        <v>79</v>
      </c>
      <c r="D995" s="2" t="s">
        <v>44</v>
      </c>
      <c r="E995" s="2" t="s">
        <v>19</v>
      </c>
      <c r="F995" s="2">
        <v>8.570221231E9</v>
      </c>
    </row>
    <row r="996" ht="15.75" customHeight="1">
      <c r="A996" s="2" t="s">
        <v>1364</v>
      </c>
      <c r="B996" s="2" t="s">
        <v>50</v>
      </c>
      <c r="C996" s="2" t="s">
        <v>1355</v>
      </c>
      <c r="D996" s="2" t="s">
        <v>29</v>
      </c>
      <c r="E996" s="2" t="s">
        <v>19</v>
      </c>
      <c r="F996" s="2">
        <v>8.825328559E9</v>
      </c>
    </row>
    <row r="997" ht="15.75" customHeight="1">
      <c r="A997" s="2" t="s">
        <v>127</v>
      </c>
      <c r="B997" s="2" t="s">
        <v>63</v>
      </c>
      <c r="C997" s="2" t="s">
        <v>1365</v>
      </c>
      <c r="D997" s="2" t="s">
        <v>26</v>
      </c>
      <c r="E997" s="2" t="s">
        <v>19</v>
      </c>
      <c r="F997" s="2">
        <v>8.216054908E9</v>
      </c>
    </row>
    <row r="998" ht="15.75" customHeight="1">
      <c r="A998" s="2" t="s">
        <v>127</v>
      </c>
      <c r="B998" s="2" t="s">
        <v>65</v>
      </c>
      <c r="C998" s="2" t="s">
        <v>428</v>
      </c>
      <c r="D998" s="2" t="s">
        <v>26</v>
      </c>
      <c r="E998" s="2" t="s">
        <v>19</v>
      </c>
      <c r="F998" s="2">
        <v>9.973828817E9</v>
      </c>
    </row>
    <row r="999" ht="15.75" customHeight="1">
      <c r="A999" s="2" t="s">
        <v>1366</v>
      </c>
      <c r="B999" s="2" t="s">
        <v>50</v>
      </c>
      <c r="C999" s="2" t="s">
        <v>650</v>
      </c>
      <c r="D999" s="2" t="s">
        <v>9</v>
      </c>
      <c r="E999" s="2" t="s">
        <v>19</v>
      </c>
      <c r="F999" s="2">
        <v>7.066388965E9</v>
      </c>
    </row>
    <row r="1000" ht="15.75" customHeight="1">
      <c r="A1000" s="2" t="s">
        <v>852</v>
      </c>
      <c r="B1000" s="2" t="s">
        <v>50</v>
      </c>
      <c r="C1000" s="2" t="s">
        <v>343</v>
      </c>
      <c r="D1000" s="2" t="s">
        <v>9</v>
      </c>
      <c r="E1000" s="2" t="s">
        <v>19</v>
      </c>
      <c r="F1000" s="2">
        <v>9.57640951E9</v>
      </c>
    </row>
    <row r="1001" ht="15.75" customHeight="1">
      <c r="A1001" s="2" t="s">
        <v>127</v>
      </c>
      <c r="B1001" s="2" t="s">
        <v>507</v>
      </c>
      <c r="C1001" s="2" t="s">
        <v>235</v>
      </c>
      <c r="D1001" s="2" t="s">
        <v>26</v>
      </c>
      <c r="E1001" s="2" t="s">
        <v>19</v>
      </c>
      <c r="F1001" s="2">
        <v>8.651291819E9</v>
      </c>
    </row>
    <row r="1002" ht="15.75" customHeight="1">
      <c r="A1002" s="2" t="s">
        <v>127</v>
      </c>
      <c r="B1002" s="2" t="s">
        <v>312</v>
      </c>
      <c r="C1002" s="2" t="s">
        <v>277</v>
      </c>
      <c r="D1002" s="2" t="s">
        <v>29</v>
      </c>
      <c r="E1002" s="2" t="s">
        <v>19</v>
      </c>
      <c r="F1002" s="2">
        <v>8.216054908E9</v>
      </c>
    </row>
    <row r="1003" ht="15.75" customHeight="1">
      <c r="A1003" s="2" t="s">
        <v>1367</v>
      </c>
      <c r="B1003" s="2" t="s">
        <v>50</v>
      </c>
      <c r="C1003" s="2" t="s">
        <v>343</v>
      </c>
      <c r="D1003" s="2" t="s">
        <v>29</v>
      </c>
      <c r="E1003" s="2" t="s">
        <v>19</v>
      </c>
      <c r="F1003" s="2">
        <v>9.334253607E9</v>
      </c>
    </row>
    <row r="1004" ht="15.75" customHeight="1">
      <c r="A1004" s="2" t="s">
        <v>1368</v>
      </c>
      <c r="B1004" s="2" t="s">
        <v>113</v>
      </c>
      <c r="C1004" s="2" t="s">
        <v>58</v>
      </c>
      <c r="D1004" s="2" t="s">
        <v>9</v>
      </c>
      <c r="E1004" s="2" t="s">
        <v>23</v>
      </c>
      <c r="F1004" s="2">
        <v>7.463028433E9</v>
      </c>
    </row>
    <row r="1005" ht="15.75" customHeight="1">
      <c r="A1005" s="2" t="s">
        <v>95</v>
      </c>
      <c r="B1005" s="2" t="s">
        <v>552</v>
      </c>
      <c r="C1005" s="2" t="s">
        <v>1369</v>
      </c>
      <c r="D1005" s="2" t="s">
        <v>26</v>
      </c>
      <c r="E1005" s="2" t="s">
        <v>23</v>
      </c>
      <c r="F1005" s="2">
        <v>7.209594032E9</v>
      </c>
    </row>
    <row r="1006" ht="15.75" customHeight="1">
      <c r="A1006" s="2" t="s">
        <v>874</v>
      </c>
      <c r="B1006" s="2" t="s">
        <v>55</v>
      </c>
      <c r="C1006" s="2" t="s">
        <v>58</v>
      </c>
      <c r="D1006" s="2" t="s">
        <v>26</v>
      </c>
      <c r="E1006" s="2" t="s">
        <v>23</v>
      </c>
      <c r="F1006" s="2">
        <v>6.371928069E9</v>
      </c>
    </row>
    <row r="1007" ht="15.75" customHeight="1">
      <c r="A1007" s="2" t="s">
        <v>406</v>
      </c>
      <c r="B1007" s="2" t="s">
        <v>75</v>
      </c>
      <c r="C1007" s="2" t="s">
        <v>58</v>
      </c>
      <c r="D1007" s="2" t="s">
        <v>44</v>
      </c>
      <c r="E1007" s="2" t="s">
        <v>23</v>
      </c>
      <c r="F1007" s="2">
        <v>9.472251231E9</v>
      </c>
    </row>
    <row r="1008" ht="15.75" customHeight="1">
      <c r="A1008" s="2" t="s">
        <v>339</v>
      </c>
      <c r="B1008" s="2" t="s">
        <v>50</v>
      </c>
      <c r="C1008" s="2" t="s">
        <v>58</v>
      </c>
      <c r="D1008" s="2" t="s">
        <v>14</v>
      </c>
      <c r="E1008" s="2" t="s">
        <v>23</v>
      </c>
      <c r="F1008" s="2">
        <v>9.113401843E9</v>
      </c>
    </row>
    <row r="1009" ht="15.75" customHeight="1">
      <c r="A1009" s="2" t="s">
        <v>127</v>
      </c>
      <c r="B1009" s="2" t="s">
        <v>63</v>
      </c>
      <c r="C1009" s="2" t="s">
        <v>1369</v>
      </c>
      <c r="D1009" s="2" t="s">
        <v>14</v>
      </c>
      <c r="E1009" s="2" t="s">
        <v>23</v>
      </c>
      <c r="F1009" s="2">
        <v>9.304577547E9</v>
      </c>
    </row>
    <row r="1010" ht="15.75" customHeight="1">
      <c r="A1010" s="2" t="s">
        <v>1112</v>
      </c>
      <c r="B1010" s="2" t="s">
        <v>664</v>
      </c>
      <c r="C1010" s="2" t="s">
        <v>844</v>
      </c>
      <c r="D1010" s="2" t="s">
        <v>44</v>
      </c>
      <c r="E1010" s="2" t="s">
        <v>23</v>
      </c>
      <c r="F1010" s="2">
        <v>6.205311663E9</v>
      </c>
    </row>
    <row r="1011" ht="15.75" customHeight="1">
      <c r="A1011" s="2" t="s">
        <v>762</v>
      </c>
      <c r="B1011" s="2" t="s">
        <v>65</v>
      </c>
      <c r="C1011" s="2" t="s">
        <v>844</v>
      </c>
      <c r="D1011" s="2" t="s">
        <v>44</v>
      </c>
      <c r="E1011" s="2" t="s">
        <v>23</v>
      </c>
      <c r="F1011" s="2">
        <v>6.207993962E9</v>
      </c>
    </row>
    <row r="1012" ht="15.75" customHeight="1">
      <c r="A1012" s="2" t="s">
        <v>1370</v>
      </c>
      <c r="B1012" s="2" t="s">
        <v>1371</v>
      </c>
      <c r="C1012" s="2" t="s">
        <v>844</v>
      </c>
      <c r="D1012" s="2" t="s">
        <v>56</v>
      </c>
      <c r="E1012" s="2" t="s">
        <v>23</v>
      </c>
      <c r="F1012" s="2">
        <v>9.162374678E9</v>
      </c>
    </row>
    <row r="1013" ht="15.75" customHeight="1">
      <c r="A1013" s="2" t="s">
        <v>1372</v>
      </c>
      <c r="B1013" s="2" t="s">
        <v>88</v>
      </c>
      <c r="C1013" s="2" t="s">
        <v>844</v>
      </c>
      <c r="D1013" s="2" t="s">
        <v>26</v>
      </c>
      <c r="E1013" s="2" t="s">
        <v>23</v>
      </c>
      <c r="F1013" s="2">
        <v>9.835875777E9</v>
      </c>
    </row>
    <row r="1014" ht="15.75" customHeight="1">
      <c r="A1014" s="2" t="s">
        <v>1373</v>
      </c>
      <c r="B1014" s="2" t="s">
        <v>119</v>
      </c>
      <c r="C1014" s="2" t="s">
        <v>844</v>
      </c>
      <c r="D1014" s="2" t="s">
        <v>56</v>
      </c>
      <c r="E1014" s="2" t="s">
        <v>23</v>
      </c>
      <c r="F1014" s="2">
        <v>9.123102266E9</v>
      </c>
    </row>
    <row r="1015" ht="15.75" customHeight="1">
      <c r="A1015" s="2" t="s">
        <v>87</v>
      </c>
      <c r="B1015" s="2" t="s">
        <v>664</v>
      </c>
      <c r="C1015" s="2" t="s">
        <v>844</v>
      </c>
      <c r="D1015" s="2" t="s">
        <v>56</v>
      </c>
      <c r="E1015" s="2" t="s">
        <v>23</v>
      </c>
      <c r="F1015" s="2">
        <v>6.207093962E9</v>
      </c>
    </row>
    <row r="1016" ht="15.75" customHeight="1">
      <c r="A1016" s="2" t="s">
        <v>1374</v>
      </c>
      <c r="B1016" s="2" t="s">
        <v>21</v>
      </c>
      <c r="C1016" s="2" t="s">
        <v>128</v>
      </c>
      <c r="D1016" s="2" t="s">
        <v>44</v>
      </c>
      <c r="E1016" s="2" t="s">
        <v>19</v>
      </c>
      <c r="F1016" s="2">
        <v>9.570099699E9</v>
      </c>
    </row>
    <row r="1017" ht="15.75" customHeight="1">
      <c r="A1017" s="2" t="s">
        <v>572</v>
      </c>
      <c r="B1017" s="2" t="s">
        <v>1077</v>
      </c>
      <c r="C1017" s="2" t="s">
        <v>1375</v>
      </c>
      <c r="D1017" s="2" t="s">
        <v>26</v>
      </c>
      <c r="E1017" s="2" t="s">
        <v>19</v>
      </c>
      <c r="F1017" s="2">
        <v>9.031873247E9</v>
      </c>
    </row>
    <row r="1018" ht="15.75" customHeight="1">
      <c r="A1018" s="2" t="s">
        <v>122</v>
      </c>
      <c r="B1018" s="2" t="s">
        <v>594</v>
      </c>
      <c r="C1018" s="2" t="s">
        <v>1376</v>
      </c>
      <c r="D1018" s="2" t="s">
        <v>9</v>
      </c>
      <c r="E1018" s="2" t="s">
        <v>23</v>
      </c>
      <c r="F1018" s="2">
        <v>9.939697857E9</v>
      </c>
    </row>
    <row r="1019" ht="15.75" customHeight="1">
      <c r="A1019" s="2" t="s">
        <v>1377</v>
      </c>
      <c r="B1019" s="2" t="s">
        <v>1378</v>
      </c>
      <c r="C1019" s="2" t="s">
        <v>655</v>
      </c>
      <c r="D1019" s="2" t="s">
        <v>56</v>
      </c>
      <c r="E1019" s="2" t="s">
        <v>19</v>
      </c>
      <c r="F1019" s="2">
        <v>9.06070037E9</v>
      </c>
    </row>
    <row r="1020" ht="15.75" customHeight="1">
      <c r="A1020" s="2" t="s">
        <v>125</v>
      </c>
      <c r="B1020" s="2" t="s">
        <v>21</v>
      </c>
      <c r="C1020" s="2" t="s">
        <v>1379</v>
      </c>
      <c r="D1020" s="2" t="s">
        <v>26</v>
      </c>
      <c r="E1020" s="2" t="s">
        <v>23</v>
      </c>
      <c r="F1020" s="2">
        <v>8.877069103E9</v>
      </c>
    </row>
    <row r="1021" ht="15.75" customHeight="1">
      <c r="A1021" s="2" t="s">
        <v>1380</v>
      </c>
      <c r="B1021" s="2" t="s">
        <v>50</v>
      </c>
      <c r="C1021" s="2" t="s">
        <v>58</v>
      </c>
      <c r="D1021" s="2" t="s">
        <v>56</v>
      </c>
      <c r="E1021" s="2" t="s">
        <v>19</v>
      </c>
      <c r="F1021" s="2">
        <v>9.316905411E9</v>
      </c>
    </row>
    <row r="1022" ht="15.75" customHeight="1">
      <c r="A1022" s="2" t="s">
        <v>1221</v>
      </c>
      <c r="B1022" s="2" t="s">
        <v>1244</v>
      </c>
      <c r="C1022" s="2" t="s">
        <v>655</v>
      </c>
      <c r="D1022" s="2" t="s">
        <v>56</v>
      </c>
      <c r="E1022" s="2" t="s">
        <v>19</v>
      </c>
      <c r="F1022" s="2">
        <v>9.709268611E9</v>
      </c>
    </row>
    <row r="1023" ht="15.75" customHeight="1">
      <c r="A1023" s="2" t="s">
        <v>1381</v>
      </c>
      <c r="B1023" s="2" t="s">
        <v>119</v>
      </c>
      <c r="C1023" s="2" t="s">
        <v>1382</v>
      </c>
      <c r="D1023" s="2" t="s">
        <v>29</v>
      </c>
      <c r="E1023" s="2" t="s">
        <v>23</v>
      </c>
      <c r="F1023" s="2">
        <v>6.201679003E9</v>
      </c>
    </row>
    <row r="1024" ht="15.75" customHeight="1">
      <c r="A1024" s="2" t="s">
        <v>1227</v>
      </c>
      <c r="B1024" s="2" t="s">
        <v>522</v>
      </c>
      <c r="C1024" s="2" t="s">
        <v>171</v>
      </c>
      <c r="D1024" s="2" t="s">
        <v>26</v>
      </c>
      <c r="E1024" s="2" t="s">
        <v>23</v>
      </c>
      <c r="F1024" s="2">
        <v>9.835561447E9</v>
      </c>
    </row>
    <row r="1025" ht="15.75" customHeight="1">
      <c r="A1025" s="2" t="s">
        <v>1383</v>
      </c>
      <c r="B1025" s="2" t="s">
        <v>21</v>
      </c>
      <c r="C1025" s="2" t="s">
        <v>128</v>
      </c>
      <c r="D1025" s="2" t="s">
        <v>9</v>
      </c>
      <c r="E1025" s="2" t="s">
        <v>23</v>
      </c>
      <c r="F1025" s="2">
        <v>9.709196226E9</v>
      </c>
    </row>
    <row r="1026" ht="15.75" customHeight="1">
      <c r="A1026" s="2" t="s">
        <v>545</v>
      </c>
      <c r="B1026" s="2" t="s">
        <v>1384</v>
      </c>
      <c r="C1026" s="2" t="s">
        <v>171</v>
      </c>
      <c r="D1026" s="2" t="s">
        <v>29</v>
      </c>
      <c r="E1026" s="2" t="s">
        <v>19</v>
      </c>
      <c r="F1026" s="2">
        <v>9.939697857E9</v>
      </c>
    </row>
    <row r="1027" ht="15.75" customHeight="1">
      <c r="A1027" s="2" t="s">
        <v>1380</v>
      </c>
      <c r="B1027" s="2" t="s">
        <v>1383</v>
      </c>
      <c r="C1027" s="2" t="s">
        <v>1385</v>
      </c>
      <c r="D1027" s="2" t="s">
        <v>26</v>
      </c>
      <c r="E1027" s="2" t="s">
        <v>19</v>
      </c>
      <c r="F1027" s="2">
        <v>9.110109935E9</v>
      </c>
    </row>
    <row r="1028" ht="15.75" customHeight="1">
      <c r="A1028" s="2" t="s">
        <v>393</v>
      </c>
      <c r="B1028" s="2" t="s">
        <v>52</v>
      </c>
      <c r="C1028" s="2" t="s">
        <v>1379</v>
      </c>
      <c r="D1028" s="2" t="s">
        <v>26</v>
      </c>
      <c r="E1028" s="2" t="s">
        <v>23</v>
      </c>
      <c r="F1028" s="2">
        <v>8.434444929E9</v>
      </c>
    </row>
    <row r="1029" ht="15.75" customHeight="1">
      <c r="A1029" s="2" t="s">
        <v>1386</v>
      </c>
      <c r="B1029" s="2" t="s">
        <v>21</v>
      </c>
      <c r="C1029" s="2" t="s">
        <v>128</v>
      </c>
      <c r="D1029" s="2" t="s">
        <v>44</v>
      </c>
      <c r="E1029" s="2" t="s">
        <v>19</v>
      </c>
      <c r="F1029" s="2">
        <v>8.093241518E9</v>
      </c>
    </row>
    <row r="1030" ht="15.75" customHeight="1">
      <c r="A1030" s="2" t="s">
        <v>1387</v>
      </c>
      <c r="B1030" s="2" t="s">
        <v>63</v>
      </c>
      <c r="C1030" s="2" t="s">
        <v>844</v>
      </c>
      <c r="D1030" s="2" t="s">
        <v>26</v>
      </c>
      <c r="E1030" s="2" t="s">
        <v>23</v>
      </c>
      <c r="F1030" s="2">
        <v>9.771092398E9</v>
      </c>
    </row>
    <row r="1031" ht="15.75" customHeight="1">
      <c r="A1031" s="2" t="s">
        <v>1388</v>
      </c>
      <c r="B1031" s="2" t="s">
        <v>88</v>
      </c>
      <c r="C1031" s="2" t="s">
        <v>230</v>
      </c>
      <c r="D1031" s="2" t="s">
        <v>26</v>
      </c>
      <c r="E1031" s="2" t="s">
        <v>19</v>
      </c>
      <c r="F1031" s="2">
        <v>9.973808006E9</v>
      </c>
    </row>
    <row r="1032" ht="15.75" customHeight="1">
      <c r="A1032" s="2" t="s">
        <v>1380</v>
      </c>
      <c r="B1032" s="2" t="s">
        <v>1380</v>
      </c>
      <c r="C1032" s="2" t="s">
        <v>455</v>
      </c>
      <c r="D1032" s="2" t="s">
        <v>26</v>
      </c>
      <c r="E1032" s="2" t="s">
        <v>19</v>
      </c>
      <c r="F1032" s="2">
        <v>9.90531638E9</v>
      </c>
    </row>
    <row r="1033" ht="15.75" customHeight="1">
      <c r="A1033" s="2" t="s">
        <v>1389</v>
      </c>
      <c r="B1033" s="2" t="s">
        <v>21</v>
      </c>
      <c r="C1033" s="2" t="s">
        <v>128</v>
      </c>
      <c r="D1033" s="2" t="s">
        <v>56</v>
      </c>
      <c r="E1033" s="2" t="s">
        <v>23</v>
      </c>
      <c r="F1033" s="2">
        <v>9.771142182E9</v>
      </c>
    </row>
    <row r="1034" ht="15.75" customHeight="1">
      <c r="A1034" s="2" t="s">
        <v>1390</v>
      </c>
      <c r="B1034" s="2" t="s">
        <v>212</v>
      </c>
      <c r="C1034" s="2" t="s">
        <v>560</v>
      </c>
      <c r="D1034" s="2" t="s">
        <v>29</v>
      </c>
      <c r="E1034" s="2" t="s">
        <v>23</v>
      </c>
      <c r="F1034" s="2">
        <v>8.340435318E9</v>
      </c>
    </row>
    <row r="1035" ht="15.75" customHeight="1">
      <c r="A1035" s="2" t="s">
        <v>1391</v>
      </c>
      <c r="B1035" s="2" t="s">
        <v>21</v>
      </c>
      <c r="C1035" s="2" t="s">
        <v>1379</v>
      </c>
      <c r="D1035" s="2" t="s">
        <v>44</v>
      </c>
      <c r="E1035" s="2" t="s">
        <v>19</v>
      </c>
      <c r="F1035" s="2">
        <v>6.287637063E9</v>
      </c>
    </row>
    <row r="1036" ht="15.75" customHeight="1">
      <c r="A1036" s="2" t="s">
        <v>1392</v>
      </c>
      <c r="B1036" s="2" t="s">
        <v>862</v>
      </c>
      <c r="C1036" s="2" t="s">
        <v>729</v>
      </c>
      <c r="D1036" s="2" t="s">
        <v>9</v>
      </c>
      <c r="E1036" s="2" t="s">
        <v>23</v>
      </c>
      <c r="F1036" s="2">
        <v>9.006772202E9</v>
      </c>
    </row>
    <row r="1037" ht="15.75" customHeight="1">
      <c r="A1037" s="2" t="s">
        <v>1393</v>
      </c>
      <c r="B1037" s="2" t="s">
        <v>606</v>
      </c>
      <c r="C1037" s="2" t="s">
        <v>1036</v>
      </c>
      <c r="D1037" s="2" t="s">
        <v>56</v>
      </c>
      <c r="E1037" s="2" t="s">
        <v>19</v>
      </c>
      <c r="F1037" s="2">
        <v>8.102173025E9</v>
      </c>
    </row>
    <row r="1038" ht="15.75" customHeight="1">
      <c r="A1038" s="2" t="s">
        <v>87</v>
      </c>
      <c r="B1038" s="2" t="s">
        <v>88</v>
      </c>
      <c r="C1038" s="2" t="s">
        <v>844</v>
      </c>
      <c r="D1038" s="2" t="s">
        <v>44</v>
      </c>
      <c r="E1038" s="2" t="s">
        <v>23</v>
      </c>
      <c r="F1038" s="2">
        <v>8.210781794E9</v>
      </c>
    </row>
    <row r="1039" ht="15.75" customHeight="1">
      <c r="A1039" s="2" t="s">
        <v>707</v>
      </c>
      <c r="B1039" s="2" t="s">
        <v>170</v>
      </c>
      <c r="C1039" s="2" t="s">
        <v>500</v>
      </c>
      <c r="D1039" s="2" t="s">
        <v>44</v>
      </c>
      <c r="E1039" s="2" t="s">
        <v>19</v>
      </c>
      <c r="F1039" s="2">
        <v>7.549070348E9</v>
      </c>
    </row>
    <row r="1040" ht="15.75" customHeight="1">
      <c r="A1040" s="2" t="s">
        <v>120</v>
      </c>
      <c r="B1040" s="2" t="s">
        <v>21</v>
      </c>
      <c r="C1040" s="2" t="s">
        <v>128</v>
      </c>
      <c r="D1040" s="2" t="s">
        <v>9</v>
      </c>
      <c r="E1040" s="2" t="s">
        <v>19</v>
      </c>
      <c r="F1040" s="2">
        <v>9.437983867E9</v>
      </c>
    </row>
    <row r="1041" ht="15.75" customHeight="1">
      <c r="A1041" s="2" t="s">
        <v>1394</v>
      </c>
      <c r="B1041" s="2" t="s">
        <v>139</v>
      </c>
      <c r="C1041" s="2" t="s">
        <v>655</v>
      </c>
      <c r="D1041" s="2" t="s">
        <v>29</v>
      </c>
      <c r="E1041" s="2" t="s">
        <v>23</v>
      </c>
      <c r="F1041" s="2">
        <v>7.974682368E9</v>
      </c>
    </row>
    <row r="1042" ht="15.75" customHeight="1">
      <c r="A1042" s="2" t="s">
        <v>1395</v>
      </c>
      <c r="B1042" s="2" t="s">
        <v>1395</v>
      </c>
      <c r="C1042" s="2" t="s">
        <v>1396</v>
      </c>
      <c r="D1042" s="2" t="s">
        <v>9</v>
      </c>
      <c r="E1042" s="2" t="s">
        <v>19</v>
      </c>
      <c r="F1042" s="2">
        <v>8.936803595E9</v>
      </c>
    </row>
    <row r="1043" ht="15.75" customHeight="1">
      <c r="A1043" s="2" t="s">
        <v>123</v>
      </c>
      <c r="B1043" s="2" t="s">
        <v>50</v>
      </c>
      <c r="C1043" s="2" t="s">
        <v>1382</v>
      </c>
      <c r="D1043" s="2" t="s">
        <v>29</v>
      </c>
      <c r="E1043" s="2" t="s">
        <v>19</v>
      </c>
      <c r="F1043" s="2">
        <v>6.201679003E9</v>
      </c>
    </row>
    <row r="1044" ht="15.75" customHeight="1">
      <c r="A1044" s="2" t="s">
        <v>565</v>
      </c>
      <c r="B1044" s="2" t="s">
        <v>1397</v>
      </c>
      <c r="C1044" s="2" t="s">
        <v>1398</v>
      </c>
      <c r="D1044" s="2" t="s">
        <v>56</v>
      </c>
      <c r="E1044" s="2" t="s">
        <v>23</v>
      </c>
      <c r="F1044" s="2">
        <v>9.905404804E9</v>
      </c>
    </row>
    <row r="1045" ht="15.75" customHeight="1">
      <c r="A1045" s="2" t="s">
        <v>1399</v>
      </c>
      <c r="B1045" s="2" t="s">
        <v>257</v>
      </c>
      <c r="C1045" s="2" t="s">
        <v>1400</v>
      </c>
      <c r="D1045" s="2" t="s">
        <v>26</v>
      </c>
      <c r="E1045" s="2" t="s">
        <v>23</v>
      </c>
      <c r="F1045" s="2">
        <v>7.295903698E9</v>
      </c>
    </row>
    <row r="1046" ht="15.75" customHeight="1">
      <c r="A1046" s="2" t="s">
        <v>1401</v>
      </c>
      <c r="B1046" s="2" t="s">
        <v>1384</v>
      </c>
      <c r="C1046" s="2" t="s">
        <v>741</v>
      </c>
      <c r="D1046" s="2" t="s">
        <v>44</v>
      </c>
      <c r="E1046" s="2" t="s">
        <v>23</v>
      </c>
      <c r="F1046" s="2">
        <v>9.006772202E9</v>
      </c>
    </row>
    <row r="1047" ht="15.75" customHeight="1">
      <c r="A1047" s="2" t="s">
        <v>1402</v>
      </c>
      <c r="B1047" s="2" t="s">
        <v>1403</v>
      </c>
      <c r="C1047" s="2" t="s">
        <v>305</v>
      </c>
      <c r="D1047" s="2" t="s">
        <v>29</v>
      </c>
      <c r="E1047" s="2" t="s">
        <v>19</v>
      </c>
      <c r="F1047" s="2">
        <v>7.879673889E9</v>
      </c>
    </row>
    <row r="1048" ht="15.75" customHeight="1">
      <c r="A1048" s="2" t="s">
        <v>1092</v>
      </c>
      <c r="B1048" s="2" t="s">
        <v>1404</v>
      </c>
      <c r="C1048" s="2" t="s">
        <v>1405</v>
      </c>
      <c r="D1048" s="2" t="s">
        <v>56</v>
      </c>
      <c r="E1048" s="2" t="s">
        <v>19</v>
      </c>
      <c r="F1048" s="2">
        <v>9.905101144E9</v>
      </c>
    </row>
    <row r="1049" ht="15.75" customHeight="1">
      <c r="A1049" s="2" t="s">
        <v>534</v>
      </c>
      <c r="B1049" s="2" t="s">
        <v>63</v>
      </c>
      <c r="C1049" s="2" t="s">
        <v>655</v>
      </c>
      <c r="D1049" s="2" t="s">
        <v>56</v>
      </c>
      <c r="E1049" s="2" t="s">
        <v>19</v>
      </c>
      <c r="F1049" s="2">
        <v>9.69300217E9</v>
      </c>
    </row>
    <row r="1050" ht="15.75" customHeight="1">
      <c r="A1050" s="2" t="s">
        <v>1406</v>
      </c>
      <c r="B1050" s="2" t="s">
        <v>507</v>
      </c>
      <c r="C1050" s="2" t="s">
        <v>844</v>
      </c>
      <c r="D1050" s="2" t="s">
        <v>56</v>
      </c>
      <c r="E1050" s="2" t="s">
        <v>23</v>
      </c>
      <c r="F1050" s="2">
        <v>8.149180049E9</v>
      </c>
    </row>
    <row r="1051" ht="15.75" customHeight="1">
      <c r="A1051" s="2" t="s">
        <v>1407</v>
      </c>
      <c r="B1051" s="2" t="s">
        <v>21</v>
      </c>
      <c r="C1051" s="2" t="s">
        <v>1408</v>
      </c>
      <c r="D1051" s="2" t="s">
        <v>26</v>
      </c>
      <c r="E1051" s="2" t="s">
        <v>23</v>
      </c>
      <c r="F1051" s="2">
        <v>9.83554828E9</v>
      </c>
    </row>
    <row r="1052" ht="15.75" customHeight="1">
      <c r="A1052" s="2" t="s">
        <v>1386</v>
      </c>
      <c r="B1052" s="2" t="s">
        <v>55</v>
      </c>
      <c r="C1052" s="2" t="s">
        <v>761</v>
      </c>
      <c r="D1052" s="2" t="s">
        <v>56</v>
      </c>
      <c r="E1052" s="2" t="s">
        <v>23</v>
      </c>
      <c r="F1052" s="2">
        <v>8.989673772E9</v>
      </c>
    </row>
    <row r="1053" ht="15.75" customHeight="1">
      <c r="A1053" s="2" t="s">
        <v>1409</v>
      </c>
      <c r="B1053" s="2" t="s">
        <v>654</v>
      </c>
      <c r="C1053" s="2" t="s">
        <v>230</v>
      </c>
      <c r="D1053" s="2" t="s">
        <v>29</v>
      </c>
      <c r="E1053" s="2" t="s">
        <v>19</v>
      </c>
      <c r="F1053" s="2">
        <v>9.471760436E9</v>
      </c>
    </row>
    <row r="1054" ht="15.75" customHeight="1">
      <c r="A1054" s="2" t="s">
        <v>534</v>
      </c>
      <c r="B1054" s="2" t="s">
        <v>50</v>
      </c>
      <c r="C1054" s="2" t="s">
        <v>423</v>
      </c>
      <c r="D1054" s="2" t="s">
        <v>26</v>
      </c>
      <c r="E1054" s="2" t="s">
        <v>19</v>
      </c>
      <c r="F1054" s="2">
        <v>7.462926226E9</v>
      </c>
    </row>
    <row r="1055" ht="15.75" customHeight="1">
      <c r="A1055" s="2" t="s">
        <v>124</v>
      </c>
      <c r="B1055" s="2" t="s">
        <v>50</v>
      </c>
      <c r="C1055" s="2" t="s">
        <v>844</v>
      </c>
      <c r="D1055" s="2" t="s">
        <v>56</v>
      </c>
      <c r="E1055" s="2" t="s">
        <v>23</v>
      </c>
      <c r="F1055" s="2">
        <v>9.798730291E9</v>
      </c>
    </row>
    <row r="1056" ht="15.75" customHeight="1">
      <c r="A1056" s="2" t="s">
        <v>1410</v>
      </c>
      <c r="B1056" s="2" t="s">
        <v>21</v>
      </c>
      <c r="C1056" s="2" t="s">
        <v>1408</v>
      </c>
      <c r="D1056" s="2" t="s">
        <v>26</v>
      </c>
      <c r="E1056" s="2" t="s">
        <v>23</v>
      </c>
      <c r="F1056" s="2">
        <v>9.57295503E9</v>
      </c>
    </row>
    <row r="1057" ht="15.75" customHeight="1">
      <c r="A1057" s="2" t="s">
        <v>1383</v>
      </c>
      <c r="B1057" s="2" t="s">
        <v>1411</v>
      </c>
      <c r="C1057" s="2" t="s">
        <v>289</v>
      </c>
      <c r="D1057" s="2" t="s">
        <v>44</v>
      </c>
      <c r="E1057" s="2" t="s">
        <v>19</v>
      </c>
      <c r="F1057" s="2">
        <v>7.903246078E9</v>
      </c>
    </row>
    <row r="1058" ht="15.75" customHeight="1">
      <c r="A1058" s="2" t="s">
        <v>534</v>
      </c>
      <c r="B1058" s="2" t="s">
        <v>50</v>
      </c>
      <c r="C1058" s="2" t="s">
        <v>655</v>
      </c>
      <c r="D1058" s="2" t="s">
        <v>56</v>
      </c>
      <c r="E1058" s="2" t="s">
        <v>19</v>
      </c>
      <c r="F1058" s="2">
        <v>9.835160478E9</v>
      </c>
    </row>
    <row r="1059" ht="15.75" customHeight="1">
      <c r="A1059" s="2" t="s">
        <v>1412</v>
      </c>
      <c r="B1059" s="2" t="s">
        <v>153</v>
      </c>
      <c r="C1059" s="2" t="s">
        <v>1310</v>
      </c>
      <c r="D1059" s="2" t="s">
        <v>56</v>
      </c>
      <c r="E1059" s="2" t="s">
        <v>19</v>
      </c>
      <c r="F1059" s="2">
        <v>9.4729328E9</v>
      </c>
    </row>
    <row r="1060" ht="15.75" customHeight="1">
      <c r="A1060" s="2" t="s">
        <v>1413</v>
      </c>
      <c r="B1060" s="2" t="s">
        <v>88</v>
      </c>
      <c r="C1060" s="2" t="s">
        <v>1414</v>
      </c>
      <c r="D1060" s="2" t="s">
        <v>26</v>
      </c>
      <c r="E1060" s="2" t="s">
        <v>23</v>
      </c>
      <c r="F1060" s="2">
        <v>7.919923403E9</v>
      </c>
    </row>
    <row r="1061" ht="15.75" customHeight="1">
      <c r="A1061" s="2" t="s">
        <v>429</v>
      </c>
      <c r="B1061" s="2" t="s">
        <v>65</v>
      </c>
      <c r="C1061" s="2" t="s">
        <v>171</v>
      </c>
      <c r="D1061" s="2" t="s">
        <v>26</v>
      </c>
      <c r="E1061" s="2" t="s">
        <v>19</v>
      </c>
      <c r="F1061" s="2">
        <v>8.092870623E9</v>
      </c>
    </row>
    <row r="1062" ht="15.75" customHeight="1">
      <c r="A1062" s="2" t="s">
        <v>186</v>
      </c>
      <c r="B1062" s="2" t="s">
        <v>1415</v>
      </c>
      <c r="C1062" s="2" t="s">
        <v>1416</v>
      </c>
      <c r="D1062" s="2" t="s">
        <v>26</v>
      </c>
      <c r="E1062" s="2" t="s">
        <v>23</v>
      </c>
      <c r="F1062" s="2">
        <v>7.677982266E9</v>
      </c>
    </row>
    <row r="1063" ht="15.75" customHeight="1">
      <c r="A1063" s="2" t="s">
        <v>1417</v>
      </c>
      <c r="B1063" s="2" t="s">
        <v>1418</v>
      </c>
      <c r="C1063" s="2" t="s">
        <v>763</v>
      </c>
      <c r="D1063" s="2" t="s">
        <v>26</v>
      </c>
      <c r="E1063" s="2" t="s">
        <v>23</v>
      </c>
      <c r="F1063" s="2">
        <v>8.989145363E9</v>
      </c>
    </row>
    <row r="1064" ht="15.75" customHeight="1">
      <c r="A1064" s="2" t="s">
        <v>89</v>
      </c>
      <c r="B1064" s="2" t="s">
        <v>88</v>
      </c>
      <c r="C1064" s="2" t="s">
        <v>1408</v>
      </c>
      <c r="D1064" s="2" t="s">
        <v>44</v>
      </c>
      <c r="E1064" s="2" t="s">
        <v>23</v>
      </c>
      <c r="F1064" s="2">
        <v>9.79888924E9</v>
      </c>
    </row>
    <row r="1065" ht="15.75" customHeight="1">
      <c r="A1065" s="2" t="s">
        <v>1419</v>
      </c>
      <c r="B1065" s="2" t="s">
        <v>63</v>
      </c>
      <c r="C1065" s="2" t="s">
        <v>1420</v>
      </c>
      <c r="D1065" s="2" t="s">
        <v>44</v>
      </c>
      <c r="E1065" s="2" t="s">
        <v>19</v>
      </c>
      <c r="F1065" s="2">
        <v>9.16205596E9</v>
      </c>
    </row>
    <row r="1066" ht="15.75" customHeight="1">
      <c r="A1066" s="2" t="s">
        <v>1421</v>
      </c>
      <c r="B1066" s="2" t="s">
        <v>52</v>
      </c>
      <c r="C1066" s="2" t="s">
        <v>729</v>
      </c>
      <c r="D1066" s="2" t="s">
        <v>56</v>
      </c>
      <c r="E1066" s="2" t="s">
        <v>19</v>
      </c>
      <c r="F1066" s="2">
        <v>9.006772202E9</v>
      </c>
    </row>
    <row r="1067" ht="15.75" customHeight="1">
      <c r="A1067" s="2" t="s">
        <v>456</v>
      </c>
      <c r="B1067" s="2" t="s">
        <v>401</v>
      </c>
      <c r="C1067" s="2" t="s">
        <v>1004</v>
      </c>
      <c r="D1067" s="2" t="s">
        <v>56</v>
      </c>
      <c r="E1067" s="2" t="s">
        <v>19</v>
      </c>
      <c r="F1067" s="2">
        <v>7.004142488E9</v>
      </c>
    </row>
    <row r="1068" ht="15.75" customHeight="1">
      <c r="A1068" s="2" t="s">
        <v>1422</v>
      </c>
      <c r="B1068" s="2" t="s">
        <v>21</v>
      </c>
      <c r="C1068" s="2" t="s">
        <v>1408</v>
      </c>
      <c r="D1068" s="2" t="s">
        <v>102</v>
      </c>
      <c r="E1068" s="2" t="s">
        <v>23</v>
      </c>
      <c r="F1068" s="2">
        <v>8.092873885E9</v>
      </c>
    </row>
    <row r="1069" ht="15.75" customHeight="1">
      <c r="A1069" s="2" t="s">
        <v>1419</v>
      </c>
      <c r="B1069" s="2" t="s">
        <v>344</v>
      </c>
      <c r="C1069" s="2" t="s">
        <v>133</v>
      </c>
      <c r="D1069" s="2" t="s">
        <v>44</v>
      </c>
      <c r="E1069" s="2" t="s">
        <v>19</v>
      </c>
      <c r="F1069" s="2">
        <v>7.507988001E9</v>
      </c>
    </row>
    <row r="1070" ht="15.75" customHeight="1">
      <c r="A1070" s="2" t="s">
        <v>762</v>
      </c>
      <c r="B1070" s="2" t="s">
        <v>50</v>
      </c>
      <c r="C1070" s="2" t="s">
        <v>34</v>
      </c>
      <c r="D1070" s="2" t="s">
        <v>44</v>
      </c>
      <c r="E1070" s="2" t="s">
        <v>23</v>
      </c>
      <c r="F1070" s="2">
        <v>9.570011412E9</v>
      </c>
    </row>
    <row r="1071" ht="15.75" customHeight="1">
      <c r="A1071" s="2" t="s">
        <v>1423</v>
      </c>
      <c r="B1071" s="2" t="s">
        <v>52</v>
      </c>
      <c r="C1071" s="2" t="s">
        <v>230</v>
      </c>
      <c r="D1071" s="2" t="s">
        <v>26</v>
      </c>
      <c r="E1071" s="2" t="s">
        <v>19</v>
      </c>
      <c r="F1071" s="2">
        <v>9.470517952E9</v>
      </c>
    </row>
    <row r="1072" ht="15.75" customHeight="1">
      <c r="A1072" s="2" t="s">
        <v>1424</v>
      </c>
      <c r="B1072" s="2" t="s">
        <v>1425</v>
      </c>
      <c r="C1072" s="2" t="s">
        <v>128</v>
      </c>
      <c r="D1072" s="2" t="s">
        <v>56</v>
      </c>
      <c r="E1072" s="2" t="s">
        <v>23</v>
      </c>
      <c r="F1072" s="2">
        <v>7.633823436E9</v>
      </c>
    </row>
    <row r="1073" ht="15.75" customHeight="1">
      <c r="A1073" s="2" t="s">
        <v>1426</v>
      </c>
      <c r="B1073" s="2" t="s">
        <v>1427</v>
      </c>
      <c r="C1073" s="2" t="s">
        <v>305</v>
      </c>
      <c r="D1073" s="2" t="s">
        <v>9</v>
      </c>
      <c r="E1073" s="2" t="s">
        <v>23</v>
      </c>
      <c r="F1073" s="2">
        <v>9.709179991E9</v>
      </c>
    </row>
    <row r="1074" ht="15.75" customHeight="1">
      <c r="A1074" s="2" t="s">
        <v>1428</v>
      </c>
      <c r="B1074" s="2" t="s">
        <v>119</v>
      </c>
      <c r="C1074" s="2" t="s">
        <v>1375</v>
      </c>
      <c r="D1074" s="2" t="s">
        <v>44</v>
      </c>
      <c r="E1074" s="2" t="s">
        <v>19</v>
      </c>
      <c r="F1074" s="2">
        <v>9.955777869E9</v>
      </c>
    </row>
    <row r="1075" ht="15.75" customHeight="1">
      <c r="A1075" s="2" t="s">
        <v>1419</v>
      </c>
      <c r="B1075" s="2" t="s">
        <v>125</v>
      </c>
      <c r="C1075" s="2" t="s">
        <v>655</v>
      </c>
      <c r="D1075" s="2" t="s">
        <v>56</v>
      </c>
      <c r="E1075" s="2" t="s">
        <v>19</v>
      </c>
      <c r="F1075" s="2">
        <v>8.401199855E9</v>
      </c>
    </row>
    <row r="1076" ht="15.75" customHeight="1">
      <c r="A1076" s="2" t="s">
        <v>186</v>
      </c>
      <c r="B1076" s="2" t="s">
        <v>63</v>
      </c>
      <c r="C1076" s="2" t="s">
        <v>171</v>
      </c>
      <c r="D1076" s="2" t="s">
        <v>56</v>
      </c>
      <c r="E1076" s="2" t="s">
        <v>23</v>
      </c>
      <c r="F1076" s="2">
        <v>9.608757978E9</v>
      </c>
    </row>
    <row r="1077" ht="15.75" customHeight="1">
      <c r="A1077" s="2" t="s">
        <v>1429</v>
      </c>
      <c r="B1077" s="2" t="s">
        <v>119</v>
      </c>
      <c r="C1077" s="2" t="s">
        <v>1186</v>
      </c>
      <c r="D1077" s="2" t="s">
        <v>26</v>
      </c>
      <c r="E1077" s="2" t="s">
        <v>23</v>
      </c>
      <c r="F1077" s="2">
        <v>9.533567823E9</v>
      </c>
    </row>
    <row r="1078" ht="15.75" customHeight="1">
      <c r="A1078" s="2" t="s">
        <v>1430</v>
      </c>
      <c r="B1078" s="2" t="s">
        <v>75</v>
      </c>
      <c r="C1078" s="2" t="s">
        <v>560</v>
      </c>
      <c r="D1078" s="2" t="s">
        <v>44</v>
      </c>
      <c r="E1078" s="2" t="s">
        <v>19</v>
      </c>
      <c r="F1078" s="2">
        <v>9.006040014E9</v>
      </c>
    </row>
    <row r="1079" ht="15.75" customHeight="1">
      <c r="A1079" s="2" t="s">
        <v>545</v>
      </c>
      <c r="B1079" s="2" t="s">
        <v>1431</v>
      </c>
      <c r="C1079" s="2" t="s">
        <v>1432</v>
      </c>
      <c r="D1079" s="2" t="s">
        <v>56</v>
      </c>
      <c r="E1079" s="2" t="s">
        <v>19</v>
      </c>
      <c r="F1079" s="2">
        <v>9.470334011E9</v>
      </c>
    </row>
    <row r="1080" ht="15.75" customHeight="1">
      <c r="A1080" s="2" t="s">
        <v>1419</v>
      </c>
      <c r="B1080" s="2" t="s">
        <v>50</v>
      </c>
      <c r="C1080" s="2" t="s">
        <v>655</v>
      </c>
      <c r="D1080" s="2" t="s">
        <v>29</v>
      </c>
      <c r="E1080" s="2" t="s">
        <v>19</v>
      </c>
      <c r="F1080" s="2">
        <v>8.877014574E9</v>
      </c>
    </row>
    <row r="1081" ht="15.75" customHeight="1">
      <c r="A1081" s="2" t="s">
        <v>1433</v>
      </c>
      <c r="B1081" s="2" t="s">
        <v>276</v>
      </c>
      <c r="C1081" s="2" t="s">
        <v>984</v>
      </c>
      <c r="D1081" s="2" t="s">
        <v>26</v>
      </c>
      <c r="E1081" s="2" t="s">
        <v>23</v>
      </c>
      <c r="F1081" s="2">
        <v>8.986884426E9</v>
      </c>
    </row>
    <row r="1082" ht="15.75" customHeight="1">
      <c r="A1082" s="2" t="s">
        <v>1434</v>
      </c>
      <c r="B1082" s="2" t="s">
        <v>55</v>
      </c>
      <c r="C1082" s="2" t="s">
        <v>34</v>
      </c>
      <c r="D1082" s="2" t="s">
        <v>44</v>
      </c>
      <c r="E1082" s="2" t="s">
        <v>23</v>
      </c>
      <c r="F1082" s="2">
        <v>9.831643007E9</v>
      </c>
    </row>
    <row r="1083" ht="15.75" customHeight="1">
      <c r="A1083" s="2" t="s">
        <v>1435</v>
      </c>
      <c r="B1083" s="2" t="s">
        <v>1436</v>
      </c>
      <c r="C1083" s="2" t="s">
        <v>1310</v>
      </c>
      <c r="D1083" s="2" t="s">
        <v>26</v>
      </c>
      <c r="E1083" s="2" t="s">
        <v>23</v>
      </c>
      <c r="F1083" s="2">
        <v>9.54600068E9</v>
      </c>
    </row>
    <row r="1084" ht="15.75" customHeight="1">
      <c r="A1084" s="2" t="s">
        <v>1437</v>
      </c>
      <c r="B1084" s="2" t="s">
        <v>212</v>
      </c>
      <c r="C1084" s="2" t="s">
        <v>1375</v>
      </c>
      <c r="D1084" s="2" t="s">
        <v>9</v>
      </c>
      <c r="E1084" s="2" t="s">
        <v>19</v>
      </c>
      <c r="F1084" s="2">
        <v>9.162936724E9</v>
      </c>
    </row>
    <row r="1085" ht="15.75" customHeight="1">
      <c r="A1085" s="2" t="s">
        <v>1438</v>
      </c>
      <c r="B1085" s="2" t="s">
        <v>88</v>
      </c>
      <c r="C1085" s="2" t="s">
        <v>305</v>
      </c>
      <c r="D1085" s="2" t="s">
        <v>26</v>
      </c>
      <c r="E1085" s="2" t="s">
        <v>19</v>
      </c>
      <c r="F1085" s="2">
        <v>7.000049544E9</v>
      </c>
    </row>
    <row r="1086" ht="15.75" customHeight="1">
      <c r="A1086" s="2" t="s">
        <v>1419</v>
      </c>
      <c r="B1086" s="2" t="s">
        <v>50</v>
      </c>
      <c r="C1086" s="2" t="s">
        <v>690</v>
      </c>
      <c r="D1086" s="2" t="s">
        <v>9</v>
      </c>
      <c r="E1086" s="2" t="s">
        <v>19</v>
      </c>
      <c r="F1086" s="2">
        <v>9.232156081E9</v>
      </c>
    </row>
    <row r="1087" ht="15.75" customHeight="1">
      <c r="A1087" s="2" t="s">
        <v>1439</v>
      </c>
      <c r="B1087" s="2" t="s">
        <v>203</v>
      </c>
      <c r="C1087" s="2" t="s">
        <v>61</v>
      </c>
      <c r="D1087" s="2" t="s">
        <v>26</v>
      </c>
      <c r="E1087" s="2" t="s">
        <v>23</v>
      </c>
      <c r="F1087" s="2">
        <v>8.084554012E9</v>
      </c>
    </row>
    <row r="1088" ht="15.75" customHeight="1">
      <c r="A1088" s="2" t="s">
        <v>123</v>
      </c>
      <c r="B1088" s="2" t="s">
        <v>797</v>
      </c>
      <c r="C1088" s="2" t="s">
        <v>58</v>
      </c>
      <c r="D1088" s="2" t="s">
        <v>26</v>
      </c>
      <c r="E1088" s="2" t="s">
        <v>23</v>
      </c>
      <c r="F1088" s="2">
        <v>9.570002077E9</v>
      </c>
    </row>
    <row r="1089" ht="15.75" customHeight="1">
      <c r="A1089" s="2" t="s">
        <v>122</v>
      </c>
      <c r="B1089" s="2" t="s">
        <v>55</v>
      </c>
      <c r="C1089" s="2" t="s">
        <v>1379</v>
      </c>
      <c r="D1089" s="2" t="s">
        <v>56</v>
      </c>
      <c r="E1089" s="2" t="s">
        <v>19</v>
      </c>
      <c r="F1089" s="2">
        <v>9.80159795E9</v>
      </c>
    </row>
    <row r="1090" ht="15.75" customHeight="1">
      <c r="A1090" s="2" t="s">
        <v>1440</v>
      </c>
      <c r="B1090" s="2" t="s">
        <v>119</v>
      </c>
      <c r="C1090" s="2" t="s">
        <v>676</v>
      </c>
      <c r="D1090" s="2" t="s">
        <v>44</v>
      </c>
      <c r="E1090" s="2" t="s">
        <v>19</v>
      </c>
      <c r="F1090" s="2">
        <v>9.204028768E9</v>
      </c>
    </row>
    <row r="1091" ht="15.75" customHeight="1">
      <c r="A1091" s="2" t="s">
        <v>1441</v>
      </c>
      <c r="B1091" s="2" t="s">
        <v>55</v>
      </c>
      <c r="C1091" s="2" t="s">
        <v>1376</v>
      </c>
      <c r="D1091" s="2" t="s">
        <v>9</v>
      </c>
      <c r="E1091" s="2" t="s">
        <v>23</v>
      </c>
      <c r="F1091" s="2">
        <v>8.709003252E9</v>
      </c>
    </row>
    <row r="1092" ht="15.75" customHeight="1">
      <c r="A1092" s="2" t="s">
        <v>1442</v>
      </c>
      <c r="B1092" s="2" t="s">
        <v>212</v>
      </c>
      <c r="C1092" s="2" t="s">
        <v>1443</v>
      </c>
      <c r="D1092" s="2" t="s">
        <v>26</v>
      </c>
      <c r="E1092" s="2" t="s">
        <v>19</v>
      </c>
      <c r="F1092" s="2">
        <v>8.709329296E9</v>
      </c>
    </row>
    <row r="1093" ht="15.75" customHeight="1">
      <c r="A1093" s="2" t="s">
        <v>1444</v>
      </c>
      <c r="B1093" s="2" t="s">
        <v>65</v>
      </c>
      <c r="C1093" s="2" t="s">
        <v>162</v>
      </c>
      <c r="D1093" s="2" t="s">
        <v>56</v>
      </c>
      <c r="E1093" s="2" t="s">
        <v>23</v>
      </c>
      <c r="F1093" s="2">
        <v>7.004405498E9</v>
      </c>
    </row>
    <row r="1094" ht="15.75" customHeight="1">
      <c r="A1094" s="2" t="s">
        <v>1445</v>
      </c>
      <c r="B1094" s="2" t="s">
        <v>112</v>
      </c>
      <c r="C1094" s="2" t="s">
        <v>627</v>
      </c>
      <c r="D1094" s="2" t="s">
        <v>44</v>
      </c>
      <c r="E1094" s="2" t="s">
        <v>19</v>
      </c>
      <c r="F1094" s="2">
        <v>8.789604637E9</v>
      </c>
    </row>
    <row r="1095" ht="15.75" customHeight="1">
      <c r="A1095" s="2" t="s">
        <v>1446</v>
      </c>
      <c r="B1095" s="2" t="s">
        <v>225</v>
      </c>
      <c r="C1095" s="2" t="s">
        <v>428</v>
      </c>
      <c r="D1095" s="2" t="s">
        <v>26</v>
      </c>
      <c r="E1095" s="2" t="s">
        <v>19</v>
      </c>
      <c r="F1095" s="2">
        <v>7.765917917E9</v>
      </c>
    </row>
    <row r="1096" ht="15.75" customHeight="1">
      <c r="A1096" s="2" t="s">
        <v>125</v>
      </c>
      <c r="B1096" s="2" t="s">
        <v>534</v>
      </c>
      <c r="C1096" s="2" t="s">
        <v>729</v>
      </c>
      <c r="D1096" s="2" t="s">
        <v>26</v>
      </c>
      <c r="E1096" s="2" t="s">
        <v>23</v>
      </c>
      <c r="F1096" s="2">
        <v>9.334708411E9</v>
      </c>
    </row>
    <row r="1097" ht="15.75" customHeight="1">
      <c r="A1097" s="2" t="s">
        <v>1447</v>
      </c>
      <c r="B1097" s="2" t="s">
        <v>1448</v>
      </c>
      <c r="C1097" s="2" t="s">
        <v>1050</v>
      </c>
      <c r="D1097" s="2" t="s">
        <v>9</v>
      </c>
      <c r="E1097" s="2" t="s">
        <v>19</v>
      </c>
      <c r="F1097" s="2">
        <v>7.542535638E9</v>
      </c>
    </row>
    <row r="1098" ht="15.75" customHeight="1">
      <c r="A1098" s="2" t="s">
        <v>1449</v>
      </c>
      <c r="B1098" s="2" t="s">
        <v>63</v>
      </c>
      <c r="C1098" s="2" t="s">
        <v>655</v>
      </c>
      <c r="D1098" s="2" t="s">
        <v>44</v>
      </c>
      <c r="E1098" s="2" t="s">
        <v>19</v>
      </c>
      <c r="F1098" s="2">
        <v>6.205703132E9</v>
      </c>
    </row>
    <row r="1099" ht="15.75" customHeight="1">
      <c r="A1099" s="2" t="s">
        <v>1450</v>
      </c>
      <c r="B1099" s="2" t="s">
        <v>50</v>
      </c>
      <c r="C1099" s="2" t="s">
        <v>1408</v>
      </c>
      <c r="D1099" s="2" t="s">
        <v>26</v>
      </c>
      <c r="E1099" s="2" t="s">
        <v>23</v>
      </c>
      <c r="F1099" s="2">
        <v>8.709214651E9</v>
      </c>
    </row>
    <row r="1100" ht="15.75" customHeight="1">
      <c r="A1100" s="2" t="s">
        <v>264</v>
      </c>
      <c r="B1100" s="2" t="s">
        <v>145</v>
      </c>
      <c r="C1100" s="2" t="s">
        <v>1375</v>
      </c>
      <c r="D1100" s="2" t="s">
        <v>26</v>
      </c>
      <c r="E1100" s="2" t="s">
        <v>19</v>
      </c>
      <c r="F1100" s="2">
        <v>7.903911425E9</v>
      </c>
    </row>
    <row r="1101" ht="15.75" customHeight="1">
      <c r="A1101" s="2" t="s">
        <v>1451</v>
      </c>
      <c r="B1101" s="2" t="s">
        <v>1452</v>
      </c>
      <c r="C1101" s="2" t="s">
        <v>729</v>
      </c>
      <c r="D1101" s="2" t="s">
        <v>26</v>
      </c>
      <c r="E1101" s="2" t="s">
        <v>23</v>
      </c>
      <c r="F1101" s="2">
        <v>9.905575775E9</v>
      </c>
    </row>
    <row r="1102" ht="15.75" customHeight="1">
      <c r="A1102" s="2" t="s">
        <v>1453</v>
      </c>
      <c r="B1102" s="2" t="s">
        <v>50</v>
      </c>
      <c r="C1102" s="2" t="s">
        <v>761</v>
      </c>
      <c r="D1102" s="2" t="s">
        <v>44</v>
      </c>
      <c r="E1102" s="2" t="s">
        <v>19</v>
      </c>
      <c r="F1102" s="2">
        <v>8.809567016E9</v>
      </c>
    </row>
    <row r="1103" ht="15.75" customHeight="1">
      <c r="A1103" s="2" t="s">
        <v>1454</v>
      </c>
      <c r="B1103" s="2" t="s">
        <v>21</v>
      </c>
      <c r="C1103" s="2" t="s">
        <v>240</v>
      </c>
      <c r="D1103" s="2" t="s">
        <v>56</v>
      </c>
      <c r="E1103" s="2" t="s">
        <v>19</v>
      </c>
      <c r="F1103" s="2">
        <v>9.334776204E9</v>
      </c>
    </row>
    <row r="1104" ht="15.75" customHeight="1">
      <c r="A1104" s="2" t="s">
        <v>80</v>
      </c>
      <c r="B1104" s="2" t="s">
        <v>65</v>
      </c>
      <c r="C1104" s="2" t="s">
        <v>1408</v>
      </c>
      <c r="D1104" s="2" t="s">
        <v>56</v>
      </c>
      <c r="E1104" s="2" t="s">
        <v>23</v>
      </c>
      <c r="F1104" s="2">
        <v>9.50709175E9</v>
      </c>
    </row>
    <row r="1105" ht="15.75" customHeight="1">
      <c r="A1105" s="2" t="s">
        <v>1453</v>
      </c>
      <c r="B1105" s="2" t="s">
        <v>225</v>
      </c>
      <c r="C1105" s="2" t="s">
        <v>1455</v>
      </c>
      <c r="D1105" s="2" t="s">
        <v>44</v>
      </c>
      <c r="E1105" s="2" t="s">
        <v>19</v>
      </c>
      <c r="F1105" s="2">
        <v>9.470519051E9</v>
      </c>
    </row>
    <row r="1106" ht="15.75" customHeight="1">
      <c r="A1106" s="2" t="s">
        <v>748</v>
      </c>
      <c r="B1106" s="2" t="s">
        <v>1456</v>
      </c>
      <c r="C1106" s="2" t="s">
        <v>1023</v>
      </c>
      <c r="D1106" s="2" t="s">
        <v>26</v>
      </c>
      <c r="E1106" s="2" t="s">
        <v>19</v>
      </c>
      <c r="F1106" s="2">
        <v>9.304179672E9</v>
      </c>
    </row>
    <row r="1107" ht="15.75" customHeight="1">
      <c r="A1107" s="2" t="s">
        <v>1457</v>
      </c>
      <c r="B1107" s="2" t="s">
        <v>21</v>
      </c>
      <c r="C1107" s="2" t="s">
        <v>1458</v>
      </c>
      <c r="D1107" s="2" t="s">
        <v>26</v>
      </c>
      <c r="E1107" s="2" t="s">
        <v>23</v>
      </c>
      <c r="F1107" s="2">
        <v>8.496092845E9</v>
      </c>
    </row>
    <row r="1108" ht="15.75" customHeight="1">
      <c r="A1108" s="2" t="s">
        <v>244</v>
      </c>
      <c r="B1108" s="2" t="s">
        <v>21</v>
      </c>
      <c r="C1108" s="2" t="s">
        <v>1379</v>
      </c>
      <c r="D1108" s="2" t="s">
        <v>56</v>
      </c>
      <c r="E1108" s="2" t="s">
        <v>19</v>
      </c>
      <c r="F1108" s="2">
        <v>9.955015475E9</v>
      </c>
    </row>
    <row r="1109" ht="15.75" customHeight="1">
      <c r="A1109" s="2" t="s">
        <v>1459</v>
      </c>
      <c r="B1109" s="2" t="s">
        <v>401</v>
      </c>
      <c r="C1109" s="2" t="s">
        <v>1408</v>
      </c>
      <c r="D1109" s="2" t="s">
        <v>56</v>
      </c>
      <c r="E1109" s="2" t="s">
        <v>23</v>
      </c>
      <c r="F1109" s="2">
        <v>9.771695638E9</v>
      </c>
    </row>
    <row r="1110" ht="15.75" customHeight="1">
      <c r="A1110" s="2" t="s">
        <v>1460</v>
      </c>
      <c r="B1110" s="2" t="s">
        <v>63</v>
      </c>
      <c r="C1110" s="2" t="s">
        <v>1375</v>
      </c>
      <c r="D1110" s="2" t="s">
        <v>56</v>
      </c>
      <c r="E1110" s="2" t="s">
        <v>19</v>
      </c>
      <c r="F1110" s="2">
        <v>9.973515303E9</v>
      </c>
    </row>
    <row r="1111" ht="15.75" customHeight="1">
      <c r="A1111" s="2" t="s">
        <v>1461</v>
      </c>
      <c r="B1111" s="2" t="s">
        <v>52</v>
      </c>
      <c r="C1111" s="2" t="s">
        <v>200</v>
      </c>
      <c r="D1111" s="2" t="s">
        <v>56</v>
      </c>
      <c r="E1111" s="2" t="s">
        <v>23</v>
      </c>
      <c r="F1111" s="2">
        <v>9.608842227E9</v>
      </c>
    </row>
    <row r="1112" ht="15.75" customHeight="1">
      <c r="A1112" s="2" t="s">
        <v>1462</v>
      </c>
      <c r="B1112" s="2" t="s">
        <v>21</v>
      </c>
      <c r="C1112" s="2" t="s">
        <v>1458</v>
      </c>
      <c r="D1112" s="2" t="s">
        <v>9</v>
      </c>
      <c r="E1112" s="2" t="s">
        <v>19</v>
      </c>
      <c r="F1112" s="2">
        <v>7.240096985E9</v>
      </c>
    </row>
    <row r="1113" ht="15.75" customHeight="1">
      <c r="A1113" s="2" t="s">
        <v>1463</v>
      </c>
      <c r="B1113" s="2" t="s">
        <v>50</v>
      </c>
      <c r="C1113" s="2" t="s">
        <v>1408</v>
      </c>
      <c r="D1113" s="2" t="s">
        <v>44</v>
      </c>
      <c r="E1113" s="2" t="s">
        <v>23</v>
      </c>
      <c r="F1113" s="2">
        <v>7.050066077E9</v>
      </c>
    </row>
    <row r="1114" ht="15.75" customHeight="1">
      <c r="A1114" s="2" t="s">
        <v>413</v>
      </c>
      <c r="B1114" s="2" t="s">
        <v>1290</v>
      </c>
      <c r="C1114" s="2" t="s">
        <v>289</v>
      </c>
      <c r="D1114" s="2" t="s">
        <v>26</v>
      </c>
      <c r="E1114" s="2" t="s">
        <v>19</v>
      </c>
      <c r="F1114" s="2">
        <v>9.939134576E9</v>
      </c>
    </row>
    <row r="1115" ht="15.75" customHeight="1">
      <c r="A1115" s="2" t="s">
        <v>417</v>
      </c>
      <c r="B1115" s="2" t="s">
        <v>50</v>
      </c>
      <c r="C1115" s="2" t="s">
        <v>1408</v>
      </c>
      <c r="D1115" s="2" t="s">
        <v>26</v>
      </c>
      <c r="E1115" s="2" t="s">
        <v>23</v>
      </c>
      <c r="F1115" s="2">
        <v>8.252175748E9</v>
      </c>
    </row>
    <row r="1116" ht="15.75" customHeight="1">
      <c r="A1116" s="2" t="s">
        <v>1464</v>
      </c>
      <c r="B1116" s="2" t="s">
        <v>88</v>
      </c>
      <c r="C1116" s="2" t="s">
        <v>34</v>
      </c>
      <c r="D1116" s="2" t="s">
        <v>56</v>
      </c>
      <c r="E1116" s="2" t="s">
        <v>23</v>
      </c>
      <c r="F1116" s="2">
        <v>9.308551522E9</v>
      </c>
    </row>
    <row r="1117" ht="15.75" customHeight="1">
      <c r="A1117" s="2" t="s">
        <v>1465</v>
      </c>
      <c r="B1117" s="2" t="s">
        <v>312</v>
      </c>
      <c r="C1117" s="2" t="s">
        <v>1458</v>
      </c>
      <c r="D1117" s="2" t="s">
        <v>29</v>
      </c>
      <c r="E1117" s="2" t="s">
        <v>19</v>
      </c>
      <c r="F1117" s="2">
        <v>9.693886204E9</v>
      </c>
    </row>
    <row r="1118" ht="15.75" customHeight="1">
      <c r="A1118" s="2" t="s">
        <v>124</v>
      </c>
      <c r="B1118" s="2" t="s">
        <v>1466</v>
      </c>
      <c r="C1118" s="2" t="s">
        <v>1376</v>
      </c>
      <c r="D1118" s="2" t="s">
        <v>26</v>
      </c>
      <c r="E1118" s="2" t="s">
        <v>23</v>
      </c>
      <c r="F1118" s="2">
        <v>9.572132325E9</v>
      </c>
    </row>
    <row r="1119" ht="15.75" customHeight="1">
      <c r="A1119" s="2" t="s">
        <v>1290</v>
      </c>
      <c r="B1119" s="2" t="s">
        <v>879</v>
      </c>
      <c r="C1119" s="2" t="s">
        <v>1467</v>
      </c>
      <c r="D1119" s="2" t="s">
        <v>26</v>
      </c>
      <c r="E1119" s="2" t="s">
        <v>23</v>
      </c>
      <c r="F1119" s="2">
        <v>7.87045283E9</v>
      </c>
    </row>
    <row r="1120" ht="15.75" customHeight="1">
      <c r="A1120" s="2" t="s">
        <v>126</v>
      </c>
      <c r="B1120" s="2" t="s">
        <v>50</v>
      </c>
      <c r="C1120" s="2" t="s">
        <v>970</v>
      </c>
      <c r="D1120" s="2" t="s">
        <v>26</v>
      </c>
      <c r="E1120" s="2" t="s">
        <v>19</v>
      </c>
      <c r="F1120" s="2">
        <v>9.122157836E9</v>
      </c>
    </row>
    <row r="1121" ht="15.75" customHeight="1">
      <c r="A1121" s="2" t="s">
        <v>1092</v>
      </c>
      <c r="B1121" s="2" t="s">
        <v>1468</v>
      </c>
      <c r="C1121" s="2" t="s">
        <v>200</v>
      </c>
      <c r="D1121" s="2" t="s">
        <v>56</v>
      </c>
      <c r="E1121" s="2" t="s">
        <v>23</v>
      </c>
      <c r="F1121" s="2">
        <v>9.60843518E9</v>
      </c>
    </row>
    <row r="1122" ht="15.75" customHeight="1">
      <c r="A1122" s="2" t="s">
        <v>161</v>
      </c>
      <c r="B1122" s="2" t="s">
        <v>63</v>
      </c>
      <c r="C1122" s="2" t="s">
        <v>655</v>
      </c>
      <c r="D1122" s="2" t="s">
        <v>26</v>
      </c>
      <c r="E1122" s="2" t="s">
        <v>19</v>
      </c>
      <c r="F1122" s="2">
        <v>8.79756406E9</v>
      </c>
    </row>
    <row r="1123" ht="15.75" customHeight="1">
      <c r="A1123" s="2" t="s">
        <v>1469</v>
      </c>
      <c r="B1123" s="2" t="s">
        <v>50</v>
      </c>
      <c r="C1123" s="2" t="s">
        <v>1379</v>
      </c>
      <c r="D1123" s="2" t="s">
        <v>56</v>
      </c>
      <c r="E1123" s="2" t="s">
        <v>23</v>
      </c>
      <c r="F1123" s="2">
        <v>6.200692476E9</v>
      </c>
    </row>
    <row r="1124" ht="15.75" customHeight="1">
      <c r="A1124" s="2" t="s">
        <v>1470</v>
      </c>
      <c r="B1124" s="2" t="s">
        <v>47</v>
      </c>
      <c r="C1124" s="2" t="s">
        <v>34</v>
      </c>
      <c r="D1124" s="2" t="s">
        <v>44</v>
      </c>
      <c r="E1124" s="2" t="s">
        <v>23</v>
      </c>
      <c r="F1124" s="2">
        <v>7.858853048E9</v>
      </c>
    </row>
    <row r="1125" ht="15.75" customHeight="1">
      <c r="A1125" s="2" t="s">
        <v>429</v>
      </c>
      <c r="B1125" s="2" t="s">
        <v>125</v>
      </c>
      <c r="C1125" s="2" t="s">
        <v>230</v>
      </c>
      <c r="D1125" s="2" t="s">
        <v>56</v>
      </c>
      <c r="E1125" s="2" t="s">
        <v>19</v>
      </c>
      <c r="F1125" s="2">
        <v>7.991109876E9</v>
      </c>
    </row>
    <row r="1126" ht="15.75" customHeight="1">
      <c r="A1126" s="2" t="s">
        <v>1471</v>
      </c>
      <c r="B1126" s="2" t="s">
        <v>212</v>
      </c>
      <c r="C1126" s="2" t="s">
        <v>655</v>
      </c>
      <c r="D1126" s="2" t="s">
        <v>26</v>
      </c>
      <c r="E1126" s="2" t="s">
        <v>23</v>
      </c>
      <c r="F1126" s="2">
        <v>8.298133298E9</v>
      </c>
    </row>
    <row r="1127" ht="15.75" customHeight="1">
      <c r="A1127" s="2" t="s">
        <v>196</v>
      </c>
      <c r="B1127" s="2" t="s">
        <v>21</v>
      </c>
      <c r="C1127" s="2" t="s">
        <v>58</v>
      </c>
      <c r="D1127" s="2" t="s">
        <v>44</v>
      </c>
      <c r="E1127" s="2" t="s">
        <v>23</v>
      </c>
      <c r="F1127" s="2">
        <v>7.549098591E9</v>
      </c>
    </row>
    <row r="1128" ht="15.75" customHeight="1">
      <c r="A1128" s="2" t="s">
        <v>1092</v>
      </c>
      <c r="B1128" s="2" t="s">
        <v>1472</v>
      </c>
      <c r="C1128" s="2" t="s">
        <v>1473</v>
      </c>
      <c r="D1128" s="2" t="s">
        <v>56</v>
      </c>
      <c r="E1128" s="2" t="s">
        <v>19</v>
      </c>
      <c r="F1128" s="2">
        <v>8.969828299E9</v>
      </c>
    </row>
    <row r="1129" ht="15.75" customHeight="1">
      <c r="A1129" s="2" t="s">
        <v>1474</v>
      </c>
      <c r="B1129" s="2" t="s">
        <v>21</v>
      </c>
      <c r="C1129" s="2" t="s">
        <v>1408</v>
      </c>
      <c r="D1129" s="2" t="s">
        <v>56</v>
      </c>
      <c r="E1129" s="2" t="s">
        <v>23</v>
      </c>
      <c r="F1129" s="2">
        <v>9.031404528E9</v>
      </c>
    </row>
    <row r="1130" ht="15.75" customHeight="1">
      <c r="A1130" s="2" t="s">
        <v>1218</v>
      </c>
      <c r="B1130" s="2" t="s">
        <v>1475</v>
      </c>
      <c r="C1130" s="2" t="s">
        <v>1476</v>
      </c>
      <c r="D1130" s="2" t="s">
        <v>26</v>
      </c>
      <c r="E1130" s="2" t="s">
        <v>19</v>
      </c>
      <c r="F1130" s="2">
        <v>7.488354791E9</v>
      </c>
    </row>
    <row r="1131" ht="15.75" customHeight="1">
      <c r="A1131" s="2" t="s">
        <v>1477</v>
      </c>
      <c r="B1131" s="2" t="s">
        <v>401</v>
      </c>
      <c r="C1131" s="2" t="s">
        <v>34</v>
      </c>
      <c r="D1131" s="2" t="s">
        <v>44</v>
      </c>
      <c r="E1131" s="2" t="s">
        <v>23</v>
      </c>
      <c r="F1131" s="2">
        <v>7.561958877E9</v>
      </c>
    </row>
    <row r="1132" ht="15.75" customHeight="1">
      <c r="A1132" s="2" t="s">
        <v>1478</v>
      </c>
      <c r="B1132" s="2" t="s">
        <v>212</v>
      </c>
      <c r="C1132" s="2" t="s">
        <v>228</v>
      </c>
      <c r="D1132" s="2" t="s">
        <v>26</v>
      </c>
      <c r="E1132" s="2" t="s">
        <v>23</v>
      </c>
      <c r="F1132" s="2">
        <v>9.868495394E9</v>
      </c>
    </row>
    <row r="1133" ht="15.75" customHeight="1">
      <c r="A1133" s="2" t="s">
        <v>127</v>
      </c>
      <c r="B1133" s="2" t="s">
        <v>50</v>
      </c>
      <c r="C1133" s="2" t="s">
        <v>970</v>
      </c>
      <c r="D1133" s="2" t="s">
        <v>44</v>
      </c>
      <c r="E1133" s="2" t="s">
        <v>19</v>
      </c>
      <c r="F1133" s="2">
        <v>6.205573558E9</v>
      </c>
    </row>
    <row r="1134" ht="15.75" customHeight="1">
      <c r="A1134" s="2" t="s">
        <v>1479</v>
      </c>
      <c r="B1134" s="2" t="s">
        <v>88</v>
      </c>
      <c r="C1134" s="2" t="s">
        <v>58</v>
      </c>
      <c r="D1134" s="2" t="s">
        <v>14</v>
      </c>
      <c r="E1134" s="2" t="s">
        <v>23</v>
      </c>
      <c r="F1134" s="2">
        <v>9.931319837E9</v>
      </c>
    </row>
    <row r="1135" ht="15.75" customHeight="1">
      <c r="A1135" s="2" t="s">
        <v>1218</v>
      </c>
      <c r="B1135" s="2" t="s">
        <v>1480</v>
      </c>
      <c r="C1135" s="2" t="s">
        <v>741</v>
      </c>
      <c r="D1135" s="2" t="s">
        <v>56</v>
      </c>
      <c r="E1135" s="2" t="s">
        <v>23</v>
      </c>
      <c r="F1135" s="2">
        <v>8.292155135E9</v>
      </c>
    </row>
    <row r="1136" ht="15.75" customHeight="1">
      <c r="A1136" s="2" t="s">
        <v>1481</v>
      </c>
      <c r="B1136" s="2" t="s">
        <v>50</v>
      </c>
      <c r="C1136" s="2" t="s">
        <v>1375</v>
      </c>
      <c r="D1136" s="2" t="s">
        <v>44</v>
      </c>
      <c r="E1136" s="2" t="s">
        <v>19</v>
      </c>
      <c r="F1136" s="2">
        <v>8.210250316E9</v>
      </c>
    </row>
    <row r="1137" ht="15.75" customHeight="1">
      <c r="A1137" s="2" t="s">
        <v>422</v>
      </c>
      <c r="B1137" s="2" t="s">
        <v>1480</v>
      </c>
      <c r="C1137" s="2" t="s">
        <v>228</v>
      </c>
      <c r="D1137" s="2" t="s">
        <v>26</v>
      </c>
      <c r="E1137" s="2" t="s">
        <v>23</v>
      </c>
      <c r="F1137" s="2">
        <v>7.292869331E9</v>
      </c>
    </row>
    <row r="1138" ht="15.75" customHeight="1">
      <c r="A1138" s="2" t="s">
        <v>1482</v>
      </c>
      <c r="B1138" s="2" t="s">
        <v>50</v>
      </c>
      <c r="C1138" s="2" t="s">
        <v>58</v>
      </c>
      <c r="D1138" s="2" t="s">
        <v>14</v>
      </c>
      <c r="E1138" s="2" t="s">
        <v>23</v>
      </c>
      <c r="F1138" s="2">
        <v>7.903543218E9</v>
      </c>
    </row>
    <row r="1139" ht="15.75" customHeight="1">
      <c r="A1139" s="2" t="s">
        <v>1483</v>
      </c>
      <c r="B1139" s="2" t="s">
        <v>1484</v>
      </c>
      <c r="C1139" s="2" t="s">
        <v>171</v>
      </c>
      <c r="D1139" s="2" t="s">
        <v>26</v>
      </c>
      <c r="E1139" s="2" t="s">
        <v>19</v>
      </c>
      <c r="F1139" s="2">
        <v>9.123204088E9</v>
      </c>
    </row>
    <row r="1140" ht="15.75" customHeight="1">
      <c r="A1140" s="2" t="s">
        <v>1483</v>
      </c>
      <c r="B1140" s="2" t="s">
        <v>55</v>
      </c>
      <c r="C1140" s="2" t="s">
        <v>708</v>
      </c>
      <c r="D1140" s="2" t="s">
        <v>56</v>
      </c>
      <c r="E1140" s="2" t="s">
        <v>23</v>
      </c>
      <c r="F1140" s="2">
        <v>8.709345407E9</v>
      </c>
    </row>
    <row r="1141" ht="15.75" customHeight="1">
      <c r="A1141" s="2" t="s">
        <v>1474</v>
      </c>
      <c r="B1141" s="2" t="s">
        <v>21</v>
      </c>
      <c r="C1141" s="2" t="s">
        <v>34</v>
      </c>
      <c r="D1141" s="2" t="s">
        <v>14</v>
      </c>
      <c r="E1141" s="2" t="s">
        <v>23</v>
      </c>
      <c r="F1141" s="2">
        <v>6.205411574E9</v>
      </c>
    </row>
    <row r="1142" ht="15.75" customHeight="1">
      <c r="A1142" s="2" t="s">
        <v>406</v>
      </c>
      <c r="B1142" s="2" t="s">
        <v>1485</v>
      </c>
      <c r="C1142" s="2" t="s">
        <v>905</v>
      </c>
      <c r="D1142" s="2" t="s">
        <v>26</v>
      </c>
      <c r="E1142" s="2" t="s">
        <v>19</v>
      </c>
      <c r="F1142" s="2">
        <v>9.338462179E9</v>
      </c>
    </row>
    <row r="1143" ht="15.75" customHeight="1">
      <c r="A1143" s="2" t="s">
        <v>1486</v>
      </c>
      <c r="B1143" s="2" t="s">
        <v>88</v>
      </c>
      <c r="C1143" s="2" t="s">
        <v>1487</v>
      </c>
      <c r="D1143" s="2" t="s">
        <v>26</v>
      </c>
      <c r="E1143" s="2" t="s">
        <v>19</v>
      </c>
      <c r="F1143" s="2">
        <v>8.279592573E9</v>
      </c>
    </row>
    <row r="1144" ht="15.75" customHeight="1">
      <c r="A1144" s="2" t="s">
        <v>120</v>
      </c>
      <c r="B1144" s="2" t="s">
        <v>50</v>
      </c>
      <c r="C1144" s="2" t="s">
        <v>1408</v>
      </c>
      <c r="D1144" s="2" t="s">
        <v>14</v>
      </c>
      <c r="E1144" s="2" t="s">
        <v>23</v>
      </c>
      <c r="F1144" s="2">
        <v>9.199906061E9</v>
      </c>
    </row>
    <row r="1145" ht="15.75" customHeight="1">
      <c r="A1145" s="2" t="s">
        <v>1488</v>
      </c>
      <c r="B1145" s="2" t="s">
        <v>1489</v>
      </c>
      <c r="C1145" s="2" t="s">
        <v>228</v>
      </c>
      <c r="D1145" s="2" t="s">
        <v>44</v>
      </c>
      <c r="E1145" s="2" t="s">
        <v>19</v>
      </c>
      <c r="F1145" s="2">
        <v>8.294638689E9</v>
      </c>
    </row>
    <row r="1146" ht="15.75" customHeight="1">
      <c r="A1146" s="2" t="s">
        <v>1490</v>
      </c>
      <c r="B1146" s="2" t="s">
        <v>1491</v>
      </c>
      <c r="C1146" s="2" t="s">
        <v>162</v>
      </c>
      <c r="D1146" s="2" t="s">
        <v>56</v>
      </c>
      <c r="E1146" s="2" t="s">
        <v>23</v>
      </c>
      <c r="F1146" s="2">
        <v>9.031021342E9</v>
      </c>
    </row>
    <row r="1147" ht="15.75" customHeight="1">
      <c r="A1147" s="2" t="s">
        <v>1492</v>
      </c>
      <c r="B1147" s="2" t="s">
        <v>1493</v>
      </c>
      <c r="C1147" s="2" t="s">
        <v>277</v>
      </c>
      <c r="D1147" s="2" t="s">
        <v>56</v>
      </c>
      <c r="E1147" s="2" t="s">
        <v>23</v>
      </c>
      <c r="F1147" s="2">
        <v>9.074953837E9</v>
      </c>
    </row>
    <row r="1148" ht="15.75" customHeight="1">
      <c r="A1148" s="2" t="s">
        <v>871</v>
      </c>
      <c r="B1148" s="2" t="s">
        <v>1494</v>
      </c>
      <c r="C1148" s="2" t="s">
        <v>1039</v>
      </c>
      <c r="D1148" s="2" t="s">
        <v>26</v>
      </c>
      <c r="E1148" s="2" t="s">
        <v>19</v>
      </c>
      <c r="F1148" s="2">
        <v>9.334708411E9</v>
      </c>
    </row>
    <row r="1149" ht="15.75" customHeight="1">
      <c r="A1149" s="2" t="s">
        <v>1495</v>
      </c>
      <c r="B1149" s="2" t="s">
        <v>119</v>
      </c>
      <c r="C1149" s="2" t="s">
        <v>1496</v>
      </c>
      <c r="D1149" s="2" t="s">
        <v>26</v>
      </c>
      <c r="E1149" s="2" t="s">
        <v>23</v>
      </c>
      <c r="F1149" s="2">
        <v>7.677831933E9</v>
      </c>
    </row>
    <row r="1150" ht="15.75" customHeight="1">
      <c r="A1150" s="2" t="s">
        <v>456</v>
      </c>
      <c r="B1150" s="2" t="s">
        <v>55</v>
      </c>
      <c r="C1150" s="2" t="s">
        <v>1497</v>
      </c>
      <c r="D1150" s="2" t="s">
        <v>26</v>
      </c>
      <c r="E1150" s="2" t="s">
        <v>23</v>
      </c>
      <c r="F1150" s="2">
        <v>7.654496769E9</v>
      </c>
    </row>
    <row r="1151" ht="15.75" customHeight="1">
      <c r="A1151" s="2" t="s">
        <v>643</v>
      </c>
      <c r="B1151" s="2" t="s">
        <v>232</v>
      </c>
      <c r="C1151" s="2" t="s">
        <v>1498</v>
      </c>
      <c r="D1151" s="2" t="s">
        <v>14</v>
      </c>
      <c r="E1151" s="2" t="s">
        <v>19</v>
      </c>
      <c r="F1151" s="2">
        <v>7.260915995E9</v>
      </c>
    </row>
    <row r="1152" ht="15.75" customHeight="1">
      <c r="A1152" s="2" t="s">
        <v>406</v>
      </c>
      <c r="B1152" s="2" t="s">
        <v>75</v>
      </c>
      <c r="C1152" s="2" t="s">
        <v>655</v>
      </c>
      <c r="D1152" s="2" t="s">
        <v>56</v>
      </c>
      <c r="E1152" s="2" t="s">
        <v>19</v>
      </c>
      <c r="F1152" s="2">
        <v>8.757457288E9</v>
      </c>
    </row>
    <row r="1153" ht="15.75" customHeight="1">
      <c r="A1153" s="2" t="s">
        <v>1499</v>
      </c>
      <c r="B1153" s="2" t="s">
        <v>212</v>
      </c>
      <c r="C1153" s="2" t="s">
        <v>246</v>
      </c>
      <c r="D1153" s="2" t="s">
        <v>26</v>
      </c>
      <c r="E1153" s="2" t="s">
        <v>23</v>
      </c>
      <c r="F1153" s="2">
        <v>8.789358683E9</v>
      </c>
    </row>
    <row r="1154" ht="15.75" customHeight="1">
      <c r="A1154" s="2" t="s">
        <v>1500</v>
      </c>
      <c r="B1154" s="2" t="s">
        <v>503</v>
      </c>
      <c r="C1154" s="2" t="s">
        <v>72</v>
      </c>
      <c r="D1154" s="2" t="s">
        <v>26</v>
      </c>
      <c r="E1154" s="2" t="s">
        <v>23</v>
      </c>
      <c r="F1154" s="2">
        <v>6.394713181E9</v>
      </c>
    </row>
    <row r="1155" ht="15.75" customHeight="1">
      <c r="A1155" s="2" t="s">
        <v>491</v>
      </c>
      <c r="B1155" s="2" t="s">
        <v>344</v>
      </c>
      <c r="C1155" s="2" t="s">
        <v>729</v>
      </c>
      <c r="D1155" s="2" t="s">
        <v>9</v>
      </c>
      <c r="E1155" s="2" t="s">
        <v>19</v>
      </c>
      <c r="F1155" s="2">
        <v>8.292155135E9</v>
      </c>
    </row>
    <row r="1156" ht="15.75" customHeight="1">
      <c r="A1156" s="2" t="s">
        <v>1084</v>
      </c>
      <c r="B1156" s="2" t="s">
        <v>882</v>
      </c>
      <c r="C1156" s="2" t="s">
        <v>763</v>
      </c>
      <c r="D1156" s="2" t="s">
        <v>26</v>
      </c>
      <c r="E1156" s="2" t="s">
        <v>23</v>
      </c>
      <c r="F1156" s="2">
        <v>8.789464558E9</v>
      </c>
    </row>
    <row r="1157" ht="15.75" customHeight="1">
      <c r="A1157" s="2" t="s">
        <v>1387</v>
      </c>
      <c r="B1157" s="2" t="s">
        <v>65</v>
      </c>
      <c r="C1157" s="2" t="s">
        <v>34</v>
      </c>
      <c r="D1157" s="2" t="s">
        <v>44</v>
      </c>
      <c r="E1157" s="2" t="s">
        <v>23</v>
      </c>
      <c r="F1157" s="2">
        <v>7.54907809E9</v>
      </c>
    </row>
    <row r="1158" ht="15.75" customHeight="1">
      <c r="A1158" s="2" t="s">
        <v>991</v>
      </c>
      <c r="B1158" s="2" t="s">
        <v>88</v>
      </c>
      <c r="C1158" s="2" t="s">
        <v>1004</v>
      </c>
      <c r="D1158" s="2" t="s">
        <v>56</v>
      </c>
      <c r="E1158" s="2" t="s">
        <v>19</v>
      </c>
      <c r="F1158" s="2">
        <v>9.931315256E9</v>
      </c>
    </row>
    <row r="1159" ht="15.75" customHeight="1">
      <c r="A1159" s="2" t="s">
        <v>1501</v>
      </c>
      <c r="B1159" s="2" t="s">
        <v>55</v>
      </c>
      <c r="C1159" s="2" t="s">
        <v>708</v>
      </c>
      <c r="D1159" s="2" t="s">
        <v>26</v>
      </c>
      <c r="E1159" s="2" t="s">
        <v>19</v>
      </c>
      <c r="F1159" s="2">
        <v>7.209179814E9</v>
      </c>
    </row>
    <row r="1160" ht="15.75" customHeight="1">
      <c r="A1160" s="2" t="s">
        <v>1015</v>
      </c>
      <c r="B1160" s="2" t="s">
        <v>65</v>
      </c>
      <c r="C1160" s="2" t="s">
        <v>1001</v>
      </c>
      <c r="D1160" s="2" t="s">
        <v>9</v>
      </c>
      <c r="E1160" s="2" t="s">
        <v>23</v>
      </c>
      <c r="F1160" s="2">
        <v>9.092680893E9</v>
      </c>
    </row>
    <row r="1161" ht="15.75" customHeight="1">
      <c r="A1161" s="2" t="s">
        <v>547</v>
      </c>
      <c r="B1161" s="2" t="s">
        <v>212</v>
      </c>
      <c r="C1161" s="2" t="s">
        <v>228</v>
      </c>
      <c r="D1161" s="2" t="s">
        <v>26</v>
      </c>
      <c r="E1161" s="2" t="s">
        <v>23</v>
      </c>
      <c r="F1161" s="2">
        <v>9.777456909E9</v>
      </c>
    </row>
    <row r="1162" ht="15.75" customHeight="1">
      <c r="A1162" s="2" t="s">
        <v>1502</v>
      </c>
      <c r="B1162" s="2" t="s">
        <v>150</v>
      </c>
      <c r="C1162" s="2" t="s">
        <v>729</v>
      </c>
      <c r="D1162" s="2" t="s">
        <v>14</v>
      </c>
      <c r="E1162" s="2" t="s">
        <v>23</v>
      </c>
      <c r="F1162" s="2">
        <v>7.543031822E9</v>
      </c>
    </row>
    <row r="1163" ht="15.75" customHeight="1">
      <c r="A1163" s="2" t="s">
        <v>1082</v>
      </c>
      <c r="B1163" s="2" t="s">
        <v>153</v>
      </c>
      <c r="C1163" s="2" t="s">
        <v>817</v>
      </c>
      <c r="D1163" s="2" t="s">
        <v>29</v>
      </c>
      <c r="E1163" s="2" t="s">
        <v>19</v>
      </c>
      <c r="F1163" s="2">
        <v>9.338462179E9</v>
      </c>
    </row>
    <row r="1164" ht="15.75" customHeight="1">
      <c r="A1164" s="2" t="s">
        <v>1503</v>
      </c>
      <c r="B1164" s="2" t="s">
        <v>257</v>
      </c>
      <c r="C1164" s="2" t="s">
        <v>1504</v>
      </c>
      <c r="D1164" s="2" t="s">
        <v>26</v>
      </c>
      <c r="E1164" s="2" t="s">
        <v>19</v>
      </c>
      <c r="F1164" s="2">
        <v>7.261034101E9</v>
      </c>
    </row>
    <row r="1165" ht="15.75" customHeight="1">
      <c r="A1165" s="2" t="s">
        <v>364</v>
      </c>
      <c r="B1165" s="2" t="s">
        <v>50</v>
      </c>
      <c r="C1165" s="2" t="s">
        <v>221</v>
      </c>
      <c r="D1165" s="2" t="s">
        <v>26</v>
      </c>
      <c r="E1165" s="2" t="s">
        <v>23</v>
      </c>
      <c r="F1165" s="2">
        <v>7.004114087E9</v>
      </c>
    </row>
    <row r="1166" ht="15.75" customHeight="1">
      <c r="A1166" s="2" t="s">
        <v>1505</v>
      </c>
      <c r="B1166" s="2" t="s">
        <v>212</v>
      </c>
      <c r="C1166" s="2" t="s">
        <v>228</v>
      </c>
      <c r="D1166" s="2" t="s">
        <v>26</v>
      </c>
      <c r="E1166" s="2" t="s">
        <v>19</v>
      </c>
      <c r="F1166" s="2">
        <v>8.340572628E9</v>
      </c>
    </row>
    <row r="1167" ht="15.75" customHeight="1">
      <c r="A1167" s="2" t="s">
        <v>1383</v>
      </c>
      <c r="B1167" s="2" t="s">
        <v>63</v>
      </c>
      <c r="C1167" s="2" t="s">
        <v>171</v>
      </c>
      <c r="D1167" s="2" t="s">
        <v>56</v>
      </c>
      <c r="E1167" s="2" t="s">
        <v>23</v>
      </c>
      <c r="F1167" s="2">
        <v>7.903640237E9</v>
      </c>
    </row>
    <row r="1168" ht="15.75" customHeight="1">
      <c r="A1168" s="2" t="s">
        <v>1506</v>
      </c>
      <c r="B1168" s="2" t="s">
        <v>1507</v>
      </c>
      <c r="C1168" s="2" t="s">
        <v>34</v>
      </c>
      <c r="D1168" s="2" t="s">
        <v>14</v>
      </c>
      <c r="E1168" s="2" t="s">
        <v>23</v>
      </c>
      <c r="F1168" s="2">
        <v>6.204597797E9</v>
      </c>
    </row>
    <row r="1169" ht="15.75" customHeight="1">
      <c r="A1169" s="2" t="s">
        <v>636</v>
      </c>
      <c r="B1169" s="2" t="s">
        <v>1508</v>
      </c>
      <c r="C1169" s="2" t="s">
        <v>905</v>
      </c>
      <c r="D1169" s="2" t="s">
        <v>26</v>
      </c>
      <c r="E1169" s="2" t="s">
        <v>19</v>
      </c>
      <c r="F1169" s="2">
        <v>9.199356142E9</v>
      </c>
    </row>
    <row r="1170" ht="15.75" customHeight="1">
      <c r="A1170" s="2" t="s">
        <v>717</v>
      </c>
      <c r="B1170" s="2" t="s">
        <v>1509</v>
      </c>
      <c r="C1170" s="2" t="s">
        <v>1510</v>
      </c>
      <c r="D1170" s="2" t="s">
        <v>26</v>
      </c>
      <c r="E1170" s="2" t="s">
        <v>23</v>
      </c>
      <c r="F1170" s="2">
        <v>9.1980184E9</v>
      </c>
    </row>
    <row r="1171" ht="15.75" customHeight="1">
      <c r="A1171" s="2" t="s">
        <v>364</v>
      </c>
      <c r="B1171" s="2" t="s">
        <v>63</v>
      </c>
      <c r="C1171" s="2" t="s">
        <v>763</v>
      </c>
      <c r="D1171" s="2" t="s">
        <v>26</v>
      </c>
      <c r="E1171" s="2" t="s">
        <v>23</v>
      </c>
      <c r="F1171" s="2">
        <v>8.252999122E9</v>
      </c>
    </row>
    <row r="1172" ht="15.75" customHeight="1">
      <c r="A1172" s="2" t="s">
        <v>1511</v>
      </c>
      <c r="B1172" s="2" t="s">
        <v>170</v>
      </c>
      <c r="C1172" s="2" t="s">
        <v>230</v>
      </c>
      <c r="D1172" s="2" t="s">
        <v>56</v>
      </c>
      <c r="E1172" s="2" t="s">
        <v>19</v>
      </c>
      <c r="F1172" s="2">
        <v>6.203018594E9</v>
      </c>
    </row>
    <row r="1173" ht="15.75" customHeight="1">
      <c r="A1173" s="2" t="s">
        <v>1512</v>
      </c>
      <c r="B1173" s="2" t="s">
        <v>153</v>
      </c>
      <c r="C1173" s="2" t="s">
        <v>79</v>
      </c>
      <c r="D1173" s="2" t="s">
        <v>56</v>
      </c>
      <c r="E1173" s="2" t="s">
        <v>19</v>
      </c>
      <c r="F1173" s="2">
        <v>9.706965317E9</v>
      </c>
    </row>
    <row r="1174" ht="15.75" customHeight="1">
      <c r="A1174" s="2" t="s">
        <v>1513</v>
      </c>
      <c r="B1174" s="2" t="s">
        <v>1514</v>
      </c>
      <c r="C1174" s="2" t="s">
        <v>1186</v>
      </c>
      <c r="D1174" s="2" t="s">
        <v>56</v>
      </c>
      <c r="E1174" s="2" t="s">
        <v>23</v>
      </c>
      <c r="F1174" s="2">
        <v>7.910556207E9</v>
      </c>
    </row>
    <row r="1175" ht="15.75" customHeight="1">
      <c r="A1175" s="2" t="s">
        <v>1515</v>
      </c>
      <c r="B1175" s="2" t="s">
        <v>212</v>
      </c>
      <c r="C1175" s="2" t="s">
        <v>226</v>
      </c>
      <c r="D1175" s="2" t="s">
        <v>26</v>
      </c>
      <c r="E1175" s="2" t="s">
        <v>23</v>
      </c>
      <c r="F1175" s="2">
        <v>9.534099074E9</v>
      </c>
    </row>
    <row r="1176" ht="15.75" customHeight="1">
      <c r="A1176" s="2" t="s">
        <v>1516</v>
      </c>
      <c r="B1176" s="2" t="s">
        <v>594</v>
      </c>
      <c r="C1176" s="2" t="s">
        <v>58</v>
      </c>
      <c r="D1176" s="2" t="s">
        <v>29</v>
      </c>
      <c r="E1176" s="2" t="s">
        <v>19</v>
      </c>
      <c r="F1176" s="2">
        <v>9.110075719E9</v>
      </c>
    </row>
    <row r="1177" ht="15.75" customHeight="1">
      <c r="A1177" s="2" t="s">
        <v>1517</v>
      </c>
      <c r="B1177" s="2" t="s">
        <v>1518</v>
      </c>
      <c r="C1177" s="2" t="s">
        <v>1519</v>
      </c>
      <c r="D1177" s="2" t="s">
        <v>44</v>
      </c>
      <c r="E1177" s="2" t="s">
        <v>23</v>
      </c>
      <c r="F1177" s="2">
        <v>8.051145115E9</v>
      </c>
    </row>
    <row r="1178" ht="15.75" customHeight="1">
      <c r="A1178" s="2" t="s">
        <v>1520</v>
      </c>
      <c r="B1178" s="2" t="s">
        <v>21</v>
      </c>
      <c r="C1178" s="2" t="s">
        <v>763</v>
      </c>
      <c r="D1178" s="2" t="s">
        <v>26</v>
      </c>
      <c r="E1178" s="2" t="s">
        <v>23</v>
      </c>
      <c r="F1178" s="2">
        <v>7.795060709E9</v>
      </c>
    </row>
    <row r="1179" ht="15.75" customHeight="1">
      <c r="A1179" s="2" t="s">
        <v>1482</v>
      </c>
      <c r="B1179" s="2" t="s">
        <v>65</v>
      </c>
      <c r="C1179" s="2" t="s">
        <v>34</v>
      </c>
      <c r="D1179" s="2" t="s">
        <v>44</v>
      </c>
      <c r="E1179" s="2" t="s">
        <v>23</v>
      </c>
      <c r="F1179" s="2">
        <v>8.541994261E9</v>
      </c>
    </row>
    <row r="1180" ht="15.75" customHeight="1">
      <c r="A1180" s="2" t="s">
        <v>1031</v>
      </c>
      <c r="B1180" s="2" t="s">
        <v>63</v>
      </c>
      <c r="C1180" s="2" t="s">
        <v>729</v>
      </c>
      <c r="D1180" s="2" t="s">
        <v>56</v>
      </c>
      <c r="E1180" s="2" t="s">
        <v>19</v>
      </c>
      <c r="F1180" s="2">
        <v>7.654501502E9</v>
      </c>
    </row>
    <row r="1181" ht="15.75" customHeight="1">
      <c r="A1181" s="2" t="s">
        <v>1045</v>
      </c>
      <c r="B1181" s="2" t="s">
        <v>55</v>
      </c>
      <c r="C1181" s="2" t="s">
        <v>676</v>
      </c>
      <c r="D1181" s="2" t="s">
        <v>56</v>
      </c>
      <c r="E1181" s="2" t="s">
        <v>19</v>
      </c>
      <c r="F1181" s="2">
        <v>9.801897324E9</v>
      </c>
    </row>
    <row r="1182" ht="15.75" customHeight="1">
      <c r="A1182" s="2" t="s">
        <v>1521</v>
      </c>
      <c r="B1182" s="2" t="s">
        <v>212</v>
      </c>
      <c r="C1182" s="2" t="s">
        <v>226</v>
      </c>
      <c r="D1182" s="2" t="s">
        <v>56</v>
      </c>
      <c r="E1182" s="2" t="s">
        <v>23</v>
      </c>
      <c r="F1182" s="2">
        <v>7.909059152E9</v>
      </c>
    </row>
    <row r="1183" ht="15.75" customHeight="1">
      <c r="A1183" s="2" t="s">
        <v>1522</v>
      </c>
      <c r="B1183" s="2" t="s">
        <v>65</v>
      </c>
      <c r="C1183" s="2" t="s">
        <v>58</v>
      </c>
      <c r="D1183" s="2" t="s">
        <v>14</v>
      </c>
      <c r="E1183" s="2" t="s">
        <v>23</v>
      </c>
      <c r="F1183" s="2">
        <v>9.905327088E9</v>
      </c>
    </row>
    <row r="1184" ht="15.75" customHeight="1">
      <c r="A1184" s="2" t="s">
        <v>1523</v>
      </c>
      <c r="B1184" s="2" t="s">
        <v>1524</v>
      </c>
      <c r="C1184" s="2" t="s">
        <v>230</v>
      </c>
      <c r="D1184" s="2" t="s">
        <v>56</v>
      </c>
      <c r="E1184" s="2" t="s">
        <v>19</v>
      </c>
      <c r="F1184" s="2">
        <v>7.632068125E9</v>
      </c>
    </row>
    <row r="1185" ht="15.75" customHeight="1">
      <c r="A1185" s="2" t="s">
        <v>69</v>
      </c>
      <c r="B1185" s="2" t="s">
        <v>559</v>
      </c>
      <c r="C1185" s="2" t="s">
        <v>34</v>
      </c>
      <c r="D1185" s="2" t="s">
        <v>44</v>
      </c>
      <c r="E1185" s="2" t="s">
        <v>23</v>
      </c>
      <c r="F1185" s="2">
        <v>7.396043972E9</v>
      </c>
    </row>
    <row r="1186" ht="15.75" customHeight="1">
      <c r="A1186" s="2" t="s">
        <v>1525</v>
      </c>
      <c r="B1186" s="2" t="s">
        <v>212</v>
      </c>
      <c r="C1186" s="2" t="s">
        <v>66</v>
      </c>
      <c r="D1186" s="2" t="s">
        <v>56</v>
      </c>
      <c r="E1186" s="2" t="s">
        <v>23</v>
      </c>
      <c r="F1186" s="2">
        <v>9.631746133E9</v>
      </c>
    </row>
    <row r="1187" ht="15.75" customHeight="1">
      <c r="A1187" s="2" t="s">
        <v>1526</v>
      </c>
      <c r="B1187" s="2" t="s">
        <v>212</v>
      </c>
      <c r="C1187" s="2" t="s">
        <v>246</v>
      </c>
      <c r="D1187" s="2" t="s">
        <v>29</v>
      </c>
      <c r="E1187" s="2" t="s">
        <v>23</v>
      </c>
      <c r="F1187" s="2">
        <v>9.431770517E9</v>
      </c>
    </row>
    <row r="1188" ht="15.75" customHeight="1">
      <c r="A1188" s="2" t="s">
        <v>762</v>
      </c>
      <c r="B1188" s="2" t="s">
        <v>1527</v>
      </c>
      <c r="C1188" s="2" t="s">
        <v>729</v>
      </c>
      <c r="D1188" s="2" t="s">
        <v>14</v>
      </c>
      <c r="E1188" s="2" t="s">
        <v>19</v>
      </c>
      <c r="F1188" s="2">
        <v>9.431371454E9</v>
      </c>
    </row>
    <row r="1189" ht="15.75" customHeight="1">
      <c r="A1189" s="2" t="s">
        <v>149</v>
      </c>
      <c r="B1189" s="2" t="s">
        <v>153</v>
      </c>
      <c r="C1189" s="2" t="s">
        <v>79</v>
      </c>
      <c r="D1189" s="2" t="s">
        <v>26</v>
      </c>
      <c r="E1189" s="2" t="s">
        <v>19</v>
      </c>
      <c r="F1189" s="2">
        <v>8.877072592E9</v>
      </c>
    </row>
    <row r="1190" ht="15.75" customHeight="1">
      <c r="A1190" s="2" t="s">
        <v>1435</v>
      </c>
      <c r="B1190" s="2" t="s">
        <v>212</v>
      </c>
      <c r="C1190" s="2" t="s">
        <v>228</v>
      </c>
      <c r="D1190" s="2" t="s">
        <v>26</v>
      </c>
      <c r="E1190" s="2" t="s">
        <v>23</v>
      </c>
      <c r="F1190" s="2">
        <v>9.934198608E9</v>
      </c>
    </row>
    <row r="1191" ht="15.75" customHeight="1">
      <c r="A1191" s="2" t="s">
        <v>244</v>
      </c>
      <c r="B1191" s="2" t="s">
        <v>55</v>
      </c>
      <c r="C1191" s="2" t="s">
        <v>1004</v>
      </c>
      <c r="D1191" s="2" t="s">
        <v>44</v>
      </c>
      <c r="E1191" s="2" t="s">
        <v>23</v>
      </c>
      <c r="F1191" s="2">
        <v>8.755933341E9</v>
      </c>
    </row>
    <row r="1192" ht="15.75" customHeight="1">
      <c r="A1192" s="2" t="s">
        <v>1046</v>
      </c>
      <c r="B1192" s="2" t="s">
        <v>68</v>
      </c>
      <c r="C1192" s="2" t="s">
        <v>58</v>
      </c>
      <c r="D1192" s="2" t="s">
        <v>14</v>
      </c>
      <c r="E1192" s="2" t="s">
        <v>23</v>
      </c>
      <c r="F1192" s="2">
        <v>9.470390931E9</v>
      </c>
    </row>
    <row r="1193" ht="15.75" customHeight="1">
      <c r="A1193" s="2" t="s">
        <v>1528</v>
      </c>
      <c r="B1193" s="2" t="s">
        <v>55</v>
      </c>
      <c r="C1193" s="2" t="s">
        <v>1497</v>
      </c>
      <c r="D1193" s="2" t="s">
        <v>26</v>
      </c>
      <c r="E1193" s="2" t="s">
        <v>19</v>
      </c>
      <c r="F1193" s="2">
        <v>8.294006462E9</v>
      </c>
    </row>
    <row r="1194" ht="15.75" customHeight="1">
      <c r="A1194" s="2" t="s">
        <v>1529</v>
      </c>
      <c r="B1194" s="2" t="s">
        <v>55</v>
      </c>
      <c r="C1194" s="2" t="s">
        <v>708</v>
      </c>
      <c r="D1194" s="2" t="s">
        <v>26</v>
      </c>
      <c r="E1194" s="2" t="s">
        <v>23</v>
      </c>
      <c r="F1194" s="2">
        <v>7.564932846E9</v>
      </c>
    </row>
    <row r="1195" ht="15.75" customHeight="1">
      <c r="A1195" s="2" t="s">
        <v>272</v>
      </c>
      <c r="B1195" s="2" t="s">
        <v>1530</v>
      </c>
      <c r="C1195" s="2" t="s">
        <v>34</v>
      </c>
      <c r="D1195" s="2" t="s">
        <v>14</v>
      </c>
      <c r="E1195" s="2" t="s">
        <v>23</v>
      </c>
      <c r="F1195" s="2">
        <v>9.835571601E9</v>
      </c>
    </row>
    <row r="1196" ht="15.75" customHeight="1">
      <c r="A1196" s="2" t="s">
        <v>1531</v>
      </c>
      <c r="B1196" s="2" t="s">
        <v>232</v>
      </c>
      <c r="C1196" s="2" t="s">
        <v>655</v>
      </c>
      <c r="D1196" s="2" t="s">
        <v>26</v>
      </c>
      <c r="E1196" s="2" t="s">
        <v>19</v>
      </c>
      <c r="F1196" s="2">
        <v>9.334333411E9</v>
      </c>
    </row>
    <row r="1197" ht="15.75" customHeight="1">
      <c r="A1197" s="2" t="s">
        <v>748</v>
      </c>
      <c r="B1197" s="2" t="s">
        <v>1532</v>
      </c>
      <c r="C1197" s="2" t="s">
        <v>1504</v>
      </c>
      <c r="D1197" s="2" t="s">
        <v>44</v>
      </c>
      <c r="E1197" s="2" t="s">
        <v>19</v>
      </c>
      <c r="F1197" s="2">
        <v>7.302469269E9</v>
      </c>
    </row>
    <row r="1198" ht="15.75" customHeight="1">
      <c r="A1198" s="2" t="s">
        <v>40</v>
      </c>
      <c r="B1198" s="2" t="s">
        <v>220</v>
      </c>
      <c r="C1198" s="2" t="s">
        <v>226</v>
      </c>
      <c r="D1198" s="2" t="s">
        <v>26</v>
      </c>
      <c r="E1198" s="2" t="s">
        <v>23</v>
      </c>
      <c r="F1198" s="2">
        <v>9.564685505E9</v>
      </c>
    </row>
    <row r="1199" ht="15.75" customHeight="1">
      <c r="A1199" s="2" t="s">
        <v>602</v>
      </c>
      <c r="B1199" s="2" t="s">
        <v>21</v>
      </c>
      <c r="C1199" s="2" t="s">
        <v>1533</v>
      </c>
      <c r="D1199" s="2" t="s">
        <v>14</v>
      </c>
      <c r="E1199" s="2" t="s">
        <v>19</v>
      </c>
      <c r="F1199" s="2">
        <v>9.81026419E9</v>
      </c>
    </row>
    <row r="1200" ht="15.75" customHeight="1">
      <c r="A1200" s="2" t="s">
        <v>1534</v>
      </c>
      <c r="B1200" s="2" t="s">
        <v>55</v>
      </c>
      <c r="C1200" s="2" t="s">
        <v>708</v>
      </c>
      <c r="D1200" s="2" t="s">
        <v>56</v>
      </c>
      <c r="E1200" s="2" t="s">
        <v>23</v>
      </c>
      <c r="F1200" s="2">
        <v>6.206754729E9</v>
      </c>
    </row>
    <row r="1201" ht="15.75" customHeight="1">
      <c r="A1201" s="2" t="s">
        <v>1399</v>
      </c>
      <c r="B1201" s="2" t="s">
        <v>1535</v>
      </c>
      <c r="C1201" s="2" t="s">
        <v>66</v>
      </c>
      <c r="D1201" s="2" t="s">
        <v>56</v>
      </c>
      <c r="E1201" s="2" t="s">
        <v>23</v>
      </c>
      <c r="F1201" s="2">
        <v>8.910869504E9</v>
      </c>
    </row>
    <row r="1202" ht="15.75" customHeight="1">
      <c r="A1202" s="2" t="s">
        <v>1536</v>
      </c>
      <c r="B1202" s="2" t="s">
        <v>21</v>
      </c>
      <c r="C1202" s="2" t="s">
        <v>763</v>
      </c>
      <c r="D1202" s="2" t="s">
        <v>44</v>
      </c>
      <c r="E1202" s="2" t="s">
        <v>19</v>
      </c>
      <c r="F1202" s="2">
        <v>9.771990515E9</v>
      </c>
    </row>
    <row r="1203" ht="15.75" customHeight="1">
      <c r="A1203" s="2" t="s">
        <v>1537</v>
      </c>
      <c r="B1203" s="2" t="s">
        <v>212</v>
      </c>
      <c r="C1203" s="2" t="s">
        <v>228</v>
      </c>
      <c r="D1203" s="2" t="s">
        <v>26</v>
      </c>
      <c r="E1203" s="2" t="s">
        <v>23</v>
      </c>
      <c r="F1203" s="2">
        <v>9.771481099E9</v>
      </c>
    </row>
    <row r="1204" ht="15.75" customHeight="1">
      <c r="A1204" s="2" t="s">
        <v>1538</v>
      </c>
      <c r="B1204" s="2" t="s">
        <v>520</v>
      </c>
      <c r="C1204" s="2" t="s">
        <v>289</v>
      </c>
      <c r="D1204" s="2" t="s">
        <v>26</v>
      </c>
      <c r="E1204" s="2" t="s">
        <v>19</v>
      </c>
      <c r="F1204" s="2">
        <v>9.771773564E9</v>
      </c>
    </row>
    <row r="1205" ht="15.75" customHeight="1">
      <c r="A1205" s="2" t="s">
        <v>1539</v>
      </c>
      <c r="B1205" s="2" t="s">
        <v>1540</v>
      </c>
      <c r="C1205" s="2" t="s">
        <v>708</v>
      </c>
      <c r="D1205" s="2" t="s">
        <v>26</v>
      </c>
      <c r="E1205" s="2" t="s">
        <v>19</v>
      </c>
      <c r="F1205" s="2">
        <v>7.783023067E9</v>
      </c>
    </row>
    <row r="1206" ht="15.75" customHeight="1">
      <c r="A1206" s="2" t="s">
        <v>113</v>
      </c>
      <c r="B1206" s="2" t="s">
        <v>1541</v>
      </c>
      <c r="C1206" s="2" t="s">
        <v>1533</v>
      </c>
      <c r="D1206" s="2" t="s">
        <v>56</v>
      </c>
      <c r="E1206" s="2" t="s">
        <v>23</v>
      </c>
      <c r="F1206" s="2">
        <v>7.903380447E9</v>
      </c>
    </row>
    <row r="1207" ht="15.75" customHeight="1">
      <c r="A1207" s="2" t="s">
        <v>1542</v>
      </c>
      <c r="B1207" s="2" t="s">
        <v>21</v>
      </c>
      <c r="C1207" s="2" t="s">
        <v>289</v>
      </c>
      <c r="D1207" s="2" t="s">
        <v>56</v>
      </c>
      <c r="E1207" s="2" t="s">
        <v>19</v>
      </c>
      <c r="F1207" s="2">
        <v>9.431100098E9</v>
      </c>
    </row>
    <row r="1208" ht="15.75" customHeight="1">
      <c r="A1208" s="2" t="s">
        <v>1511</v>
      </c>
      <c r="B1208" s="2" t="s">
        <v>55</v>
      </c>
      <c r="C1208" s="2" t="s">
        <v>277</v>
      </c>
      <c r="D1208" s="2" t="s">
        <v>26</v>
      </c>
      <c r="E1208" s="2" t="s">
        <v>23</v>
      </c>
      <c r="F1208" s="2">
        <v>7.011870309E9</v>
      </c>
    </row>
    <row r="1209" ht="15.75" customHeight="1">
      <c r="A1209" s="2" t="s">
        <v>707</v>
      </c>
      <c r="B1209" s="2" t="s">
        <v>225</v>
      </c>
      <c r="C1209" s="2" t="s">
        <v>1533</v>
      </c>
      <c r="D1209" s="2" t="s">
        <v>26</v>
      </c>
      <c r="E1209" s="2" t="s">
        <v>23</v>
      </c>
      <c r="F1209" s="2">
        <v>7.079577821E9</v>
      </c>
    </row>
    <row r="1210" ht="15.75" customHeight="1">
      <c r="A1210" s="2" t="s">
        <v>579</v>
      </c>
      <c r="B1210" s="2" t="s">
        <v>50</v>
      </c>
      <c r="C1210" s="2" t="s">
        <v>844</v>
      </c>
      <c r="D1210" s="2" t="s">
        <v>44</v>
      </c>
      <c r="E1210" s="2" t="s">
        <v>23</v>
      </c>
      <c r="F1210" s="2">
        <v>8.271357905E9</v>
      </c>
    </row>
    <row r="1211" ht="15.75" customHeight="1">
      <c r="A1211" s="2" t="s">
        <v>1543</v>
      </c>
      <c r="B1211" s="2" t="s">
        <v>21</v>
      </c>
      <c r="C1211" s="2" t="s">
        <v>627</v>
      </c>
      <c r="D1211" s="2" t="s">
        <v>26</v>
      </c>
      <c r="E1211" s="2" t="s">
        <v>19</v>
      </c>
      <c r="F1211" s="2">
        <v>8.986777405E9</v>
      </c>
    </row>
    <row r="1212" ht="15.75" customHeight="1">
      <c r="A1212" s="2" t="s">
        <v>565</v>
      </c>
      <c r="B1212" s="2" t="s">
        <v>55</v>
      </c>
      <c r="C1212" s="2" t="s">
        <v>1400</v>
      </c>
      <c r="D1212" s="2" t="s">
        <v>26</v>
      </c>
      <c r="E1212" s="2" t="s">
        <v>23</v>
      </c>
      <c r="F1212" s="2">
        <v>8.877094406E9</v>
      </c>
    </row>
    <row r="1213" ht="15.75" customHeight="1">
      <c r="A1213" s="2" t="s">
        <v>1515</v>
      </c>
      <c r="B1213" s="2" t="s">
        <v>212</v>
      </c>
      <c r="C1213" s="2" t="s">
        <v>228</v>
      </c>
      <c r="D1213" s="2" t="s">
        <v>56</v>
      </c>
      <c r="E1213" s="2" t="s">
        <v>19</v>
      </c>
      <c r="F1213" s="2">
        <v>9.661812732E9</v>
      </c>
    </row>
    <row r="1214" ht="15.75" customHeight="1">
      <c r="A1214" s="2" t="s">
        <v>1544</v>
      </c>
      <c r="B1214" s="2" t="s">
        <v>21</v>
      </c>
      <c r="C1214" s="2" t="s">
        <v>34</v>
      </c>
      <c r="D1214" s="2" t="s">
        <v>26</v>
      </c>
      <c r="E1214" s="2" t="s">
        <v>23</v>
      </c>
      <c r="F1214" s="2">
        <v>9.431103056E9</v>
      </c>
    </row>
    <row r="1215" ht="15.75" customHeight="1">
      <c r="A1215" s="2" t="s">
        <v>1463</v>
      </c>
      <c r="B1215" s="2" t="s">
        <v>21</v>
      </c>
      <c r="C1215" s="2" t="s">
        <v>729</v>
      </c>
      <c r="D1215" s="2" t="s">
        <v>56</v>
      </c>
      <c r="E1215" s="2" t="s">
        <v>23</v>
      </c>
      <c r="F1215" s="2">
        <v>9.661504303E9</v>
      </c>
    </row>
    <row r="1216" ht="15.75" customHeight="1">
      <c r="A1216" s="2" t="s">
        <v>1545</v>
      </c>
      <c r="B1216" s="2" t="s">
        <v>55</v>
      </c>
      <c r="C1216" s="2" t="s">
        <v>1497</v>
      </c>
      <c r="D1216" s="2" t="s">
        <v>26</v>
      </c>
      <c r="E1216" s="2" t="s">
        <v>19</v>
      </c>
      <c r="F1216" s="2">
        <v>9.546120857E9</v>
      </c>
    </row>
    <row r="1217" ht="15.75" customHeight="1">
      <c r="A1217" s="2" t="s">
        <v>1546</v>
      </c>
      <c r="B1217" s="2" t="s">
        <v>1547</v>
      </c>
      <c r="C1217" s="2" t="s">
        <v>58</v>
      </c>
      <c r="D1217" s="2" t="s">
        <v>14</v>
      </c>
      <c r="E1217" s="2" t="s">
        <v>23</v>
      </c>
      <c r="F1217" s="2">
        <v>9.006293599E9</v>
      </c>
    </row>
    <row r="1218" ht="15.75" customHeight="1">
      <c r="A1218" s="2" t="s">
        <v>1548</v>
      </c>
      <c r="B1218" s="2" t="s">
        <v>1547</v>
      </c>
      <c r="C1218" s="2" t="s">
        <v>34</v>
      </c>
      <c r="D1218" s="2" t="s">
        <v>44</v>
      </c>
      <c r="E1218" s="2" t="s">
        <v>23</v>
      </c>
      <c r="F1218" s="2">
        <v>8.804922138E9</v>
      </c>
    </row>
    <row r="1219" ht="15.75" customHeight="1">
      <c r="A1219" s="2" t="s">
        <v>81</v>
      </c>
      <c r="B1219" s="2" t="s">
        <v>65</v>
      </c>
      <c r="C1219" s="2" t="s">
        <v>58</v>
      </c>
      <c r="D1219" s="2" t="s">
        <v>14</v>
      </c>
      <c r="E1219" s="2" t="s">
        <v>23</v>
      </c>
      <c r="F1219" s="2">
        <v>6.299688043E9</v>
      </c>
    </row>
    <row r="1220" ht="15.75" customHeight="1">
      <c r="A1220" s="2" t="s">
        <v>1549</v>
      </c>
      <c r="B1220" s="2" t="s">
        <v>50</v>
      </c>
      <c r="C1220" s="2" t="s">
        <v>34</v>
      </c>
      <c r="D1220" s="2" t="s">
        <v>44</v>
      </c>
      <c r="E1220" s="2" t="s">
        <v>23</v>
      </c>
      <c r="F1220" s="2">
        <v>8.271975619E9</v>
      </c>
    </row>
    <row r="1221" ht="15.75" customHeight="1">
      <c r="A1221" s="2" t="s">
        <v>1550</v>
      </c>
      <c r="B1221" s="2" t="s">
        <v>88</v>
      </c>
      <c r="C1221" s="2" t="s">
        <v>58</v>
      </c>
      <c r="D1221" s="2" t="s">
        <v>14</v>
      </c>
      <c r="E1221" s="2" t="s">
        <v>23</v>
      </c>
      <c r="F1221" s="2">
        <v>8.292782264E9</v>
      </c>
    </row>
    <row r="1222" ht="15.75" customHeight="1">
      <c r="A1222" s="2" t="s">
        <v>393</v>
      </c>
      <c r="B1222" s="2" t="s">
        <v>243</v>
      </c>
      <c r="C1222" s="2" t="s">
        <v>58</v>
      </c>
      <c r="D1222" s="2" t="s">
        <v>14</v>
      </c>
      <c r="E1222" s="2" t="s">
        <v>23</v>
      </c>
      <c r="F1222" s="2">
        <v>9.431493362E9</v>
      </c>
    </row>
    <row r="1223" ht="15.75" customHeight="1">
      <c r="A1223" s="2" t="s">
        <v>272</v>
      </c>
      <c r="B1223" s="2" t="s">
        <v>50</v>
      </c>
      <c r="C1223" s="2" t="s">
        <v>34</v>
      </c>
      <c r="D1223" s="2" t="s">
        <v>44</v>
      </c>
      <c r="E1223" s="2" t="s">
        <v>23</v>
      </c>
      <c r="F1223" s="2">
        <v>8.409444381E9</v>
      </c>
    </row>
    <row r="1224" ht="15.75" customHeight="1">
      <c r="A1224" s="2" t="s">
        <v>565</v>
      </c>
      <c r="B1224" s="2" t="s">
        <v>982</v>
      </c>
      <c r="C1224" s="2" t="s">
        <v>58</v>
      </c>
      <c r="D1224" s="2" t="s">
        <v>44</v>
      </c>
      <c r="E1224" s="2" t="s">
        <v>23</v>
      </c>
      <c r="F1224" s="2">
        <v>6.209935461E9</v>
      </c>
    </row>
    <row r="1225" ht="15.75" customHeight="1">
      <c r="A1225" s="2" t="s">
        <v>1551</v>
      </c>
      <c r="B1225" s="2" t="s">
        <v>1552</v>
      </c>
      <c r="C1225" s="2" t="s">
        <v>128</v>
      </c>
      <c r="D1225" s="2" t="s">
        <v>29</v>
      </c>
      <c r="E1225" s="2" t="s">
        <v>19</v>
      </c>
      <c r="F1225" s="2">
        <v>9.304653145E9</v>
      </c>
    </row>
    <row r="1226" ht="15.75" customHeight="1">
      <c r="A1226" s="2" t="s">
        <v>1553</v>
      </c>
      <c r="B1226" s="2" t="s">
        <v>50</v>
      </c>
      <c r="C1226" s="2" t="s">
        <v>1554</v>
      </c>
      <c r="D1226" s="2" t="s">
        <v>9</v>
      </c>
      <c r="E1226" s="2" t="s">
        <v>19</v>
      </c>
      <c r="F1226" s="2">
        <v>8.404925645E9</v>
      </c>
    </row>
    <row r="1227" ht="15.75" customHeight="1">
      <c r="A1227" s="2" t="s">
        <v>1555</v>
      </c>
      <c r="B1227" s="2" t="s">
        <v>50</v>
      </c>
      <c r="C1227" s="2" t="s">
        <v>310</v>
      </c>
      <c r="D1227" s="2" t="s">
        <v>14</v>
      </c>
      <c r="E1227" s="2" t="s">
        <v>23</v>
      </c>
      <c r="F1227" s="2">
        <v>9.335593915E9</v>
      </c>
    </row>
    <row r="1228" ht="15.75" customHeight="1">
      <c r="A1228" s="2" t="s">
        <v>1556</v>
      </c>
      <c r="B1228" s="2" t="s">
        <v>1557</v>
      </c>
      <c r="C1228" s="2" t="s">
        <v>34</v>
      </c>
      <c r="D1228" s="2" t="s">
        <v>44</v>
      </c>
      <c r="E1228" s="2" t="s">
        <v>23</v>
      </c>
      <c r="F1228" s="2">
        <v>6.204714881E9</v>
      </c>
    </row>
    <row r="1229" ht="15.75" customHeight="1">
      <c r="A1229" s="2" t="s">
        <v>1558</v>
      </c>
      <c r="B1229" s="2" t="s">
        <v>63</v>
      </c>
      <c r="C1229" s="2" t="s">
        <v>560</v>
      </c>
      <c r="D1229" s="2" t="s">
        <v>56</v>
      </c>
      <c r="E1229" s="2" t="s">
        <v>19</v>
      </c>
      <c r="F1229" s="2">
        <v>9.471358432E9</v>
      </c>
    </row>
    <row r="1230" ht="15.75" customHeight="1">
      <c r="A1230" s="2" t="s">
        <v>524</v>
      </c>
      <c r="B1230" s="2" t="s">
        <v>50</v>
      </c>
      <c r="C1230" s="2" t="s">
        <v>128</v>
      </c>
      <c r="D1230" s="2" t="s">
        <v>26</v>
      </c>
      <c r="E1230" s="2" t="s">
        <v>19</v>
      </c>
      <c r="F1230" s="2">
        <v>7.685544009E9</v>
      </c>
    </row>
    <row r="1231" ht="15.75" customHeight="1">
      <c r="A1231" s="2" t="s">
        <v>196</v>
      </c>
      <c r="B1231" s="2" t="s">
        <v>1559</v>
      </c>
      <c r="C1231" s="2" t="s">
        <v>360</v>
      </c>
      <c r="D1231" s="2" t="s">
        <v>14</v>
      </c>
      <c r="E1231" s="2" t="s">
        <v>19</v>
      </c>
      <c r="F1231" s="2">
        <v>8.757574487E9</v>
      </c>
    </row>
    <row r="1232" ht="15.75" customHeight="1">
      <c r="A1232" s="2" t="s">
        <v>1560</v>
      </c>
      <c r="B1232" s="2" t="s">
        <v>257</v>
      </c>
      <c r="C1232" s="2" t="s">
        <v>128</v>
      </c>
      <c r="D1232" s="2" t="s">
        <v>56</v>
      </c>
      <c r="E1232" s="2" t="s">
        <v>23</v>
      </c>
      <c r="F1232" s="2">
        <v>6.205732036E9</v>
      </c>
    </row>
    <row r="1233" ht="15.75" customHeight="1">
      <c r="A1233" s="2" t="s">
        <v>413</v>
      </c>
      <c r="B1233" s="2" t="s">
        <v>125</v>
      </c>
      <c r="C1233" s="2" t="s">
        <v>181</v>
      </c>
      <c r="D1233" s="2" t="s">
        <v>29</v>
      </c>
      <c r="E1233" s="2" t="s">
        <v>19</v>
      </c>
      <c r="F1233" s="2">
        <v>8.789687782E9</v>
      </c>
    </row>
    <row r="1234" ht="15.75" customHeight="1">
      <c r="A1234" s="2" t="s">
        <v>406</v>
      </c>
      <c r="B1234" s="2" t="s">
        <v>1559</v>
      </c>
      <c r="C1234" s="2" t="s">
        <v>763</v>
      </c>
      <c r="D1234" s="2" t="s">
        <v>26</v>
      </c>
      <c r="E1234" s="2" t="s">
        <v>19</v>
      </c>
      <c r="F1234" s="2">
        <v>7.661962582E9</v>
      </c>
    </row>
    <row r="1235" ht="15.75" customHeight="1">
      <c r="A1235" s="2" t="s">
        <v>1561</v>
      </c>
      <c r="B1235" s="2" t="s">
        <v>65</v>
      </c>
      <c r="C1235" s="2" t="s">
        <v>58</v>
      </c>
      <c r="D1235" s="2" t="s">
        <v>14</v>
      </c>
      <c r="E1235" s="2" t="s">
        <v>23</v>
      </c>
      <c r="F1235" s="2">
        <v>9.430318107E9</v>
      </c>
    </row>
    <row r="1236" ht="15.75" customHeight="1">
      <c r="A1236" s="2" t="s">
        <v>116</v>
      </c>
      <c r="B1236" s="2" t="s">
        <v>117</v>
      </c>
      <c r="C1236" s="2" t="s">
        <v>128</v>
      </c>
      <c r="D1236" s="2" t="s">
        <v>9</v>
      </c>
      <c r="E1236" s="2" t="s">
        <v>19</v>
      </c>
      <c r="F1236" s="2">
        <v>7.685445765E9</v>
      </c>
    </row>
    <row r="1237" ht="15.75" customHeight="1">
      <c r="A1237" s="2" t="s">
        <v>1562</v>
      </c>
      <c r="B1237" s="2" t="s">
        <v>1559</v>
      </c>
      <c r="C1237" s="2" t="s">
        <v>133</v>
      </c>
      <c r="D1237" s="2" t="s">
        <v>56</v>
      </c>
      <c r="E1237" s="2" t="s">
        <v>19</v>
      </c>
      <c r="F1237" s="2">
        <v>9.546460734E9</v>
      </c>
    </row>
    <row r="1238" ht="15.75" customHeight="1">
      <c r="A1238" s="2" t="s">
        <v>524</v>
      </c>
      <c r="B1238" s="2" t="s">
        <v>55</v>
      </c>
      <c r="C1238" s="2" t="s">
        <v>844</v>
      </c>
      <c r="D1238" s="2" t="s">
        <v>14</v>
      </c>
      <c r="E1238" s="2" t="s">
        <v>23</v>
      </c>
      <c r="F1238" s="2">
        <v>9.131594932E9</v>
      </c>
    </row>
    <row r="1239" ht="15.75" customHeight="1">
      <c r="A1239" s="2" t="s">
        <v>1563</v>
      </c>
      <c r="B1239" s="2" t="s">
        <v>276</v>
      </c>
      <c r="C1239" s="2" t="s">
        <v>79</v>
      </c>
      <c r="D1239" s="2" t="s">
        <v>26</v>
      </c>
      <c r="E1239" s="2" t="s">
        <v>23</v>
      </c>
      <c r="F1239" s="2">
        <v>9.123329007E9</v>
      </c>
    </row>
    <row r="1240" ht="15.75" customHeight="1">
      <c r="A1240" s="2" t="s">
        <v>1564</v>
      </c>
      <c r="B1240" s="2" t="s">
        <v>1559</v>
      </c>
      <c r="C1240" s="2" t="s">
        <v>235</v>
      </c>
      <c r="D1240" s="2" t="s">
        <v>26</v>
      </c>
      <c r="E1240" s="2" t="s">
        <v>19</v>
      </c>
      <c r="F1240" s="2">
        <v>7.004114087E9</v>
      </c>
    </row>
    <row r="1241" ht="15.75" customHeight="1">
      <c r="A1241" s="2" t="s">
        <v>1565</v>
      </c>
      <c r="B1241" s="2" t="s">
        <v>52</v>
      </c>
      <c r="C1241" s="2" t="s">
        <v>844</v>
      </c>
      <c r="D1241" s="2" t="s">
        <v>14</v>
      </c>
      <c r="E1241" s="2" t="s">
        <v>23</v>
      </c>
      <c r="F1241" s="2">
        <v>8.969513924E9</v>
      </c>
    </row>
    <row r="1242" ht="15.75" customHeight="1">
      <c r="A1242" s="2" t="s">
        <v>682</v>
      </c>
      <c r="B1242" s="2" t="s">
        <v>65</v>
      </c>
      <c r="C1242" s="2" t="s">
        <v>128</v>
      </c>
      <c r="D1242" s="2" t="s">
        <v>26</v>
      </c>
      <c r="E1242" s="2" t="s">
        <v>19</v>
      </c>
      <c r="F1242" s="2">
        <v>7.656897647E9</v>
      </c>
    </row>
    <row r="1243" ht="15.75" customHeight="1">
      <c r="A1243" s="2" t="s">
        <v>122</v>
      </c>
      <c r="B1243" s="2" t="s">
        <v>1559</v>
      </c>
      <c r="C1243" s="2" t="s">
        <v>106</v>
      </c>
      <c r="D1243" s="2" t="s">
        <v>26</v>
      </c>
      <c r="E1243" s="2" t="s">
        <v>19</v>
      </c>
      <c r="F1243" s="2">
        <v>7.76292304E9</v>
      </c>
    </row>
    <row r="1244" ht="15.75" customHeight="1">
      <c r="A1244" s="2" t="s">
        <v>1566</v>
      </c>
      <c r="B1244" s="2" t="s">
        <v>153</v>
      </c>
      <c r="C1244" s="2" t="s">
        <v>1567</v>
      </c>
      <c r="D1244" s="2" t="s">
        <v>9</v>
      </c>
      <c r="E1244" s="2" t="s">
        <v>23</v>
      </c>
      <c r="F1244" s="2">
        <v>8.797102221E9</v>
      </c>
    </row>
    <row r="1245" ht="15.75" customHeight="1">
      <c r="A1245" s="2" t="s">
        <v>565</v>
      </c>
      <c r="B1245" s="2" t="s">
        <v>55</v>
      </c>
      <c r="C1245" s="2" t="s">
        <v>34</v>
      </c>
      <c r="D1245" s="2" t="s">
        <v>14</v>
      </c>
      <c r="E1245" s="2" t="s">
        <v>23</v>
      </c>
      <c r="F1245" s="2">
        <v>7.324850596E9</v>
      </c>
    </row>
    <row r="1246" ht="15.75" customHeight="1">
      <c r="A1246" s="2" t="s">
        <v>234</v>
      </c>
      <c r="B1246" s="2" t="s">
        <v>63</v>
      </c>
      <c r="C1246" s="2" t="s">
        <v>128</v>
      </c>
      <c r="D1246" s="2" t="s">
        <v>26</v>
      </c>
      <c r="E1246" s="2" t="s">
        <v>19</v>
      </c>
      <c r="F1246" s="2">
        <v>7.856436789E9</v>
      </c>
    </row>
    <row r="1247" ht="15.75" customHeight="1">
      <c r="A1247" s="2" t="s">
        <v>1522</v>
      </c>
      <c r="B1247" s="2" t="s">
        <v>1559</v>
      </c>
      <c r="C1247" s="2" t="s">
        <v>228</v>
      </c>
      <c r="D1247" s="2" t="s">
        <v>56</v>
      </c>
      <c r="E1247" s="2" t="s">
        <v>19</v>
      </c>
      <c r="F1247" s="2">
        <v>9.471356061E9</v>
      </c>
    </row>
    <row r="1248" ht="15.75" customHeight="1">
      <c r="A1248" s="2" t="s">
        <v>1568</v>
      </c>
      <c r="B1248" s="2" t="s">
        <v>1569</v>
      </c>
      <c r="C1248" s="2" t="s">
        <v>235</v>
      </c>
      <c r="D1248" s="2" t="s">
        <v>26</v>
      </c>
      <c r="E1248" s="2" t="s">
        <v>19</v>
      </c>
      <c r="F1248" s="2">
        <v>9.431351072E9</v>
      </c>
    </row>
    <row r="1249" ht="15.75" customHeight="1">
      <c r="A1249" s="2" t="s">
        <v>1570</v>
      </c>
      <c r="B1249" s="2" t="s">
        <v>212</v>
      </c>
      <c r="C1249" s="2" t="s">
        <v>72</v>
      </c>
      <c r="D1249" s="2" t="s">
        <v>56</v>
      </c>
      <c r="E1249" s="2" t="s">
        <v>23</v>
      </c>
      <c r="F1249" s="2">
        <v>7.98790155E9</v>
      </c>
    </row>
    <row r="1250" ht="15.75" customHeight="1">
      <c r="A1250" s="2" t="s">
        <v>525</v>
      </c>
      <c r="B1250" s="2" t="s">
        <v>50</v>
      </c>
      <c r="C1250" s="2" t="s">
        <v>844</v>
      </c>
      <c r="D1250" s="2" t="s">
        <v>14</v>
      </c>
      <c r="E1250" s="2" t="s">
        <v>23</v>
      </c>
      <c r="F1250" s="2">
        <v>7.250198669E9</v>
      </c>
    </row>
    <row r="1251" ht="15.75" customHeight="1">
      <c r="A1251" s="2" t="s">
        <v>1571</v>
      </c>
      <c r="B1251" s="2" t="s">
        <v>308</v>
      </c>
      <c r="C1251" s="2" t="s">
        <v>58</v>
      </c>
      <c r="D1251" s="2" t="s">
        <v>9</v>
      </c>
      <c r="E1251" s="2" t="s">
        <v>19</v>
      </c>
      <c r="F1251" s="2">
        <v>7.865890546E9</v>
      </c>
    </row>
    <row r="1252" ht="15.75" customHeight="1">
      <c r="A1252" s="2" t="s">
        <v>1572</v>
      </c>
      <c r="B1252" s="2" t="s">
        <v>664</v>
      </c>
      <c r="C1252" s="2" t="s">
        <v>844</v>
      </c>
      <c r="D1252" s="2" t="s">
        <v>14</v>
      </c>
      <c r="E1252" s="2" t="s">
        <v>23</v>
      </c>
      <c r="F1252" s="2">
        <v>9.931610548E9</v>
      </c>
    </row>
    <row r="1253" ht="15.75" customHeight="1">
      <c r="A1253" s="2" t="s">
        <v>856</v>
      </c>
      <c r="B1253" s="2" t="s">
        <v>1559</v>
      </c>
      <c r="C1253" s="2" t="s">
        <v>1458</v>
      </c>
      <c r="D1253" s="2" t="s">
        <v>29</v>
      </c>
      <c r="E1253" s="2" t="s">
        <v>19</v>
      </c>
      <c r="F1253" s="2">
        <v>6.204245716E9</v>
      </c>
    </row>
    <row r="1254" ht="15.75" customHeight="1">
      <c r="A1254" s="2" t="s">
        <v>1573</v>
      </c>
      <c r="B1254" s="2" t="s">
        <v>1574</v>
      </c>
      <c r="C1254" s="2" t="s">
        <v>543</v>
      </c>
      <c r="D1254" s="2" t="s">
        <v>44</v>
      </c>
      <c r="E1254" s="2" t="s">
        <v>19</v>
      </c>
      <c r="F1254" s="2">
        <v>9.43192428E9</v>
      </c>
    </row>
    <row r="1255" ht="15.75" customHeight="1">
      <c r="A1255" s="2" t="s">
        <v>1575</v>
      </c>
      <c r="B1255" s="2" t="s">
        <v>664</v>
      </c>
      <c r="C1255" s="2" t="s">
        <v>79</v>
      </c>
      <c r="D1255" s="2" t="s">
        <v>26</v>
      </c>
      <c r="E1255" s="2" t="s">
        <v>23</v>
      </c>
      <c r="F1255" s="2">
        <v>7.209988757E9</v>
      </c>
    </row>
    <row r="1256" ht="15.75" customHeight="1">
      <c r="A1256" s="2" t="s">
        <v>1576</v>
      </c>
      <c r="B1256" s="2" t="s">
        <v>1559</v>
      </c>
      <c r="C1256" s="2" t="s">
        <v>1379</v>
      </c>
      <c r="D1256" s="2" t="s">
        <v>44</v>
      </c>
      <c r="E1256" s="2" t="s">
        <v>19</v>
      </c>
      <c r="F1256" s="2">
        <v>9.798291621E9</v>
      </c>
    </row>
    <row r="1257" ht="15.75" customHeight="1">
      <c r="A1257" s="2" t="s">
        <v>1577</v>
      </c>
      <c r="B1257" s="2" t="s">
        <v>88</v>
      </c>
      <c r="C1257" s="2" t="s">
        <v>844</v>
      </c>
      <c r="D1257" s="2" t="s">
        <v>14</v>
      </c>
      <c r="E1257" s="2" t="s">
        <v>23</v>
      </c>
      <c r="F1257" s="2">
        <v>9.123476304E9</v>
      </c>
    </row>
    <row r="1258" ht="15.75" customHeight="1">
      <c r="A1258" s="2" t="s">
        <v>1578</v>
      </c>
      <c r="B1258" s="2" t="s">
        <v>75</v>
      </c>
      <c r="C1258" s="2" t="s">
        <v>128</v>
      </c>
      <c r="D1258" s="2" t="s">
        <v>26</v>
      </c>
      <c r="E1258" s="2" t="s">
        <v>19</v>
      </c>
      <c r="F1258" s="2">
        <v>8.796546678E9</v>
      </c>
    </row>
    <row r="1259" ht="15.75" customHeight="1">
      <c r="A1259" s="2" t="s">
        <v>1579</v>
      </c>
      <c r="B1259" s="2" t="s">
        <v>1557</v>
      </c>
      <c r="C1259" s="2" t="s">
        <v>34</v>
      </c>
      <c r="D1259" s="2" t="s">
        <v>14</v>
      </c>
      <c r="E1259" s="2" t="s">
        <v>23</v>
      </c>
      <c r="F1259" s="2">
        <v>8.292578024E9</v>
      </c>
    </row>
    <row r="1260" ht="15.75" customHeight="1">
      <c r="A1260" s="2" t="s">
        <v>1580</v>
      </c>
      <c r="B1260" s="2" t="s">
        <v>170</v>
      </c>
      <c r="C1260" s="2" t="s">
        <v>1012</v>
      </c>
      <c r="D1260" s="2" t="s">
        <v>26</v>
      </c>
      <c r="E1260" s="2" t="s">
        <v>19</v>
      </c>
      <c r="F1260" s="2">
        <v>7.870478943E9</v>
      </c>
    </row>
    <row r="1261" ht="15.75" customHeight="1">
      <c r="A1261" s="2" t="s">
        <v>1581</v>
      </c>
      <c r="B1261" s="2" t="s">
        <v>797</v>
      </c>
      <c r="C1261" s="2" t="s">
        <v>1004</v>
      </c>
      <c r="D1261" s="2" t="s">
        <v>26</v>
      </c>
      <c r="E1261" s="2" t="s">
        <v>23</v>
      </c>
      <c r="F1261" s="2">
        <v>8.920705589E9</v>
      </c>
    </row>
    <row r="1262" ht="15.75" customHeight="1">
      <c r="A1262" s="2" t="s">
        <v>991</v>
      </c>
      <c r="B1262" s="2" t="s">
        <v>1559</v>
      </c>
      <c r="C1262" s="2" t="s">
        <v>1582</v>
      </c>
      <c r="D1262" s="2" t="s">
        <v>9</v>
      </c>
      <c r="E1262" s="2" t="s">
        <v>19</v>
      </c>
      <c r="F1262" s="2">
        <v>7.631188231E9</v>
      </c>
    </row>
    <row r="1263" ht="15.75" customHeight="1">
      <c r="A1263" s="2" t="s">
        <v>1583</v>
      </c>
      <c r="B1263" s="2" t="s">
        <v>522</v>
      </c>
      <c r="C1263" s="2" t="s">
        <v>66</v>
      </c>
      <c r="D1263" s="2" t="s">
        <v>56</v>
      </c>
      <c r="E1263" s="2" t="s">
        <v>19</v>
      </c>
      <c r="F1263" s="2">
        <v>9.431331226E9</v>
      </c>
    </row>
    <row r="1264" ht="15.75" customHeight="1">
      <c r="A1264" s="2" t="s">
        <v>97</v>
      </c>
      <c r="B1264" s="2" t="s">
        <v>21</v>
      </c>
      <c r="C1264" s="2" t="s">
        <v>58</v>
      </c>
      <c r="D1264" s="2" t="s">
        <v>14</v>
      </c>
      <c r="E1264" s="2" t="s">
        <v>23</v>
      </c>
      <c r="F1264" s="2">
        <v>9.835705811E9</v>
      </c>
    </row>
    <row r="1265" ht="15.75" customHeight="1">
      <c r="A1265" s="2" t="s">
        <v>1584</v>
      </c>
      <c r="B1265" s="2" t="s">
        <v>88</v>
      </c>
      <c r="C1265" s="2" t="s">
        <v>58</v>
      </c>
      <c r="D1265" s="2" t="s">
        <v>14</v>
      </c>
      <c r="E1265" s="2" t="s">
        <v>19</v>
      </c>
      <c r="F1265" s="2">
        <v>7.856443308E9</v>
      </c>
    </row>
    <row r="1266" ht="15.75" customHeight="1">
      <c r="A1266" s="2" t="s">
        <v>1585</v>
      </c>
      <c r="B1266" s="2" t="s">
        <v>55</v>
      </c>
      <c r="C1266" s="2" t="s">
        <v>1586</v>
      </c>
      <c r="D1266" s="2" t="s">
        <v>56</v>
      </c>
      <c r="E1266" s="2" t="s">
        <v>19</v>
      </c>
      <c r="F1266" s="2">
        <v>9.095790739E9</v>
      </c>
    </row>
    <row r="1267" ht="15.75" customHeight="1">
      <c r="A1267" s="2" t="s">
        <v>141</v>
      </c>
      <c r="B1267" s="2" t="s">
        <v>1559</v>
      </c>
      <c r="C1267" s="2" t="s">
        <v>133</v>
      </c>
      <c r="D1267" s="2" t="s">
        <v>44</v>
      </c>
      <c r="E1267" s="2" t="s">
        <v>19</v>
      </c>
      <c r="F1267" s="2">
        <v>6.200459412E9</v>
      </c>
    </row>
    <row r="1268" ht="15.75" customHeight="1">
      <c r="A1268" s="2" t="s">
        <v>381</v>
      </c>
      <c r="B1268" s="2" t="s">
        <v>1587</v>
      </c>
      <c r="C1268" s="2" t="s">
        <v>61</v>
      </c>
      <c r="D1268" s="2" t="s">
        <v>56</v>
      </c>
      <c r="E1268" s="2" t="s">
        <v>23</v>
      </c>
      <c r="F1268" s="2">
        <v>6.394664265E9</v>
      </c>
    </row>
    <row r="1269" ht="15.75" customHeight="1">
      <c r="A1269" s="2" t="s">
        <v>120</v>
      </c>
      <c r="B1269" s="2" t="s">
        <v>50</v>
      </c>
      <c r="C1269" s="2" t="s">
        <v>58</v>
      </c>
      <c r="D1269" s="2" t="s">
        <v>44</v>
      </c>
      <c r="E1269" s="2" t="s">
        <v>19</v>
      </c>
      <c r="F1269" s="2">
        <v>8.796556709E9</v>
      </c>
    </row>
    <row r="1270" ht="15.75" customHeight="1">
      <c r="A1270" s="2" t="s">
        <v>350</v>
      </c>
      <c r="B1270" s="2" t="s">
        <v>153</v>
      </c>
      <c r="C1270" s="2" t="s">
        <v>1588</v>
      </c>
      <c r="D1270" s="2" t="s">
        <v>26</v>
      </c>
      <c r="E1270" s="2" t="s">
        <v>19</v>
      </c>
      <c r="F1270" s="2">
        <v>8.541925787E9</v>
      </c>
    </row>
    <row r="1271" ht="15.75" customHeight="1">
      <c r="A1271" s="2" t="s">
        <v>1389</v>
      </c>
      <c r="B1271" s="2" t="s">
        <v>50</v>
      </c>
      <c r="C1271" s="2" t="s">
        <v>34</v>
      </c>
      <c r="D1271" s="2" t="s">
        <v>44</v>
      </c>
      <c r="E1271" s="2" t="s">
        <v>23</v>
      </c>
      <c r="F1271" s="2">
        <v>9.546180324E9</v>
      </c>
    </row>
    <row r="1272" ht="15.75" customHeight="1">
      <c r="A1272" s="2" t="s">
        <v>1589</v>
      </c>
      <c r="B1272" s="2" t="s">
        <v>139</v>
      </c>
      <c r="C1272" s="2" t="s">
        <v>252</v>
      </c>
      <c r="D1272" s="2" t="s">
        <v>26</v>
      </c>
      <c r="E1272" s="2" t="s">
        <v>19</v>
      </c>
      <c r="F1272" s="2">
        <v>9.079821754E9</v>
      </c>
    </row>
    <row r="1273" ht="15.75" customHeight="1">
      <c r="A1273" s="2" t="s">
        <v>507</v>
      </c>
      <c r="B1273" s="2" t="s">
        <v>63</v>
      </c>
      <c r="C1273" s="2" t="s">
        <v>34</v>
      </c>
      <c r="D1273" s="2" t="s">
        <v>14</v>
      </c>
      <c r="E1273" s="2" t="s">
        <v>23</v>
      </c>
      <c r="F1273" s="2">
        <v>9.17480964E9</v>
      </c>
    </row>
    <row r="1274" ht="15.75" customHeight="1">
      <c r="A1274" s="2" t="s">
        <v>1590</v>
      </c>
      <c r="B1274" s="2" t="s">
        <v>63</v>
      </c>
      <c r="C1274" s="2" t="s">
        <v>592</v>
      </c>
      <c r="D1274" s="2" t="s">
        <v>26</v>
      </c>
      <c r="E1274" s="2" t="s">
        <v>19</v>
      </c>
      <c r="F1274" s="2">
        <v>6.201240199E9</v>
      </c>
    </row>
    <row r="1275" ht="15.75" customHeight="1">
      <c r="A1275" s="2" t="s">
        <v>350</v>
      </c>
      <c r="B1275" s="2" t="s">
        <v>191</v>
      </c>
      <c r="C1275" s="2" t="s">
        <v>1588</v>
      </c>
      <c r="D1275" s="2" t="s">
        <v>26</v>
      </c>
      <c r="E1275" s="2" t="s">
        <v>19</v>
      </c>
      <c r="F1275" s="2">
        <v>7.004551372E9</v>
      </c>
    </row>
    <row r="1276" ht="15.75" customHeight="1">
      <c r="A1276" s="2" t="s">
        <v>1591</v>
      </c>
      <c r="B1276" s="2" t="s">
        <v>55</v>
      </c>
      <c r="C1276" s="2" t="s">
        <v>171</v>
      </c>
      <c r="D1276" s="2" t="s">
        <v>14</v>
      </c>
      <c r="E1276" s="2" t="s">
        <v>19</v>
      </c>
      <c r="F1276" s="2">
        <v>9.70654321E9</v>
      </c>
    </row>
    <row r="1277" ht="15.75" customHeight="1">
      <c r="A1277" s="2" t="s">
        <v>1103</v>
      </c>
      <c r="B1277" s="2" t="s">
        <v>50</v>
      </c>
      <c r="C1277" s="2" t="s">
        <v>650</v>
      </c>
      <c r="D1277" s="2" t="s">
        <v>9</v>
      </c>
      <c r="E1277" s="2" t="s">
        <v>19</v>
      </c>
      <c r="F1277" s="2">
        <v>9.470757807E9</v>
      </c>
    </row>
    <row r="1278" ht="15.75" customHeight="1">
      <c r="A1278" s="2" t="s">
        <v>1592</v>
      </c>
      <c r="B1278" s="2" t="s">
        <v>1593</v>
      </c>
      <c r="C1278" s="2" t="s">
        <v>79</v>
      </c>
      <c r="D1278" s="2" t="s">
        <v>9</v>
      </c>
      <c r="E1278" s="2" t="s">
        <v>23</v>
      </c>
      <c r="F1278" s="2">
        <v>7.549564225E9</v>
      </c>
    </row>
    <row r="1279" ht="15.75" customHeight="1">
      <c r="A1279" s="2" t="s">
        <v>1120</v>
      </c>
      <c r="B1279" s="2" t="s">
        <v>88</v>
      </c>
      <c r="C1279" s="2" t="s">
        <v>200</v>
      </c>
      <c r="D1279" s="2" t="s">
        <v>26</v>
      </c>
      <c r="E1279" s="2" t="s">
        <v>19</v>
      </c>
      <c r="F1279" s="2">
        <v>9.608454043E9</v>
      </c>
    </row>
    <row r="1280" ht="15.75" customHeight="1">
      <c r="A1280" s="2" t="s">
        <v>1594</v>
      </c>
      <c r="B1280" s="2" t="s">
        <v>552</v>
      </c>
      <c r="C1280" s="2" t="s">
        <v>58</v>
      </c>
      <c r="D1280" s="2" t="s">
        <v>14</v>
      </c>
      <c r="E1280" s="2" t="s">
        <v>19</v>
      </c>
      <c r="F1280" s="2">
        <v>9.304151813E9</v>
      </c>
    </row>
    <row r="1281" ht="15.75" customHeight="1">
      <c r="A1281" s="2" t="s">
        <v>1577</v>
      </c>
      <c r="B1281" s="2" t="s">
        <v>52</v>
      </c>
      <c r="C1281" s="2" t="s">
        <v>58</v>
      </c>
      <c r="D1281" s="2" t="s">
        <v>14</v>
      </c>
      <c r="E1281" s="2" t="s">
        <v>23</v>
      </c>
      <c r="F1281" s="2">
        <v>7.00815869E9</v>
      </c>
    </row>
    <row r="1282" ht="15.75" customHeight="1">
      <c r="A1282" s="2" t="s">
        <v>141</v>
      </c>
      <c r="B1282" s="2" t="s">
        <v>1559</v>
      </c>
      <c r="C1282" s="2" t="s">
        <v>500</v>
      </c>
      <c r="D1282" s="2" t="s">
        <v>44</v>
      </c>
      <c r="E1282" s="2" t="s">
        <v>133</v>
      </c>
      <c r="F1282" s="2">
        <v>8.210018465E9</v>
      </c>
    </row>
    <row r="1283" ht="15.75" customHeight="1">
      <c r="A1283" s="2" t="s">
        <v>1595</v>
      </c>
      <c r="B1283" s="2" t="s">
        <v>50</v>
      </c>
      <c r="C1283" s="2" t="s">
        <v>1139</v>
      </c>
      <c r="D1283" s="2" t="s">
        <v>29</v>
      </c>
      <c r="E1283" s="2" t="s">
        <v>19</v>
      </c>
      <c r="F1283" s="2">
        <v>8.809511958E9</v>
      </c>
    </row>
    <row r="1284" ht="15.75" customHeight="1">
      <c r="A1284" s="2" t="s">
        <v>1596</v>
      </c>
      <c r="B1284" s="2" t="s">
        <v>212</v>
      </c>
      <c r="C1284" s="2" t="s">
        <v>655</v>
      </c>
      <c r="D1284" s="2" t="s">
        <v>56</v>
      </c>
      <c r="E1284" s="2" t="s">
        <v>19</v>
      </c>
      <c r="F1284" s="2">
        <v>7.334841462E9</v>
      </c>
    </row>
    <row r="1285" ht="15.75" customHeight="1">
      <c r="A1285" s="2" t="s">
        <v>1597</v>
      </c>
      <c r="B1285" s="2" t="s">
        <v>1559</v>
      </c>
      <c r="C1285" s="2" t="s">
        <v>1458</v>
      </c>
      <c r="D1285" s="2" t="s">
        <v>14</v>
      </c>
      <c r="E1285" s="2" t="s">
        <v>19</v>
      </c>
      <c r="F1285" s="2">
        <v>8.797100086E9</v>
      </c>
    </row>
    <row r="1286" ht="15.75" customHeight="1">
      <c r="A1286" s="2" t="s">
        <v>1598</v>
      </c>
      <c r="B1286" s="2" t="s">
        <v>1599</v>
      </c>
      <c r="C1286" s="2" t="s">
        <v>543</v>
      </c>
      <c r="D1286" s="2" t="s">
        <v>26</v>
      </c>
      <c r="E1286" s="2" t="s">
        <v>19</v>
      </c>
      <c r="F1286" s="2">
        <v>6.204467824E9</v>
      </c>
    </row>
    <row r="1287" ht="15.75" customHeight="1">
      <c r="A1287" s="2" t="s">
        <v>1600</v>
      </c>
      <c r="B1287" s="2" t="s">
        <v>119</v>
      </c>
      <c r="C1287" s="2" t="s">
        <v>662</v>
      </c>
      <c r="D1287" s="2" t="s">
        <v>26</v>
      </c>
      <c r="E1287" s="2" t="s">
        <v>19</v>
      </c>
      <c r="F1287" s="2">
        <v>9.431328028E9</v>
      </c>
    </row>
    <row r="1288" ht="15.75" customHeight="1">
      <c r="A1288" s="2" t="s">
        <v>1386</v>
      </c>
      <c r="B1288" s="2" t="s">
        <v>50</v>
      </c>
      <c r="C1288" s="2" t="s">
        <v>34</v>
      </c>
      <c r="D1288" s="2" t="s">
        <v>26</v>
      </c>
      <c r="E1288" s="2" t="s">
        <v>23</v>
      </c>
      <c r="F1288" s="2">
        <v>9.835765217E9</v>
      </c>
    </row>
    <row r="1289" ht="15.75" customHeight="1">
      <c r="A1289" s="2" t="s">
        <v>1180</v>
      </c>
      <c r="B1289" s="2" t="s">
        <v>594</v>
      </c>
      <c r="C1289" s="2" t="s">
        <v>230</v>
      </c>
      <c r="D1289" s="2" t="s">
        <v>44</v>
      </c>
      <c r="E1289" s="2" t="s">
        <v>19</v>
      </c>
      <c r="F1289" s="2">
        <v>6.203672196E9</v>
      </c>
    </row>
    <row r="1290" ht="15.75" customHeight="1">
      <c r="A1290" s="2" t="s">
        <v>1601</v>
      </c>
      <c r="B1290" s="2" t="s">
        <v>63</v>
      </c>
      <c r="C1290" s="2" t="s">
        <v>235</v>
      </c>
      <c r="D1290" s="2" t="s">
        <v>26</v>
      </c>
      <c r="E1290" s="2" t="s">
        <v>23</v>
      </c>
      <c r="F1290" s="2">
        <v>7.209188413E9</v>
      </c>
    </row>
    <row r="1291" ht="15.75" customHeight="1">
      <c r="A1291" s="2" t="s">
        <v>1180</v>
      </c>
      <c r="B1291" s="2" t="s">
        <v>191</v>
      </c>
      <c r="C1291" s="2" t="s">
        <v>1024</v>
      </c>
      <c r="D1291" s="2" t="s">
        <v>44</v>
      </c>
      <c r="E1291" s="2" t="s">
        <v>19</v>
      </c>
      <c r="F1291" s="2">
        <v>6.207690779E9</v>
      </c>
    </row>
    <row r="1292" ht="15.75" customHeight="1">
      <c r="A1292" s="2" t="s">
        <v>1297</v>
      </c>
      <c r="B1292" s="2" t="s">
        <v>693</v>
      </c>
      <c r="C1292" s="2" t="s">
        <v>1299</v>
      </c>
      <c r="D1292" s="2" t="s">
        <v>102</v>
      </c>
      <c r="E1292" s="2" t="s">
        <v>23</v>
      </c>
      <c r="F1292" s="2">
        <v>9.904121234E9</v>
      </c>
    </row>
    <row r="1293" ht="15.75" customHeight="1">
      <c r="A1293" s="2" t="s">
        <v>1602</v>
      </c>
      <c r="B1293" s="2" t="s">
        <v>1603</v>
      </c>
      <c r="C1293" s="2" t="s">
        <v>1604</v>
      </c>
      <c r="D1293" s="2" t="s">
        <v>14</v>
      </c>
      <c r="E1293" s="2" t="s">
        <v>282</v>
      </c>
      <c r="F1293" s="2">
        <v>7.710050216E9</v>
      </c>
    </row>
    <row r="1294" ht="15.75" customHeight="1">
      <c r="A1294" s="2" t="s">
        <v>1386</v>
      </c>
      <c r="B1294" s="2" t="s">
        <v>1480</v>
      </c>
      <c r="C1294" s="2" t="s">
        <v>1497</v>
      </c>
      <c r="D1294" s="2" t="s">
        <v>26</v>
      </c>
      <c r="E1294" s="2" t="s">
        <v>19</v>
      </c>
      <c r="F1294" s="2">
        <v>7.250911423E9</v>
      </c>
    </row>
    <row r="1295" ht="15.75" customHeight="1">
      <c r="A1295" s="2" t="s">
        <v>1605</v>
      </c>
      <c r="B1295" s="2" t="s">
        <v>693</v>
      </c>
      <c r="C1295" s="2" t="s">
        <v>1299</v>
      </c>
      <c r="D1295" s="2" t="s">
        <v>14</v>
      </c>
      <c r="E1295" s="2" t="s">
        <v>255</v>
      </c>
      <c r="F1295" s="2">
        <v>9.904121234E9</v>
      </c>
    </row>
    <row r="1296" ht="15.75" customHeight="1">
      <c r="A1296" s="2" t="s">
        <v>1606</v>
      </c>
      <c r="B1296" s="2" t="s">
        <v>63</v>
      </c>
      <c r="C1296" s="2" t="s">
        <v>1113</v>
      </c>
      <c r="D1296" s="2" t="s">
        <v>26</v>
      </c>
      <c r="E1296" s="2" t="s">
        <v>19</v>
      </c>
      <c r="F1296" s="2">
        <v>6.202750156E9</v>
      </c>
    </row>
    <row r="1297" ht="15.75" customHeight="1">
      <c r="A1297" s="2" t="s">
        <v>507</v>
      </c>
      <c r="B1297" s="2" t="s">
        <v>52</v>
      </c>
      <c r="C1297" s="2" t="s">
        <v>58</v>
      </c>
      <c r="D1297" s="2" t="s">
        <v>44</v>
      </c>
      <c r="E1297" s="2" t="s">
        <v>23</v>
      </c>
      <c r="F1297" s="2">
        <v>7.050689115E9</v>
      </c>
    </row>
    <row r="1298" ht="15.75" customHeight="1">
      <c r="A1298" s="2" t="s">
        <v>1607</v>
      </c>
      <c r="B1298" s="2" t="s">
        <v>212</v>
      </c>
      <c r="C1298" s="2" t="s">
        <v>200</v>
      </c>
      <c r="D1298" s="2" t="s">
        <v>26</v>
      </c>
      <c r="E1298" s="2" t="s">
        <v>19</v>
      </c>
      <c r="F1298" s="2">
        <v>9.572167491E9</v>
      </c>
    </row>
    <row r="1299" ht="15.75" customHeight="1">
      <c r="A1299" s="2" t="s">
        <v>1608</v>
      </c>
      <c r="B1299" s="2" t="s">
        <v>276</v>
      </c>
      <c r="C1299" s="2" t="s">
        <v>763</v>
      </c>
      <c r="D1299" s="2" t="s">
        <v>44</v>
      </c>
      <c r="E1299" s="2" t="s">
        <v>19</v>
      </c>
      <c r="F1299" s="2">
        <v>7.030923963E9</v>
      </c>
    </row>
    <row r="1300" ht="15.75" customHeight="1">
      <c r="A1300" s="2" t="s">
        <v>1609</v>
      </c>
      <c r="B1300" s="2" t="s">
        <v>55</v>
      </c>
      <c r="C1300" s="2" t="s">
        <v>1004</v>
      </c>
      <c r="D1300" s="2" t="s">
        <v>102</v>
      </c>
      <c r="E1300" s="2" t="s">
        <v>19</v>
      </c>
      <c r="F1300" s="2">
        <v>8.987473947E9</v>
      </c>
    </row>
    <row r="1301" ht="15.75" customHeight="1">
      <c r="A1301" s="2" t="s">
        <v>385</v>
      </c>
      <c r="B1301" s="2" t="s">
        <v>50</v>
      </c>
      <c r="C1301" s="2" t="s">
        <v>360</v>
      </c>
      <c r="D1301" s="2" t="s">
        <v>56</v>
      </c>
      <c r="E1301" s="2" t="s">
        <v>19</v>
      </c>
      <c r="F1301" s="2">
        <v>9.3092252E9</v>
      </c>
    </row>
    <row r="1302" ht="15.75" customHeight="1">
      <c r="A1302" s="2" t="s">
        <v>1610</v>
      </c>
      <c r="B1302" s="2" t="s">
        <v>119</v>
      </c>
      <c r="C1302" s="2" t="s">
        <v>640</v>
      </c>
      <c r="D1302" s="2" t="s">
        <v>26</v>
      </c>
      <c r="E1302" s="2" t="s">
        <v>19</v>
      </c>
      <c r="F1302" s="2">
        <v>7.050312423E9</v>
      </c>
    </row>
    <row r="1303" ht="15.75" customHeight="1">
      <c r="A1303" s="2" t="s">
        <v>1611</v>
      </c>
      <c r="B1303" s="2" t="s">
        <v>746</v>
      </c>
      <c r="C1303" s="2" t="s">
        <v>627</v>
      </c>
      <c r="D1303" s="2" t="s">
        <v>56</v>
      </c>
      <c r="E1303" s="2" t="s">
        <v>19</v>
      </c>
      <c r="F1303" s="2">
        <v>9.999399377E9</v>
      </c>
    </row>
    <row r="1304" ht="15.75" customHeight="1">
      <c r="A1304" s="2" t="s">
        <v>1612</v>
      </c>
      <c r="B1304" s="2" t="s">
        <v>992</v>
      </c>
      <c r="C1304" s="2" t="s">
        <v>370</v>
      </c>
      <c r="D1304" s="2" t="s">
        <v>26</v>
      </c>
      <c r="E1304" s="2" t="s">
        <v>19</v>
      </c>
      <c r="F1304" s="2">
        <v>9.48838101E9</v>
      </c>
    </row>
    <row r="1305" ht="15.75" customHeight="1">
      <c r="A1305" s="2" t="s">
        <v>843</v>
      </c>
      <c r="B1305" s="2" t="s">
        <v>212</v>
      </c>
      <c r="C1305" s="2" t="s">
        <v>500</v>
      </c>
      <c r="D1305" s="2" t="s">
        <v>56</v>
      </c>
      <c r="E1305" s="2" t="s">
        <v>19</v>
      </c>
      <c r="F1305" s="2">
        <v>9.47013888E9</v>
      </c>
    </row>
    <row r="1306" ht="15.75" customHeight="1">
      <c r="A1306" s="2" t="s">
        <v>1610</v>
      </c>
      <c r="B1306" s="2" t="s">
        <v>119</v>
      </c>
      <c r="C1306" s="2" t="s">
        <v>1613</v>
      </c>
      <c r="D1306" s="2" t="s">
        <v>26</v>
      </c>
      <c r="E1306" s="2" t="s">
        <v>19</v>
      </c>
      <c r="F1306" s="2">
        <v>8.40948627E9</v>
      </c>
    </row>
    <row r="1307" ht="15.75" customHeight="1">
      <c r="A1307" s="2" t="s">
        <v>843</v>
      </c>
      <c r="B1307" s="2" t="s">
        <v>153</v>
      </c>
      <c r="C1307" s="2" t="s">
        <v>1024</v>
      </c>
      <c r="D1307" s="2" t="s">
        <v>26</v>
      </c>
      <c r="E1307" s="2" t="s">
        <v>19</v>
      </c>
      <c r="F1307" s="2">
        <v>7.320875211E9</v>
      </c>
    </row>
    <row r="1308" ht="15.75" customHeight="1">
      <c r="A1308" s="2" t="s">
        <v>1614</v>
      </c>
      <c r="B1308" s="2" t="s">
        <v>1480</v>
      </c>
      <c r="C1308" s="2" t="s">
        <v>741</v>
      </c>
      <c r="D1308" s="2" t="s">
        <v>56</v>
      </c>
      <c r="E1308" s="2" t="s">
        <v>19</v>
      </c>
      <c r="F1308" s="2">
        <v>9.431993455E9</v>
      </c>
    </row>
    <row r="1309" ht="15.75" customHeight="1">
      <c r="A1309" s="2" t="s">
        <v>1610</v>
      </c>
      <c r="B1309" s="2" t="s">
        <v>119</v>
      </c>
      <c r="C1309" s="2" t="s">
        <v>453</v>
      </c>
      <c r="D1309" s="2" t="s">
        <v>26</v>
      </c>
      <c r="E1309" s="2" t="s">
        <v>19</v>
      </c>
      <c r="F1309" s="2">
        <v>7.571171782E9</v>
      </c>
    </row>
    <row r="1310" ht="15.75" customHeight="1">
      <c r="A1310" s="2" t="s">
        <v>1463</v>
      </c>
      <c r="B1310" s="2" t="s">
        <v>55</v>
      </c>
      <c r="C1310" s="2" t="s">
        <v>1420</v>
      </c>
      <c r="D1310" s="2" t="s">
        <v>14</v>
      </c>
      <c r="E1310" s="2" t="s">
        <v>19</v>
      </c>
      <c r="F1310" s="2">
        <v>9.012156455E9</v>
      </c>
    </row>
    <row r="1311" ht="15.75" customHeight="1">
      <c r="A1311" s="2" t="s">
        <v>1196</v>
      </c>
      <c r="B1311" s="2" t="s">
        <v>1615</v>
      </c>
      <c r="C1311" s="2" t="s">
        <v>106</v>
      </c>
      <c r="D1311" s="2" t="s">
        <v>9</v>
      </c>
      <c r="E1311" s="2" t="s">
        <v>19</v>
      </c>
      <c r="F1311" s="2">
        <v>8.709078891E9</v>
      </c>
    </row>
    <row r="1312" ht="15.75" customHeight="1">
      <c r="A1312" s="2" t="s">
        <v>1616</v>
      </c>
      <c r="B1312" s="2" t="s">
        <v>1552</v>
      </c>
      <c r="C1312" s="2" t="s">
        <v>305</v>
      </c>
      <c r="D1312" s="2" t="s">
        <v>9</v>
      </c>
      <c r="E1312" s="2" t="s">
        <v>19</v>
      </c>
      <c r="F1312" s="2">
        <v>6.200557528E9</v>
      </c>
    </row>
    <row r="1313" ht="15.75" customHeight="1">
      <c r="A1313" s="2" t="s">
        <v>1617</v>
      </c>
      <c r="B1313" s="2" t="s">
        <v>1618</v>
      </c>
      <c r="C1313" s="2" t="s">
        <v>1036</v>
      </c>
      <c r="D1313" s="2" t="s">
        <v>56</v>
      </c>
      <c r="E1313" s="2" t="s">
        <v>19</v>
      </c>
      <c r="F1313" s="2">
        <v>8.789319644E9</v>
      </c>
    </row>
    <row r="1314" ht="15.75" customHeight="1">
      <c r="A1314" s="2" t="s">
        <v>843</v>
      </c>
      <c r="B1314" s="2" t="s">
        <v>191</v>
      </c>
      <c r="C1314" s="2" t="s">
        <v>729</v>
      </c>
      <c r="D1314" s="2" t="s">
        <v>26</v>
      </c>
      <c r="E1314" s="2" t="s">
        <v>19</v>
      </c>
      <c r="F1314" s="2">
        <v>7.488258668E9</v>
      </c>
    </row>
    <row r="1315" ht="15.75" customHeight="1">
      <c r="A1315" s="2" t="s">
        <v>1578</v>
      </c>
      <c r="B1315" s="2" t="s">
        <v>75</v>
      </c>
      <c r="C1315" s="2" t="s">
        <v>34</v>
      </c>
      <c r="D1315" s="2" t="s">
        <v>56</v>
      </c>
      <c r="E1315" s="2" t="s">
        <v>23</v>
      </c>
      <c r="F1315" s="2">
        <v>9.431352652E9</v>
      </c>
    </row>
    <row r="1316" ht="15.75" customHeight="1">
      <c r="A1316" s="2" t="s">
        <v>1619</v>
      </c>
      <c r="B1316" s="2" t="s">
        <v>63</v>
      </c>
      <c r="C1316" s="2" t="s">
        <v>58</v>
      </c>
      <c r="D1316" s="2" t="s">
        <v>14</v>
      </c>
      <c r="E1316" s="2" t="s">
        <v>19</v>
      </c>
      <c r="F1316" s="2">
        <v>8.210648362E9</v>
      </c>
    </row>
    <row r="1317" ht="15.75" customHeight="1">
      <c r="A1317" s="2" t="s">
        <v>843</v>
      </c>
      <c r="B1317" s="2" t="s">
        <v>191</v>
      </c>
      <c r="C1317" s="2" t="s">
        <v>1588</v>
      </c>
      <c r="D1317" s="2" t="s">
        <v>26</v>
      </c>
      <c r="E1317" s="2" t="s">
        <v>19</v>
      </c>
      <c r="F1317" s="2">
        <v>6.201482758E9</v>
      </c>
    </row>
    <row r="1318" ht="15.75" customHeight="1">
      <c r="A1318" s="2" t="s">
        <v>1620</v>
      </c>
      <c r="B1318" s="2" t="s">
        <v>119</v>
      </c>
      <c r="C1318" s="2" t="s">
        <v>1621</v>
      </c>
      <c r="D1318" s="2" t="s">
        <v>26</v>
      </c>
      <c r="E1318" s="2" t="s">
        <v>19</v>
      </c>
      <c r="F1318" s="2">
        <v>9.934163303E9</v>
      </c>
    </row>
    <row r="1319" ht="15.75" customHeight="1">
      <c r="A1319" s="2" t="s">
        <v>1622</v>
      </c>
      <c r="B1319" s="2" t="s">
        <v>1172</v>
      </c>
      <c r="C1319" s="2" t="s">
        <v>729</v>
      </c>
      <c r="D1319" s="2" t="s">
        <v>56</v>
      </c>
      <c r="E1319" s="2" t="s">
        <v>23</v>
      </c>
      <c r="F1319" s="2">
        <v>7.667575998E9</v>
      </c>
    </row>
    <row r="1320" ht="15.75" customHeight="1">
      <c r="A1320" s="2" t="s">
        <v>1623</v>
      </c>
      <c r="B1320" s="2" t="s">
        <v>50</v>
      </c>
      <c r="C1320" s="2" t="s">
        <v>343</v>
      </c>
      <c r="D1320" s="2" t="s">
        <v>9</v>
      </c>
      <c r="E1320" s="2" t="s">
        <v>19</v>
      </c>
      <c r="F1320" s="2">
        <v>6.20936118E9</v>
      </c>
    </row>
    <row r="1321" ht="15.75" customHeight="1">
      <c r="A1321" s="2" t="s">
        <v>1624</v>
      </c>
      <c r="B1321" s="2" t="s">
        <v>108</v>
      </c>
      <c r="C1321" s="2" t="s">
        <v>360</v>
      </c>
      <c r="D1321" s="2" t="s">
        <v>26</v>
      </c>
      <c r="E1321" s="2" t="s">
        <v>19</v>
      </c>
      <c r="F1321" s="2">
        <v>8.210105023E9</v>
      </c>
    </row>
    <row r="1322" ht="15.75" customHeight="1">
      <c r="A1322" s="2" t="s">
        <v>1625</v>
      </c>
      <c r="B1322" s="2" t="s">
        <v>1626</v>
      </c>
      <c r="C1322" s="2" t="s">
        <v>360</v>
      </c>
      <c r="D1322" s="2" t="s">
        <v>56</v>
      </c>
      <c r="E1322" s="2" t="s">
        <v>19</v>
      </c>
      <c r="F1322" s="2">
        <v>9.7092252E9</v>
      </c>
    </row>
    <row r="1323" ht="15.75" customHeight="1">
      <c r="A1323" s="2" t="s">
        <v>1481</v>
      </c>
      <c r="B1323" s="2" t="s">
        <v>21</v>
      </c>
      <c r="C1323" s="2" t="s">
        <v>58</v>
      </c>
      <c r="D1323" s="2" t="s">
        <v>14</v>
      </c>
      <c r="E1323" s="2" t="s">
        <v>19</v>
      </c>
      <c r="F1323" s="2">
        <v>9.431594932E9</v>
      </c>
    </row>
    <row r="1324" ht="15.75" customHeight="1">
      <c r="A1324" s="2" t="s">
        <v>1463</v>
      </c>
      <c r="B1324" s="2" t="s">
        <v>1452</v>
      </c>
      <c r="C1324" s="2" t="s">
        <v>1627</v>
      </c>
      <c r="D1324" s="2" t="s">
        <v>56</v>
      </c>
      <c r="E1324" s="2" t="s">
        <v>19</v>
      </c>
      <c r="F1324" s="2">
        <v>9.955959104E9</v>
      </c>
    </row>
    <row r="1325" ht="15.75" customHeight="1">
      <c r="A1325" s="2" t="s">
        <v>496</v>
      </c>
      <c r="B1325" s="2" t="s">
        <v>1628</v>
      </c>
      <c r="C1325" s="2" t="s">
        <v>729</v>
      </c>
      <c r="D1325" s="2" t="s">
        <v>29</v>
      </c>
      <c r="E1325" s="2" t="s">
        <v>19</v>
      </c>
      <c r="F1325" s="2">
        <v>9.334078999E9</v>
      </c>
    </row>
    <row r="1326" ht="15.75" customHeight="1">
      <c r="A1326" s="2" t="s">
        <v>565</v>
      </c>
      <c r="B1326" s="2" t="s">
        <v>862</v>
      </c>
      <c r="C1326" s="2" t="s">
        <v>1567</v>
      </c>
      <c r="D1326" s="2" t="s">
        <v>26</v>
      </c>
      <c r="E1326" s="2" t="s">
        <v>23</v>
      </c>
      <c r="F1326" s="2">
        <v>6.204756996E9</v>
      </c>
    </row>
    <row r="1327" ht="15.75" customHeight="1">
      <c r="A1327" s="2" t="s">
        <v>1629</v>
      </c>
      <c r="B1327" s="2" t="s">
        <v>1630</v>
      </c>
      <c r="C1327" s="2" t="s">
        <v>729</v>
      </c>
      <c r="D1327" s="2" t="s">
        <v>56</v>
      </c>
      <c r="E1327" s="2" t="s">
        <v>19</v>
      </c>
      <c r="F1327" s="2">
        <v>7.320818666E9</v>
      </c>
    </row>
    <row r="1328" ht="15.75" customHeight="1">
      <c r="A1328" s="2" t="s">
        <v>1631</v>
      </c>
      <c r="B1328" s="2" t="s">
        <v>63</v>
      </c>
      <c r="C1328" s="2" t="s">
        <v>58</v>
      </c>
      <c r="D1328" s="2" t="s">
        <v>14</v>
      </c>
      <c r="E1328" s="2" t="s">
        <v>19</v>
      </c>
      <c r="F1328" s="2">
        <v>9.431594932E9</v>
      </c>
    </row>
    <row r="1329" ht="15.75" customHeight="1">
      <c r="A1329" s="2" t="s">
        <v>146</v>
      </c>
      <c r="B1329" s="2" t="s">
        <v>63</v>
      </c>
      <c r="C1329" s="2" t="s">
        <v>655</v>
      </c>
      <c r="D1329" s="2" t="s">
        <v>26</v>
      </c>
      <c r="E1329" s="2" t="s">
        <v>19</v>
      </c>
      <c r="F1329" s="2">
        <v>8.092162894E9</v>
      </c>
    </row>
    <row r="1330" ht="15.75" customHeight="1">
      <c r="A1330" s="2" t="s">
        <v>1632</v>
      </c>
      <c r="B1330" s="2" t="s">
        <v>1633</v>
      </c>
      <c r="C1330" s="2" t="s">
        <v>690</v>
      </c>
      <c r="D1330" s="2" t="s">
        <v>44</v>
      </c>
      <c r="E1330" s="2" t="s">
        <v>19</v>
      </c>
      <c r="F1330" s="2">
        <v>8.210854118E9</v>
      </c>
    </row>
    <row r="1331" ht="15.75" customHeight="1">
      <c r="A1331" s="2" t="s">
        <v>1634</v>
      </c>
      <c r="B1331" s="2" t="s">
        <v>520</v>
      </c>
      <c r="C1331" s="2" t="s">
        <v>360</v>
      </c>
      <c r="D1331" s="2" t="s">
        <v>56</v>
      </c>
      <c r="E1331" s="2" t="s">
        <v>19</v>
      </c>
      <c r="F1331" s="2">
        <v>9.304902204E9</v>
      </c>
    </row>
    <row r="1332" ht="15.75" customHeight="1">
      <c r="A1332" s="2" t="s">
        <v>1623</v>
      </c>
      <c r="B1332" s="2" t="s">
        <v>50</v>
      </c>
      <c r="C1332" s="2" t="s">
        <v>627</v>
      </c>
      <c r="D1332" s="2" t="s">
        <v>14</v>
      </c>
      <c r="E1332" s="2" t="s">
        <v>19</v>
      </c>
      <c r="F1332" s="2">
        <v>9.386320316E9</v>
      </c>
    </row>
    <row r="1333" ht="15.75" customHeight="1">
      <c r="A1333" s="2" t="s">
        <v>376</v>
      </c>
      <c r="B1333" s="2" t="s">
        <v>55</v>
      </c>
      <c r="C1333" s="2" t="s">
        <v>1004</v>
      </c>
      <c r="D1333" s="2" t="s">
        <v>56</v>
      </c>
      <c r="E1333" s="2" t="s">
        <v>23</v>
      </c>
      <c r="F1333" s="2">
        <v>9.10249668E9</v>
      </c>
    </row>
    <row r="1334" ht="15.75" customHeight="1">
      <c r="A1334" s="2" t="s">
        <v>843</v>
      </c>
      <c r="B1334" s="2" t="s">
        <v>1635</v>
      </c>
      <c r="C1334" s="2" t="s">
        <v>252</v>
      </c>
      <c r="D1334" s="2" t="s">
        <v>102</v>
      </c>
      <c r="E1334" s="2" t="s">
        <v>19</v>
      </c>
      <c r="F1334" s="2">
        <v>9.122620272E9</v>
      </c>
    </row>
    <row r="1335" ht="15.75" customHeight="1">
      <c r="A1335" s="2" t="s">
        <v>1636</v>
      </c>
      <c r="B1335" s="2" t="s">
        <v>63</v>
      </c>
      <c r="C1335" s="2" t="s">
        <v>1637</v>
      </c>
      <c r="D1335" s="2" t="s">
        <v>56</v>
      </c>
      <c r="E1335" s="2" t="s">
        <v>19</v>
      </c>
      <c r="F1335" s="2">
        <v>9.79831009E9</v>
      </c>
    </row>
    <row r="1336" ht="15.75" customHeight="1">
      <c r="A1336" s="2" t="s">
        <v>1638</v>
      </c>
      <c r="B1336" s="2" t="s">
        <v>21</v>
      </c>
      <c r="C1336" s="2" t="s">
        <v>58</v>
      </c>
      <c r="D1336" s="2" t="s">
        <v>44</v>
      </c>
      <c r="E1336" s="2" t="s">
        <v>19</v>
      </c>
      <c r="F1336" s="2">
        <v>8.409443867E9</v>
      </c>
    </row>
    <row r="1337" ht="15.75" customHeight="1">
      <c r="A1337" s="2" t="s">
        <v>774</v>
      </c>
      <c r="B1337" s="2" t="s">
        <v>1630</v>
      </c>
      <c r="C1337" s="2" t="s">
        <v>200</v>
      </c>
      <c r="D1337" s="2" t="s">
        <v>26</v>
      </c>
      <c r="E1337" s="2" t="s">
        <v>19</v>
      </c>
      <c r="F1337" s="2">
        <v>9.438113583E9</v>
      </c>
    </row>
    <row r="1338" ht="15.75" customHeight="1">
      <c r="A1338" s="2" t="s">
        <v>111</v>
      </c>
      <c r="B1338" s="2" t="s">
        <v>63</v>
      </c>
      <c r="C1338" s="2" t="s">
        <v>1420</v>
      </c>
      <c r="D1338" s="2" t="s">
        <v>14</v>
      </c>
      <c r="E1338" s="2" t="s">
        <v>19</v>
      </c>
      <c r="F1338" s="2">
        <v>9.835835749E9</v>
      </c>
    </row>
    <row r="1339" ht="15.75" customHeight="1">
      <c r="A1339" s="2" t="s">
        <v>96</v>
      </c>
      <c r="B1339" s="2" t="s">
        <v>50</v>
      </c>
      <c r="C1339" s="2" t="s">
        <v>360</v>
      </c>
      <c r="D1339" s="2" t="s">
        <v>44</v>
      </c>
      <c r="E1339" s="2" t="s">
        <v>19</v>
      </c>
      <c r="F1339" s="2">
        <v>9.431371051E9</v>
      </c>
    </row>
    <row r="1340" ht="15.75" customHeight="1">
      <c r="A1340" s="2" t="s">
        <v>1639</v>
      </c>
      <c r="B1340" s="2" t="s">
        <v>212</v>
      </c>
      <c r="C1340" s="2" t="s">
        <v>1004</v>
      </c>
      <c r="D1340" s="2" t="s">
        <v>9</v>
      </c>
      <c r="E1340" s="2" t="s">
        <v>23</v>
      </c>
      <c r="F1340" s="2">
        <v>7.319931006E9</v>
      </c>
    </row>
    <row r="1341" ht="15.75" customHeight="1">
      <c r="A1341" s="2" t="s">
        <v>1640</v>
      </c>
      <c r="B1341" s="2" t="s">
        <v>664</v>
      </c>
      <c r="C1341" s="2" t="s">
        <v>1504</v>
      </c>
      <c r="D1341" s="2" t="s">
        <v>44</v>
      </c>
      <c r="E1341" s="2" t="s">
        <v>19</v>
      </c>
      <c r="F1341" s="2">
        <v>9.546258933E9</v>
      </c>
    </row>
    <row r="1342" ht="15.75" customHeight="1">
      <c r="A1342" s="2" t="s">
        <v>1641</v>
      </c>
      <c r="B1342" s="2" t="s">
        <v>119</v>
      </c>
      <c r="C1342" s="2" t="s">
        <v>763</v>
      </c>
      <c r="D1342" s="2" t="s">
        <v>26</v>
      </c>
      <c r="E1342" s="2" t="s">
        <v>19</v>
      </c>
      <c r="F1342" s="2">
        <v>9.470017416E9</v>
      </c>
    </row>
    <row r="1343" ht="15.75" customHeight="1">
      <c r="A1343" s="2" t="s">
        <v>843</v>
      </c>
      <c r="B1343" s="2" t="s">
        <v>843</v>
      </c>
      <c r="C1343" s="2" t="s">
        <v>133</v>
      </c>
      <c r="D1343" s="2" t="s">
        <v>9</v>
      </c>
      <c r="E1343" s="2" t="s">
        <v>19</v>
      </c>
      <c r="F1343" s="2">
        <v>6.720539893E9</v>
      </c>
    </row>
    <row r="1344" ht="15.75" customHeight="1">
      <c r="A1344" s="2" t="s">
        <v>111</v>
      </c>
      <c r="B1344" s="2" t="s">
        <v>63</v>
      </c>
      <c r="C1344" s="2" t="s">
        <v>1036</v>
      </c>
      <c r="D1344" s="2" t="s">
        <v>56</v>
      </c>
      <c r="E1344" s="2" t="s">
        <v>19</v>
      </c>
      <c r="F1344" s="2">
        <v>8.877274894E9</v>
      </c>
    </row>
    <row r="1345" ht="15.75" customHeight="1">
      <c r="A1345" s="2" t="s">
        <v>1406</v>
      </c>
      <c r="B1345" s="2" t="s">
        <v>108</v>
      </c>
      <c r="C1345" s="2" t="s">
        <v>360</v>
      </c>
      <c r="D1345" s="2" t="s">
        <v>26</v>
      </c>
      <c r="E1345" s="2" t="s">
        <v>19</v>
      </c>
      <c r="F1345" s="2">
        <v>9.835558431E9</v>
      </c>
    </row>
    <row r="1346" ht="15.75" customHeight="1">
      <c r="A1346" s="2" t="s">
        <v>365</v>
      </c>
      <c r="B1346" s="2" t="s">
        <v>50</v>
      </c>
      <c r="C1346" s="2" t="s">
        <v>34</v>
      </c>
      <c r="D1346" s="2" t="s">
        <v>44</v>
      </c>
      <c r="E1346" s="2" t="s">
        <v>23</v>
      </c>
      <c r="F1346" s="2">
        <v>6.202235463E9</v>
      </c>
    </row>
    <row r="1347" ht="15.75" customHeight="1">
      <c r="A1347" s="2" t="s">
        <v>1642</v>
      </c>
      <c r="B1347" s="2" t="s">
        <v>1643</v>
      </c>
      <c r="C1347" s="2" t="s">
        <v>1644</v>
      </c>
      <c r="D1347" s="2" t="s">
        <v>9</v>
      </c>
      <c r="E1347" s="2" t="s">
        <v>282</v>
      </c>
      <c r="F1347" s="2">
        <v>9.586025951E9</v>
      </c>
    </row>
    <row r="1348" ht="15.75" customHeight="1">
      <c r="A1348" s="2" t="s">
        <v>111</v>
      </c>
      <c r="B1348" s="2" t="s">
        <v>440</v>
      </c>
      <c r="C1348" s="2" t="s">
        <v>1016</v>
      </c>
      <c r="D1348" s="2" t="s">
        <v>26</v>
      </c>
      <c r="E1348" s="2" t="s">
        <v>19</v>
      </c>
      <c r="F1348" s="2">
        <v>9.508794593E9</v>
      </c>
    </row>
    <row r="1349" ht="15.75" customHeight="1">
      <c r="A1349" s="2" t="s">
        <v>1645</v>
      </c>
      <c r="B1349" s="2" t="s">
        <v>63</v>
      </c>
      <c r="C1349" s="2" t="s">
        <v>453</v>
      </c>
      <c r="D1349" s="2" t="s">
        <v>26</v>
      </c>
      <c r="E1349" s="2" t="s">
        <v>19</v>
      </c>
      <c r="F1349" s="2">
        <v>7.979853286E9</v>
      </c>
    </row>
    <row r="1350" ht="15.75" customHeight="1">
      <c r="A1350" s="2" t="s">
        <v>1234</v>
      </c>
      <c r="B1350" s="2" t="s">
        <v>1646</v>
      </c>
      <c r="C1350" s="2" t="s">
        <v>310</v>
      </c>
      <c r="D1350" s="2" t="s">
        <v>56</v>
      </c>
      <c r="E1350" s="2" t="s">
        <v>19</v>
      </c>
      <c r="F1350" s="2">
        <v>9.123273124E9</v>
      </c>
    </row>
    <row r="1351" ht="15.75" customHeight="1">
      <c r="A1351" s="2" t="s">
        <v>1647</v>
      </c>
      <c r="B1351" s="2" t="s">
        <v>1648</v>
      </c>
      <c r="C1351" s="2" t="s">
        <v>1649</v>
      </c>
      <c r="D1351" s="2" t="s">
        <v>26</v>
      </c>
      <c r="E1351" s="2" t="s">
        <v>19</v>
      </c>
      <c r="F1351" s="2">
        <v>7.561958877E9</v>
      </c>
    </row>
    <row r="1352" ht="15.75" customHeight="1">
      <c r="A1352" s="2" t="s">
        <v>1273</v>
      </c>
      <c r="B1352" s="2" t="s">
        <v>1650</v>
      </c>
      <c r="C1352" s="2" t="s">
        <v>34</v>
      </c>
      <c r="D1352" s="2" t="s">
        <v>44</v>
      </c>
      <c r="E1352" s="2" t="s">
        <v>23</v>
      </c>
      <c r="F1352" s="2">
        <v>6.204718107E9</v>
      </c>
    </row>
    <row r="1353" ht="15.75" customHeight="1">
      <c r="A1353" s="2" t="s">
        <v>1651</v>
      </c>
      <c r="B1353" s="2" t="s">
        <v>1652</v>
      </c>
      <c r="C1353" s="2" t="s">
        <v>1653</v>
      </c>
      <c r="D1353" s="2" t="s">
        <v>14</v>
      </c>
      <c r="E1353" s="2" t="s">
        <v>19</v>
      </c>
      <c r="F1353" s="2">
        <v>9.000680166E9</v>
      </c>
    </row>
    <row r="1354" ht="15.75" customHeight="1">
      <c r="A1354" s="2" t="s">
        <v>1654</v>
      </c>
      <c r="B1354" s="2" t="s">
        <v>50</v>
      </c>
      <c r="C1354" s="2" t="s">
        <v>360</v>
      </c>
      <c r="D1354" s="2" t="s">
        <v>26</v>
      </c>
      <c r="E1354" s="2" t="s">
        <v>19</v>
      </c>
      <c r="F1354" s="2">
        <v>8.757686868E9</v>
      </c>
    </row>
    <row r="1355" ht="15.75" customHeight="1">
      <c r="A1355" s="2" t="s">
        <v>1655</v>
      </c>
      <c r="B1355" s="2" t="s">
        <v>1656</v>
      </c>
      <c r="C1355" s="2" t="s">
        <v>1657</v>
      </c>
      <c r="D1355" s="2" t="s">
        <v>14</v>
      </c>
      <c r="E1355" s="2" t="s">
        <v>282</v>
      </c>
      <c r="F1355" s="2">
        <v>9.824978891E9</v>
      </c>
    </row>
    <row r="1356" ht="15.75" customHeight="1">
      <c r="A1356" s="2" t="s">
        <v>1092</v>
      </c>
      <c r="B1356" s="2" t="s">
        <v>1658</v>
      </c>
      <c r="C1356" s="2" t="s">
        <v>1004</v>
      </c>
      <c r="D1356" s="2" t="s">
        <v>56</v>
      </c>
      <c r="E1356" s="2" t="s">
        <v>19</v>
      </c>
      <c r="F1356" s="2">
        <v>7.644055237E9</v>
      </c>
    </row>
    <row r="1357" ht="15.75" customHeight="1">
      <c r="A1357" s="2" t="s">
        <v>1659</v>
      </c>
      <c r="B1357" s="2" t="s">
        <v>65</v>
      </c>
      <c r="C1357" s="2" t="s">
        <v>58</v>
      </c>
      <c r="D1357" s="2" t="s">
        <v>56</v>
      </c>
      <c r="E1357" s="2" t="s">
        <v>19</v>
      </c>
      <c r="F1357" s="2">
        <v>8.210413411E9</v>
      </c>
    </row>
    <row r="1358" ht="15.75" customHeight="1">
      <c r="A1358" s="2" t="s">
        <v>1660</v>
      </c>
      <c r="B1358" s="2" t="s">
        <v>47</v>
      </c>
      <c r="C1358" s="2" t="s">
        <v>510</v>
      </c>
      <c r="D1358" s="2" t="s">
        <v>56</v>
      </c>
      <c r="E1358" s="2" t="s">
        <v>19</v>
      </c>
      <c r="F1358" s="2">
        <v>7.667269467E9</v>
      </c>
    </row>
    <row r="1359" ht="15.75" customHeight="1">
      <c r="A1359" s="2" t="s">
        <v>234</v>
      </c>
      <c r="B1359" s="2" t="s">
        <v>50</v>
      </c>
      <c r="C1359" s="2" t="s">
        <v>34</v>
      </c>
      <c r="D1359" s="2" t="s">
        <v>56</v>
      </c>
      <c r="E1359" s="2" t="s">
        <v>23</v>
      </c>
      <c r="F1359" s="2">
        <v>9.430318107E9</v>
      </c>
    </row>
    <row r="1360" ht="15.75" customHeight="1">
      <c r="A1360" s="2" t="s">
        <v>1661</v>
      </c>
      <c r="B1360" s="2" t="s">
        <v>88</v>
      </c>
      <c r="C1360" s="2" t="s">
        <v>1588</v>
      </c>
      <c r="D1360" s="2" t="s">
        <v>26</v>
      </c>
      <c r="E1360" s="2" t="s">
        <v>19</v>
      </c>
      <c r="F1360" s="2">
        <v>8.029173265E9</v>
      </c>
    </row>
    <row r="1361" ht="15.75" customHeight="1">
      <c r="A1361" s="2" t="s">
        <v>1662</v>
      </c>
      <c r="B1361" s="2" t="s">
        <v>1663</v>
      </c>
      <c r="C1361" s="2" t="s">
        <v>228</v>
      </c>
      <c r="D1361" s="2" t="s">
        <v>26</v>
      </c>
      <c r="E1361" s="2" t="s">
        <v>19</v>
      </c>
      <c r="F1361" s="2">
        <v>8.809426526E9</v>
      </c>
    </row>
    <row r="1362" ht="15.75" customHeight="1">
      <c r="A1362" s="2" t="s">
        <v>1664</v>
      </c>
      <c r="B1362" s="2" t="s">
        <v>308</v>
      </c>
      <c r="C1362" s="2" t="s">
        <v>58</v>
      </c>
      <c r="D1362" s="2" t="s">
        <v>44</v>
      </c>
      <c r="E1362" s="2" t="s">
        <v>19</v>
      </c>
      <c r="F1362" s="2">
        <v>6.200030974E9</v>
      </c>
    </row>
    <row r="1363" ht="15.75" customHeight="1">
      <c r="A1363" s="2" t="s">
        <v>1660</v>
      </c>
      <c r="B1363" s="2" t="s">
        <v>63</v>
      </c>
      <c r="C1363" s="2" t="s">
        <v>1665</v>
      </c>
      <c r="D1363" s="2" t="s">
        <v>14</v>
      </c>
      <c r="E1363" s="2" t="s">
        <v>19</v>
      </c>
      <c r="F1363" s="2">
        <v>9.098283752E9</v>
      </c>
    </row>
    <row r="1364" ht="15.75" customHeight="1">
      <c r="A1364" s="2" t="s">
        <v>96</v>
      </c>
      <c r="B1364" s="2" t="s">
        <v>606</v>
      </c>
      <c r="C1364" s="2" t="s">
        <v>360</v>
      </c>
      <c r="D1364" s="2" t="s">
        <v>9</v>
      </c>
      <c r="E1364" s="2" t="s">
        <v>19</v>
      </c>
      <c r="F1364" s="2">
        <v>6.204202146E9</v>
      </c>
    </row>
    <row r="1365" ht="15.75" customHeight="1">
      <c r="A1365" s="2" t="s">
        <v>1666</v>
      </c>
      <c r="B1365" s="2" t="s">
        <v>78</v>
      </c>
      <c r="C1365" s="2" t="s">
        <v>592</v>
      </c>
      <c r="D1365" s="2" t="s">
        <v>26</v>
      </c>
      <c r="E1365" s="2" t="s">
        <v>19</v>
      </c>
      <c r="F1365" s="2">
        <v>6.219241962E9</v>
      </c>
    </row>
    <row r="1366" ht="15.75" customHeight="1">
      <c r="A1366" s="2" t="s">
        <v>1667</v>
      </c>
      <c r="B1366" s="2" t="s">
        <v>88</v>
      </c>
      <c r="C1366" s="2" t="s">
        <v>310</v>
      </c>
      <c r="D1366" s="2" t="s">
        <v>26</v>
      </c>
      <c r="E1366" s="2" t="s">
        <v>23</v>
      </c>
      <c r="F1366" s="2">
        <v>8.50304913E9</v>
      </c>
    </row>
    <row r="1367" ht="15.75" customHeight="1">
      <c r="A1367" s="2" t="s">
        <v>1668</v>
      </c>
      <c r="B1367" s="2" t="s">
        <v>52</v>
      </c>
      <c r="C1367" s="2" t="s">
        <v>230</v>
      </c>
      <c r="D1367" s="2" t="s">
        <v>9</v>
      </c>
      <c r="E1367" s="2" t="s">
        <v>19</v>
      </c>
      <c r="F1367" s="2">
        <v>9.11320064E10</v>
      </c>
    </row>
    <row r="1368" ht="15.75" customHeight="1">
      <c r="A1368" s="2" t="s">
        <v>683</v>
      </c>
      <c r="B1368" s="2" t="s">
        <v>382</v>
      </c>
      <c r="C1368" s="2" t="s">
        <v>230</v>
      </c>
      <c r="D1368" s="2" t="s">
        <v>14</v>
      </c>
      <c r="E1368" s="2" t="s">
        <v>19</v>
      </c>
      <c r="F1368" s="2">
        <v>7.991150222E9</v>
      </c>
    </row>
    <row r="1369" ht="15.75" customHeight="1">
      <c r="A1369" s="2" t="s">
        <v>381</v>
      </c>
      <c r="B1369" s="2" t="s">
        <v>1669</v>
      </c>
      <c r="C1369" s="2" t="s">
        <v>106</v>
      </c>
      <c r="D1369" s="2" t="s">
        <v>56</v>
      </c>
      <c r="E1369" s="2" t="s">
        <v>19</v>
      </c>
      <c r="F1369" s="2">
        <v>9.973936653E9</v>
      </c>
    </row>
    <row r="1370" ht="15.75" customHeight="1">
      <c r="A1370" s="2" t="s">
        <v>381</v>
      </c>
      <c r="B1370" s="2" t="s">
        <v>50</v>
      </c>
      <c r="C1370" s="2" t="s">
        <v>58</v>
      </c>
      <c r="D1370" s="2" t="s">
        <v>26</v>
      </c>
      <c r="E1370" s="2" t="s">
        <v>19</v>
      </c>
      <c r="F1370" s="2">
        <v>7.488892937E9</v>
      </c>
    </row>
    <row r="1371" ht="15.75" customHeight="1">
      <c r="A1371" s="2" t="s">
        <v>1660</v>
      </c>
      <c r="B1371" s="2" t="s">
        <v>440</v>
      </c>
      <c r="C1371" s="2" t="s">
        <v>763</v>
      </c>
      <c r="D1371" s="2" t="s">
        <v>56</v>
      </c>
      <c r="E1371" s="2" t="s">
        <v>19</v>
      </c>
      <c r="F1371" s="2">
        <v>9.693776654E9</v>
      </c>
    </row>
    <row r="1372" ht="15.75" customHeight="1">
      <c r="A1372" s="2" t="s">
        <v>1213</v>
      </c>
      <c r="B1372" s="2" t="s">
        <v>1670</v>
      </c>
      <c r="C1372" s="2" t="s">
        <v>230</v>
      </c>
      <c r="D1372" s="2" t="s">
        <v>29</v>
      </c>
      <c r="E1372" s="2" t="s">
        <v>19</v>
      </c>
      <c r="F1372" s="2">
        <v>9.304188057E9</v>
      </c>
    </row>
    <row r="1373" ht="15.75" customHeight="1">
      <c r="A1373" s="2" t="s">
        <v>1492</v>
      </c>
      <c r="B1373" s="2" t="s">
        <v>63</v>
      </c>
      <c r="C1373" s="2" t="s">
        <v>61</v>
      </c>
      <c r="D1373" s="2" t="s">
        <v>9</v>
      </c>
      <c r="E1373" s="2" t="s">
        <v>19</v>
      </c>
      <c r="F1373" s="2">
        <v>9.891998998E9</v>
      </c>
    </row>
    <row r="1374" ht="15.75" customHeight="1">
      <c r="A1374" s="2" t="s">
        <v>1368</v>
      </c>
      <c r="B1374" s="2" t="s">
        <v>88</v>
      </c>
      <c r="C1374" s="2" t="s">
        <v>252</v>
      </c>
      <c r="D1374" s="2" t="s">
        <v>56</v>
      </c>
      <c r="E1374" s="2" t="s">
        <v>19</v>
      </c>
      <c r="F1374" s="2">
        <v>9.958380903E9</v>
      </c>
    </row>
    <row r="1375" ht="15.75" customHeight="1">
      <c r="A1375" s="2" t="s">
        <v>127</v>
      </c>
      <c r="B1375" s="2" t="s">
        <v>212</v>
      </c>
      <c r="C1375" s="2" t="s">
        <v>58</v>
      </c>
      <c r="D1375" s="2" t="s">
        <v>26</v>
      </c>
      <c r="E1375" s="2" t="s">
        <v>23</v>
      </c>
      <c r="F1375" s="2">
        <v>7.992449364E9</v>
      </c>
    </row>
    <row r="1376" ht="15.75" customHeight="1">
      <c r="A1376" s="2" t="s">
        <v>1671</v>
      </c>
      <c r="B1376" s="2" t="s">
        <v>50</v>
      </c>
      <c r="C1376" s="2" t="s">
        <v>360</v>
      </c>
      <c r="D1376" s="2" t="s">
        <v>44</v>
      </c>
      <c r="E1376" s="2" t="s">
        <v>19</v>
      </c>
      <c r="F1376" s="2">
        <v>7.050551105E9</v>
      </c>
    </row>
    <row r="1377" ht="15.75" customHeight="1">
      <c r="A1377" s="2" t="s">
        <v>525</v>
      </c>
      <c r="B1377" s="2" t="s">
        <v>50</v>
      </c>
      <c r="C1377" s="2" t="s">
        <v>34</v>
      </c>
      <c r="D1377" s="2" t="s">
        <v>44</v>
      </c>
      <c r="E1377" s="2" t="s">
        <v>23</v>
      </c>
      <c r="F1377" s="2">
        <v>7.482336756E9</v>
      </c>
    </row>
    <row r="1378" ht="15.75" customHeight="1">
      <c r="A1378" s="2" t="s">
        <v>1660</v>
      </c>
      <c r="B1378" s="2" t="s">
        <v>1672</v>
      </c>
      <c r="C1378" s="2" t="s">
        <v>1024</v>
      </c>
      <c r="D1378" s="2" t="s">
        <v>44</v>
      </c>
      <c r="E1378" s="2" t="s">
        <v>19</v>
      </c>
      <c r="F1378" s="2">
        <v>8.10272079E9</v>
      </c>
    </row>
    <row r="1379" ht="15.75" customHeight="1">
      <c r="A1379" s="2" t="s">
        <v>331</v>
      </c>
      <c r="B1379" s="2" t="s">
        <v>212</v>
      </c>
      <c r="C1379" s="2" t="s">
        <v>576</v>
      </c>
      <c r="D1379" s="2" t="s">
        <v>26</v>
      </c>
      <c r="E1379" s="2" t="s">
        <v>19</v>
      </c>
      <c r="F1379" s="2">
        <v>8.0925234E9</v>
      </c>
    </row>
    <row r="1380" ht="15.75" customHeight="1">
      <c r="A1380" s="2" t="s">
        <v>1673</v>
      </c>
      <c r="B1380" s="2" t="s">
        <v>1674</v>
      </c>
      <c r="C1380" s="2" t="s">
        <v>200</v>
      </c>
      <c r="D1380" s="2" t="s">
        <v>26</v>
      </c>
      <c r="E1380" s="2" t="s">
        <v>19</v>
      </c>
      <c r="F1380" s="2">
        <v>8.789578808E9</v>
      </c>
    </row>
    <row r="1381" ht="15.75" customHeight="1">
      <c r="A1381" s="2" t="s">
        <v>1675</v>
      </c>
      <c r="B1381" s="2" t="s">
        <v>257</v>
      </c>
      <c r="C1381" s="2" t="s">
        <v>1004</v>
      </c>
      <c r="D1381" s="2" t="s">
        <v>56</v>
      </c>
      <c r="E1381" s="2" t="s">
        <v>19</v>
      </c>
      <c r="F1381" s="2">
        <v>9.113150569E9</v>
      </c>
    </row>
    <row r="1382" ht="15.75" customHeight="1">
      <c r="A1382" s="2" t="s">
        <v>1676</v>
      </c>
      <c r="B1382" s="2" t="s">
        <v>1677</v>
      </c>
      <c r="C1382" s="2" t="s">
        <v>763</v>
      </c>
      <c r="D1382" s="2" t="s">
        <v>14</v>
      </c>
      <c r="E1382" s="2" t="s">
        <v>19</v>
      </c>
      <c r="F1382" s="2">
        <v>9.142968388E9</v>
      </c>
    </row>
    <row r="1383" ht="15.75" customHeight="1">
      <c r="A1383" s="2" t="s">
        <v>123</v>
      </c>
      <c r="B1383" s="2" t="s">
        <v>1674</v>
      </c>
      <c r="C1383" s="2" t="s">
        <v>200</v>
      </c>
      <c r="D1383" s="2" t="s">
        <v>26</v>
      </c>
      <c r="E1383" s="2" t="s">
        <v>19</v>
      </c>
      <c r="F1383" s="2">
        <v>7.004365852E9</v>
      </c>
    </row>
    <row r="1384" ht="15.75" customHeight="1">
      <c r="A1384" s="2" t="s">
        <v>1045</v>
      </c>
      <c r="B1384" s="2" t="s">
        <v>21</v>
      </c>
      <c r="C1384" s="2" t="s">
        <v>58</v>
      </c>
      <c r="D1384" s="2" t="s">
        <v>44</v>
      </c>
      <c r="E1384" s="2" t="s">
        <v>19</v>
      </c>
      <c r="F1384" s="2">
        <v>7.766862206E9</v>
      </c>
    </row>
    <row r="1385" ht="15.75" customHeight="1">
      <c r="A1385" s="2" t="s">
        <v>331</v>
      </c>
      <c r="B1385" s="2" t="s">
        <v>212</v>
      </c>
      <c r="C1385" s="2" t="s">
        <v>133</v>
      </c>
      <c r="D1385" s="2" t="s">
        <v>26</v>
      </c>
      <c r="E1385" s="2" t="s">
        <v>19</v>
      </c>
      <c r="F1385" s="2">
        <v>6.700299058E9</v>
      </c>
    </row>
    <row r="1386" ht="15.75" customHeight="1">
      <c r="A1386" s="2" t="s">
        <v>1678</v>
      </c>
      <c r="B1386" s="2" t="s">
        <v>119</v>
      </c>
      <c r="C1386" s="2" t="s">
        <v>592</v>
      </c>
      <c r="D1386" s="2" t="s">
        <v>26</v>
      </c>
      <c r="E1386" s="2" t="s">
        <v>19</v>
      </c>
      <c r="F1386" s="2">
        <v>7.051555125E9</v>
      </c>
    </row>
    <row r="1387" ht="15.75" customHeight="1">
      <c r="A1387" s="2" t="s">
        <v>1679</v>
      </c>
      <c r="B1387" s="2" t="s">
        <v>88</v>
      </c>
      <c r="C1387" s="2" t="s">
        <v>1680</v>
      </c>
      <c r="D1387" s="2" t="s">
        <v>26</v>
      </c>
      <c r="E1387" s="2" t="s">
        <v>23</v>
      </c>
      <c r="F1387" s="2">
        <v>7.761030602E9</v>
      </c>
    </row>
    <row r="1388" ht="15.75" customHeight="1">
      <c r="A1388" s="2" t="s">
        <v>1681</v>
      </c>
      <c r="B1388" s="2" t="s">
        <v>75</v>
      </c>
      <c r="C1388" s="2" t="s">
        <v>228</v>
      </c>
      <c r="D1388" s="2" t="s">
        <v>56</v>
      </c>
      <c r="E1388" s="2" t="s">
        <v>19</v>
      </c>
      <c r="F1388" s="2">
        <v>8.96940046E9</v>
      </c>
    </row>
    <row r="1389" ht="15.75" customHeight="1">
      <c r="A1389" s="2" t="s">
        <v>1682</v>
      </c>
      <c r="B1389" s="2" t="s">
        <v>88</v>
      </c>
      <c r="C1389" s="2" t="s">
        <v>230</v>
      </c>
      <c r="D1389" s="2" t="s">
        <v>9</v>
      </c>
      <c r="E1389" s="2" t="s">
        <v>19</v>
      </c>
      <c r="F1389" s="2">
        <v>7.280844561E9</v>
      </c>
    </row>
    <row r="1390" ht="15.75" customHeight="1">
      <c r="A1390" s="2" t="s">
        <v>1683</v>
      </c>
      <c r="B1390" s="2" t="s">
        <v>50</v>
      </c>
      <c r="C1390" s="2" t="s">
        <v>58</v>
      </c>
      <c r="D1390" s="2" t="s">
        <v>26</v>
      </c>
      <c r="E1390" s="2" t="s">
        <v>19</v>
      </c>
      <c r="F1390" s="2">
        <v>9.006765001E9</v>
      </c>
    </row>
    <row r="1391" ht="15.75" customHeight="1">
      <c r="A1391" s="2" t="s">
        <v>765</v>
      </c>
      <c r="B1391" s="2" t="s">
        <v>1684</v>
      </c>
      <c r="C1391" s="2" t="s">
        <v>510</v>
      </c>
      <c r="D1391" s="2" t="s">
        <v>56</v>
      </c>
      <c r="E1391" s="2" t="s">
        <v>19</v>
      </c>
      <c r="F1391" s="2">
        <v>7.870482378E9</v>
      </c>
    </row>
    <row r="1392" ht="15.75" customHeight="1">
      <c r="A1392" s="2" t="s">
        <v>1685</v>
      </c>
      <c r="B1392" s="2" t="s">
        <v>119</v>
      </c>
      <c r="C1392" s="2" t="s">
        <v>106</v>
      </c>
      <c r="D1392" s="2" t="s">
        <v>26</v>
      </c>
      <c r="E1392" s="2" t="s">
        <v>19</v>
      </c>
      <c r="F1392" s="2">
        <v>9.91653019E9</v>
      </c>
    </row>
    <row r="1393" ht="15.75" customHeight="1">
      <c r="A1393" s="2" t="s">
        <v>1660</v>
      </c>
      <c r="B1393" s="2" t="s">
        <v>50</v>
      </c>
      <c r="C1393" s="2" t="s">
        <v>1686</v>
      </c>
      <c r="D1393" s="2" t="s">
        <v>14</v>
      </c>
      <c r="E1393" s="2" t="s">
        <v>19</v>
      </c>
      <c r="F1393" s="2">
        <v>7.739498816E9</v>
      </c>
    </row>
    <row r="1394" ht="15.75" customHeight="1">
      <c r="A1394" s="2" t="s">
        <v>1687</v>
      </c>
      <c r="B1394" s="2" t="s">
        <v>520</v>
      </c>
      <c r="C1394" s="2" t="s">
        <v>592</v>
      </c>
      <c r="D1394" s="2" t="s">
        <v>26</v>
      </c>
      <c r="E1394" s="2" t="s">
        <v>19</v>
      </c>
      <c r="F1394" s="2">
        <v>8.529278125E9</v>
      </c>
    </row>
    <row r="1395" ht="15.75" customHeight="1">
      <c r="A1395" s="2" t="s">
        <v>1688</v>
      </c>
      <c r="B1395" s="2" t="s">
        <v>550</v>
      </c>
      <c r="C1395" s="2" t="s">
        <v>1024</v>
      </c>
      <c r="D1395" s="2" t="s">
        <v>26</v>
      </c>
      <c r="E1395" s="2" t="s">
        <v>19</v>
      </c>
      <c r="F1395" s="2">
        <v>6.299106543E9</v>
      </c>
    </row>
    <row r="1396" ht="15.75" customHeight="1">
      <c r="A1396" s="2" t="s">
        <v>1689</v>
      </c>
      <c r="B1396" s="2" t="s">
        <v>153</v>
      </c>
      <c r="C1396" s="2" t="s">
        <v>763</v>
      </c>
      <c r="D1396" s="2" t="s">
        <v>26</v>
      </c>
      <c r="E1396" s="2" t="s">
        <v>19</v>
      </c>
      <c r="F1396" s="2">
        <v>9.431560969E9</v>
      </c>
    </row>
    <row r="1397" ht="15.75" customHeight="1">
      <c r="A1397" s="2" t="s">
        <v>1386</v>
      </c>
      <c r="B1397" s="2" t="s">
        <v>50</v>
      </c>
      <c r="C1397" s="2" t="s">
        <v>360</v>
      </c>
      <c r="D1397" s="2" t="s">
        <v>56</v>
      </c>
      <c r="E1397" s="2" t="s">
        <v>19</v>
      </c>
      <c r="F1397" s="2">
        <v>9.576658927E9</v>
      </c>
    </row>
    <row r="1398" ht="15.75" customHeight="1">
      <c r="A1398" s="2" t="s">
        <v>1690</v>
      </c>
      <c r="B1398" s="2" t="s">
        <v>1691</v>
      </c>
      <c r="C1398" s="2" t="s">
        <v>1692</v>
      </c>
      <c r="D1398" s="2" t="s">
        <v>56</v>
      </c>
      <c r="E1398" s="2" t="s">
        <v>434</v>
      </c>
      <c r="F1398" s="2">
        <v>9.321863121E9</v>
      </c>
    </row>
    <row r="1399" ht="15.75" customHeight="1">
      <c r="A1399" s="2" t="s">
        <v>1693</v>
      </c>
      <c r="B1399" s="2" t="s">
        <v>1694</v>
      </c>
      <c r="C1399" s="2" t="s">
        <v>959</v>
      </c>
      <c r="D1399" s="2" t="s">
        <v>26</v>
      </c>
      <c r="E1399" s="2" t="s">
        <v>255</v>
      </c>
      <c r="F1399" s="2">
        <v>9.73701333E9</v>
      </c>
    </row>
    <row r="1400" ht="15.75" customHeight="1">
      <c r="A1400" s="2" t="s">
        <v>1463</v>
      </c>
      <c r="B1400" s="2" t="s">
        <v>50</v>
      </c>
      <c r="C1400" s="2" t="s">
        <v>360</v>
      </c>
      <c r="D1400" s="2" t="s">
        <v>56</v>
      </c>
      <c r="E1400" s="2" t="s">
        <v>19</v>
      </c>
      <c r="F1400" s="2">
        <v>9.470331429E9</v>
      </c>
    </row>
    <row r="1401" ht="15.75" customHeight="1">
      <c r="A1401" s="2" t="s">
        <v>1695</v>
      </c>
      <c r="B1401" s="2" t="s">
        <v>50</v>
      </c>
      <c r="C1401" s="2" t="s">
        <v>360</v>
      </c>
      <c r="D1401" s="2" t="s">
        <v>44</v>
      </c>
      <c r="E1401" s="2" t="s">
        <v>19</v>
      </c>
      <c r="F1401" s="2">
        <v>9.30836163E9</v>
      </c>
    </row>
    <row r="1402" ht="15.75" customHeight="1">
      <c r="A1402" s="2" t="s">
        <v>744</v>
      </c>
      <c r="B1402" s="2" t="s">
        <v>1147</v>
      </c>
      <c r="C1402" s="2" t="s">
        <v>1139</v>
      </c>
      <c r="D1402" s="2" t="s">
        <v>26</v>
      </c>
      <c r="E1402" s="2" t="s">
        <v>19</v>
      </c>
      <c r="F1402" s="2">
        <v>8.409736778E9</v>
      </c>
    </row>
    <row r="1403" ht="15.75" customHeight="1">
      <c r="A1403" s="2" t="s">
        <v>1696</v>
      </c>
      <c r="B1403" s="2" t="s">
        <v>675</v>
      </c>
      <c r="C1403" s="2" t="s">
        <v>1262</v>
      </c>
      <c r="D1403" s="2" t="s">
        <v>14</v>
      </c>
      <c r="E1403" s="2" t="s">
        <v>282</v>
      </c>
      <c r="F1403" s="2">
        <v>9.824336097E9</v>
      </c>
    </row>
    <row r="1404" ht="15.75" customHeight="1">
      <c r="A1404" s="2" t="s">
        <v>1697</v>
      </c>
      <c r="B1404" s="2" t="s">
        <v>63</v>
      </c>
      <c r="C1404" s="2" t="s">
        <v>1533</v>
      </c>
      <c r="D1404" s="2" t="s">
        <v>26</v>
      </c>
      <c r="E1404" s="2" t="s">
        <v>19</v>
      </c>
      <c r="F1404" s="2">
        <v>7.0334122E9</v>
      </c>
    </row>
    <row r="1405" ht="15.75" customHeight="1">
      <c r="A1405" s="2" t="s">
        <v>1698</v>
      </c>
      <c r="B1405" s="2" t="s">
        <v>675</v>
      </c>
      <c r="C1405" s="2" t="s">
        <v>1699</v>
      </c>
      <c r="D1405" s="2" t="s">
        <v>14</v>
      </c>
      <c r="E1405" s="2" t="s">
        <v>282</v>
      </c>
      <c r="F1405" s="2">
        <v>9.974070816E9</v>
      </c>
    </row>
    <row r="1406" ht="15.75" customHeight="1">
      <c r="A1406" s="2" t="s">
        <v>1700</v>
      </c>
      <c r="B1406" s="2" t="s">
        <v>63</v>
      </c>
      <c r="C1406" s="2" t="s">
        <v>228</v>
      </c>
      <c r="D1406" s="2" t="s">
        <v>26</v>
      </c>
      <c r="E1406" s="2" t="s">
        <v>19</v>
      </c>
      <c r="F1406" s="2">
        <v>9.43174405E9</v>
      </c>
    </row>
    <row r="1407" ht="15.75" customHeight="1">
      <c r="A1407" s="2" t="s">
        <v>507</v>
      </c>
      <c r="B1407" s="2" t="s">
        <v>50</v>
      </c>
      <c r="C1407" s="2" t="s">
        <v>729</v>
      </c>
      <c r="D1407" s="2" t="s">
        <v>26</v>
      </c>
      <c r="E1407" s="2" t="s">
        <v>19</v>
      </c>
      <c r="F1407" s="2">
        <v>7.759897488E9</v>
      </c>
    </row>
    <row r="1408" ht="15.75" customHeight="1">
      <c r="A1408" s="2" t="s">
        <v>1044</v>
      </c>
      <c r="B1408" s="2" t="s">
        <v>50</v>
      </c>
      <c r="C1408" s="2" t="s">
        <v>650</v>
      </c>
      <c r="D1408" s="2" t="s">
        <v>29</v>
      </c>
      <c r="E1408" s="2" t="s">
        <v>19</v>
      </c>
      <c r="F1408" s="2">
        <v>7.091694139E9</v>
      </c>
    </row>
    <row r="1409" ht="15.75" customHeight="1">
      <c r="A1409" s="2" t="s">
        <v>1470</v>
      </c>
      <c r="B1409" s="2" t="s">
        <v>50</v>
      </c>
      <c r="C1409" s="2" t="s">
        <v>360</v>
      </c>
      <c r="D1409" s="2" t="s">
        <v>44</v>
      </c>
      <c r="E1409" s="2" t="s">
        <v>19</v>
      </c>
      <c r="F1409" s="2">
        <v>9.955596779E9</v>
      </c>
    </row>
    <row r="1410" ht="15.75" customHeight="1">
      <c r="A1410" s="2" t="s">
        <v>1701</v>
      </c>
      <c r="B1410" s="2" t="s">
        <v>75</v>
      </c>
      <c r="C1410" s="2" t="s">
        <v>106</v>
      </c>
      <c r="D1410" s="2" t="s">
        <v>44</v>
      </c>
      <c r="E1410" s="2" t="s">
        <v>19</v>
      </c>
      <c r="F1410" s="2">
        <v>8.102604047E9</v>
      </c>
    </row>
    <row r="1411" ht="15.75" customHeight="1">
      <c r="A1411" s="2" t="s">
        <v>463</v>
      </c>
      <c r="B1411" s="2" t="s">
        <v>1378</v>
      </c>
      <c r="C1411" s="2" t="s">
        <v>500</v>
      </c>
      <c r="D1411" s="2" t="s">
        <v>56</v>
      </c>
      <c r="E1411" s="2" t="s">
        <v>19</v>
      </c>
      <c r="F1411" s="2">
        <v>9.162666173E9</v>
      </c>
    </row>
    <row r="1412" ht="15.75" customHeight="1">
      <c r="A1412" s="2" t="s">
        <v>1273</v>
      </c>
      <c r="B1412" s="2" t="s">
        <v>1702</v>
      </c>
      <c r="C1412" s="2" t="s">
        <v>1703</v>
      </c>
      <c r="D1412" s="2" t="s">
        <v>14</v>
      </c>
      <c r="E1412" s="2" t="s">
        <v>19</v>
      </c>
      <c r="F1412" s="2">
        <v>9.308193411E9</v>
      </c>
    </row>
    <row r="1413" ht="15.75" customHeight="1">
      <c r="A1413" s="2" t="s">
        <v>1704</v>
      </c>
      <c r="B1413" s="2" t="s">
        <v>75</v>
      </c>
      <c r="C1413" s="2" t="s">
        <v>106</v>
      </c>
      <c r="D1413" s="2" t="s">
        <v>56</v>
      </c>
      <c r="E1413" s="2" t="s">
        <v>19</v>
      </c>
      <c r="F1413" s="2">
        <v>9.709093727E9</v>
      </c>
    </row>
    <row r="1414" ht="15.75" customHeight="1">
      <c r="A1414" s="2" t="s">
        <v>1044</v>
      </c>
      <c r="B1414" s="2" t="s">
        <v>1147</v>
      </c>
      <c r="C1414" s="2" t="s">
        <v>428</v>
      </c>
      <c r="D1414" s="2" t="s">
        <v>26</v>
      </c>
      <c r="E1414" s="2" t="s">
        <v>19</v>
      </c>
      <c r="F1414" s="2">
        <v>9.709879314E9</v>
      </c>
    </row>
    <row r="1415" ht="15.75" customHeight="1">
      <c r="A1415" s="2" t="s">
        <v>1470</v>
      </c>
      <c r="B1415" s="2" t="s">
        <v>1705</v>
      </c>
      <c r="C1415" s="2" t="s">
        <v>79</v>
      </c>
      <c r="D1415" s="2" t="s">
        <v>26</v>
      </c>
      <c r="E1415" s="2" t="s">
        <v>19</v>
      </c>
      <c r="F1415" s="2">
        <v>7.631639292E9</v>
      </c>
    </row>
    <row r="1416" ht="15.75" customHeight="1">
      <c r="A1416" s="2" t="s">
        <v>146</v>
      </c>
      <c r="B1416" s="2" t="s">
        <v>308</v>
      </c>
      <c r="C1416" s="2" t="s">
        <v>500</v>
      </c>
      <c r="D1416" s="2" t="s">
        <v>56</v>
      </c>
      <c r="E1416" s="2" t="s">
        <v>19</v>
      </c>
      <c r="F1416" s="2">
        <v>7.368981861E9</v>
      </c>
    </row>
    <row r="1417" ht="15.75" customHeight="1">
      <c r="A1417" s="2" t="s">
        <v>205</v>
      </c>
      <c r="B1417" s="2" t="s">
        <v>63</v>
      </c>
      <c r="C1417" s="2" t="s">
        <v>1533</v>
      </c>
      <c r="D1417" s="2" t="s">
        <v>56</v>
      </c>
      <c r="E1417" s="2" t="s">
        <v>19</v>
      </c>
      <c r="F1417" s="2">
        <v>8.340411611E9</v>
      </c>
    </row>
    <row r="1418" ht="15.75" customHeight="1">
      <c r="A1418" s="2" t="s">
        <v>1706</v>
      </c>
      <c r="B1418" s="2" t="s">
        <v>50</v>
      </c>
      <c r="C1418" s="2" t="s">
        <v>729</v>
      </c>
      <c r="D1418" s="2" t="s">
        <v>9</v>
      </c>
      <c r="E1418" s="2" t="s">
        <v>19</v>
      </c>
      <c r="F1418" s="2">
        <v>8.521033615E9</v>
      </c>
    </row>
    <row r="1419" ht="15.75" customHeight="1">
      <c r="A1419" s="2" t="s">
        <v>1707</v>
      </c>
      <c r="B1419" s="2" t="s">
        <v>499</v>
      </c>
      <c r="C1419" s="2" t="s">
        <v>133</v>
      </c>
      <c r="D1419" s="2" t="s">
        <v>44</v>
      </c>
      <c r="E1419" s="2" t="s">
        <v>19</v>
      </c>
      <c r="F1419" s="2">
        <v>6.207808564E9</v>
      </c>
    </row>
    <row r="1420" ht="15.75" customHeight="1">
      <c r="A1420" s="2" t="s">
        <v>1463</v>
      </c>
      <c r="B1420" s="2" t="s">
        <v>63</v>
      </c>
      <c r="C1420" s="2" t="s">
        <v>58</v>
      </c>
      <c r="D1420" s="2" t="s">
        <v>9</v>
      </c>
      <c r="E1420" s="2" t="s">
        <v>19</v>
      </c>
      <c r="F1420" s="2">
        <v>9.693405148E9</v>
      </c>
    </row>
    <row r="1421" ht="15.75" customHeight="1">
      <c r="A1421" s="2" t="s">
        <v>456</v>
      </c>
      <c r="B1421" s="2" t="s">
        <v>50</v>
      </c>
      <c r="C1421" s="2" t="s">
        <v>1379</v>
      </c>
      <c r="D1421" s="2" t="s">
        <v>44</v>
      </c>
      <c r="E1421" s="2" t="s">
        <v>19</v>
      </c>
      <c r="F1421" s="2">
        <v>8.210482994E9</v>
      </c>
    </row>
    <row r="1422" ht="15.75" customHeight="1">
      <c r="A1422" s="2" t="s">
        <v>1708</v>
      </c>
      <c r="B1422" s="2" t="s">
        <v>108</v>
      </c>
      <c r="C1422" s="2" t="s">
        <v>937</v>
      </c>
      <c r="D1422" s="2" t="s">
        <v>9</v>
      </c>
      <c r="E1422" s="2" t="s">
        <v>19</v>
      </c>
      <c r="F1422" s="2">
        <v>8.292521263E9</v>
      </c>
    </row>
    <row r="1423" ht="15.75" customHeight="1">
      <c r="A1423" s="2" t="s">
        <v>1212</v>
      </c>
      <c r="B1423" s="2" t="s">
        <v>1709</v>
      </c>
      <c r="C1423" s="2" t="s">
        <v>343</v>
      </c>
      <c r="D1423" s="2" t="s">
        <v>9</v>
      </c>
      <c r="E1423" s="2" t="s">
        <v>19</v>
      </c>
      <c r="F1423" s="2">
        <v>8.051090516E9</v>
      </c>
    </row>
    <row r="1424" ht="15.75" customHeight="1">
      <c r="A1424" s="2" t="s">
        <v>1471</v>
      </c>
      <c r="B1424" s="2" t="s">
        <v>55</v>
      </c>
      <c r="C1424" s="2" t="s">
        <v>181</v>
      </c>
      <c r="D1424" s="2" t="s">
        <v>26</v>
      </c>
      <c r="E1424" s="2" t="s">
        <v>19</v>
      </c>
      <c r="F1424" s="2">
        <v>7.004876645E9</v>
      </c>
    </row>
    <row r="1425" ht="15.75" customHeight="1">
      <c r="A1425" s="2" t="s">
        <v>1710</v>
      </c>
      <c r="B1425" s="2" t="s">
        <v>50</v>
      </c>
      <c r="C1425" s="2" t="s">
        <v>1379</v>
      </c>
      <c r="D1425" s="2" t="s">
        <v>26</v>
      </c>
      <c r="E1425" s="2" t="s">
        <v>19</v>
      </c>
      <c r="F1425" s="2">
        <v>9.798727138E9</v>
      </c>
    </row>
    <row r="1426" ht="15.75" customHeight="1">
      <c r="A1426" s="2" t="s">
        <v>1711</v>
      </c>
      <c r="B1426" s="2" t="s">
        <v>1712</v>
      </c>
      <c r="C1426" s="2" t="s">
        <v>500</v>
      </c>
      <c r="D1426" s="2" t="s">
        <v>56</v>
      </c>
      <c r="E1426" s="2" t="s">
        <v>19</v>
      </c>
      <c r="F1426" s="2">
        <v>8.340653627E9</v>
      </c>
    </row>
    <row r="1427" ht="15.75" customHeight="1">
      <c r="A1427" s="2" t="s">
        <v>1713</v>
      </c>
      <c r="B1427" s="2" t="s">
        <v>153</v>
      </c>
      <c r="C1427" s="2" t="s">
        <v>1714</v>
      </c>
      <c r="D1427" s="2" t="s">
        <v>14</v>
      </c>
      <c r="E1427" s="2" t="s">
        <v>19</v>
      </c>
      <c r="F1427" s="2">
        <v>7.858832469E9</v>
      </c>
    </row>
    <row r="1428" ht="15.75" customHeight="1">
      <c r="A1428" s="2" t="s">
        <v>1715</v>
      </c>
      <c r="B1428" s="2" t="s">
        <v>328</v>
      </c>
      <c r="C1428" s="2" t="s">
        <v>763</v>
      </c>
      <c r="D1428" s="2" t="s">
        <v>56</v>
      </c>
      <c r="E1428" s="2" t="s">
        <v>19</v>
      </c>
      <c r="F1428" s="2">
        <v>9.3342642E9</v>
      </c>
    </row>
    <row r="1429" ht="15.75" customHeight="1">
      <c r="A1429" s="2" t="s">
        <v>87</v>
      </c>
      <c r="B1429" s="2" t="s">
        <v>212</v>
      </c>
      <c r="C1429" s="2" t="s">
        <v>156</v>
      </c>
      <c r="D1429" s="2" t="s">
        <v>26</v>
      </c>
      <c r="E1429" s="2" t="s">
        <v>19</v>
      </c>
      <c r="F1429" s="2">
        <v>9.835538425E9</v>
      </c>
    </row>
    <row r="1430" ht="15.75" customHeight="1">
      <c r="A1430" s="2" t="s">
        <v>1513</v>
      </c>
      <c r="B1430" s="2" t="s">
        <v>91</v>
      </c>
      <c r="C1430" s="2" t="s">
        <v>228</v>
      </c>
      <c r="D1430" s="2" t="s">
        <v>26</v>
      </c>
      <c r="E1430" s="2" t="s">
        <v>19</v>
      </c>
      <c r="F1430" s="2">
        <v>8.826430116E9</v>
      </c>
    </row>
    <row r="1431" ht="15.75" customHeight="1">
      <c r="A1431" s="2" t="s">
        <v>1716</v>
      </c>
      <c r="B1431" s="2" t="s">
        <v>499</v>
      </c>
      <c r="C1431" s="2" t="s">
        <v>133</v>
      </c>
      <c r="D1431" s="2" t="s">
        <v>14</v>
      </c>
      <c r="E1431" s="2" t="s">
        <v>19</v>
      </c>
      <c r="F1431" s="2">
        <v>8.092348317E9</v>
      </c>
    </row>
    <row r="1432" ht="15.75" customHeight="1">
      <c r="A1432" s="2" t="s">
        <v>1717</v>
      </c>
      <c r="B1432" s="2" t="s">
        <v>1718</v>
      </c>
      <c r="C1432" s="2" t="s">
        <v>200</v>
      </c>
      <c r="D1432" s="2" t="s">
        <v>26</v>
      </c>
      <c r="E1432" s="2" t="s">
        <v>19</v>
      </c>
      <c r="F1432" s="2">
        <v>9.607217329E9</v>
      </c>
    </row>
    <row r="1433" ht="15.75" customHeight="1">
      <c r="A1433" s="2" t="s">
        <v>110</v>
      </c>
      <c r="B1433" s="2" t="s">
        <v>50</v>
      </c>
      <c r="C1433" s="2" t="s">
        <v>133</v>
      </c>
      <c r="D1433" s="2" t="s">
        <v>26</v>
      </c>
      <c r="E1433" s="2" t="s">
        <v>19</v>
      </c>
      <c r="F1433" s="2">
        <v>8.825356101E9</v>
      </c>
    </row>
    <row r="1434" ht="15.75" customHeight="1">
      <c r="A1434" s="2" t="s">
        <v>183</v>
      </c>
      <c r="B1434" s="2" t="s">
        <v>1719</v>
      </c>
      <c r="C1434" s="2" t="s">
        <v>1720</v>
      </c>
      <c r="D1434" s="2" t="s">
        <v>44</v>
      </c>
      <c r="E1434" s="2" t="s">
        <v>19</v>
      </c>
      <c r="F1434" s="2">
        <v>6.207868386E9</v>
      </c>
    </row>
    <row r="1435" ht="15.75" customHeight="1">
      <c r="A1435" s="2" t="s">
        <v>1721</v>
      </c>
      <c r="B1435" s="2" t="s">
        <v>1254</v>
      </c>
      <c r="C1435" s="2" t="s">
        <v>133</v>
      </c>
      <c r="D1435" s="2" t="s">
        <v>26</v>
      </c>
      <c r="E1435" s="2" t="s">
        <v>19</v>
      </c>
      <c r="F1435" s="2">
        <v>9.113114194E9</v>
      </c>
    </row>
    <row r="1436" ht="15.75" customHeight="1">
      <c r="A1436" s="2" t="s">
        <v>535</v>
      </c>
      <c r="B1436" s="2" t="s">
        <v>50</v>
      </c>
      <c r="C1436" s="2" t="s">
        <v>860</v>
      </c>
      <c r="D1436" s="2" t="s">
        <v>26</v>
      </c>
      <c r="E1436" s="2" t="s">
        <v>19</v>
      </c>
      <c r="F1436" s="2">
        <v>7.479534051E9</v>
      </c>
    </row>
    <row r="1437" ht="15.75" customHeight="1">
      <c r="A1437" s="2" t="s">
        <v>1722</v>
      </c>
      <c r="B1437" s="2" t="s">
        <v>50</v>
      </c>
      <c r="C1437" s="2" t="s">
        <v>235</v>
      </c>
      <c r="D1437" s="2" t="s">
        <v>26</v>
      </c>
      <c r="E1437" s="2" t="s">
        <v>19</v>
      </c>
      <c r="F1437" s="2">
        <v>6.203048984E9</v>
      </c>
    </row>
    <row r="1438" ht="15.75" customHeight="1">
      <c r="A1438" s="2" t="s">
        <v>1723</v>
      </c>
      <c r="B1438" s="2" t="s">
        <v>1724</v>
      </c>
      <c r="C1438" s="2" t="s">
        <v>576</v>
      </c>
      <c r="D1438" s="2" t="s">
        <v>26</v>
      </c>
      <c r="E1438" s="2" t="s">
        <v>19</v>
      </c>
      <c r="F1438" s="2">
        <v>9.572882865E9</v>
      </c>
    </row>
    <row r="1439" ht="15.75" customHeight="1">
      <c r="A1439" s="2" t="s">
        <v>1725</v>
      </c>
      <c r="B1439" s="2" t="s">
        <v>1726</v>
      </c>
      <c r="C1439" s="2" t="s">
        <v>1727</v>
      </c>
      <c r="D1439" s="2" t="s">
        <v>56</v>
      </c>
      <c r="E1439" s="2" t="s">
        <v>19</v>
      </c>
      <c r="F1439" s="2">
        <v>8.404932203E9</v>
      </c>
    </row>
    <row r="1440" ht="15.75" customHeight="1">
      <c r="A1440" s="2" t="s">
        <v>1728</v>
      </c>
      <c r="B1440" s="2" t="s">
        <v>344</v>
      </c>
      <c r="C1440" s="2" t="s">
        <v>763</v>
      </c>
      <c r="D1440" s="2" t="s">
        <v>56</v>
      </c>
      <c r="E1440" s="2" t="s">
        <v>19</v>
      </c>
      <c r="F1440" s="2">
        <v>9.650994678E9</v>
      </c>
    </row>
    <row r="1441" ht="15.75" customHeight="1">
      <c r="A1441" s="2" t="s">
        <v>799</v>
      </c>
      <c r="B1441" s="2" t="s">
        <v>50</v>
      </c>
      <c r="C1441" s="2" t="s">
        <v>343</v>
      </c>
      <c r="D1441" s="2" t="s">
        <v>9</v>
      </c>
      <c r="E1441" s="2" t="s">
        <v>19</v>
      </c>
      <c r="F1441" s="2">
        <v>6.203178825E9</v>
      </c>
    </row>
    <row r="1442" ht="15.75" customHeight="1">
      <c r="A1442" s="2" t="s">
        <v>524</v>
      </c>
      <c r="B1442" s="2" t="s">
        <v>507</v>
      </c>
      <c r="C1442" s="2" t="s">
        <v>875</v>
      </c>
      <c r="D1442" s="2" t="s">
        <v>26</v>
      </c>
      <c r="E1442" s="2" t="s">
        <v>19</v>
      </c>
      <c r="F1442" s="2">
        <v>8.084145324E9</v>
      </c>
    </row>
    <row r="1443" ht="15.75" customHeight="1">
      <c r="A1443" s="2" t="s">
        <v>538</v>
      </c>
      <c r="B1443" s="2" t="s">
        <v>328</v>
      </c>
      <c r="C1443" s="2" t="s">
        <v>655</v>
      </c>
      <c r="D1443" s="2" t="s">
        <v>26</v>
      </c>
      <c r="E1443" s="2" t="s">
        <v>19</v>
      </c>
      <c r="F1443" s="2">
        <v>8.877111174E9</v>
      </c>
    </row>
    <row r="1444" ht="15.75" customHeight="1">
      <c r="A1444" s="2" t="s">
        <v>1729</v>
      </c>
      <c r="B1444" s="2" t="s">
        <v>50</v>
      </c>
      <c r="C1444" s="2" t="s">
        <v>1379</v>
      </c>
      <c r="D1444" s="2" t="s">
        <v>26</v>
      </c>
      <c r="E1444" s="2" t="s">
        <v>19</v>
      </c>
      <c r="F1444" s="2">
        <v>9.334749556E9</v>
      </c>
    </row>
    <row r="1445" ht="15.75" customHeight="1">
      <c r="A1445" s="2" t="s">
        <v>1730</v>
      </c>
      <c r="B1445" s="2" t="s">
        <v>1731</v>
      </c>
      <c r="C1445" s="2" t="s">
        <v>576</v>
      </c>
      <c r="D1445" s="2" t="s">
        <v>56</v>
      </c>
      <c r="E1445" s="2" t="s">
        <v>19</v>
      </c>
      <c r="F1445" s="2">
        <v>6.203939754E9</v>
      </c>
    </row>
    <row r="1446" ht="15.75" customHeight="1">
      <c r="A1446" s="2" t="s">
        <v>70</v>
      </c>
      <c r="B1446" s="2" t="s">
        <v>499</v>
      </c>
      <c r="C1446" s="2" t="s">
        <v>133</v>
      </c>
      <c r="D1446" s="2" t="s">
        <v>44</v>
      </c>
      <c r="E1446" s="2" t="s">
        <v>19</v>
      </c>
      <c r="F1446" s="2">
        <v>7.631018478E9</v>
      </c>
    </row>
    <row r="1447" ht="15.75" customHeight="1">
      <c r="A1447" s="2" t="s">
        <v>1046</v>
      </c>
      <c r="B1447" s="2" t="s">
        <v>119</v>
      </c>
      <c r="C1447" s="2" t="s">
        <v>576</v>
      </c>
      <c r="D1447" s="2" t="s">
        <v>56</v>
      </c>
      <c r="E1447" s="2" t="s">
        <v>19</v>
      </c>
      <c r="F1447" s="2">
        <v>9.122700844E9</v>
      </c>
    </row>
    <row r="1448" ht="15.75" customHeight="1">
      <c r="A1448" s="2" t="s">
        <v>799</v>
      </c>
      <c r="B1448" s="2" t="s">
        <v>50</v>
      </c>
      <c r="C1448" s="2" t="s">
        <v>428</v>
      </c>
      <c r="D1448" s="2" t="s">
        <v>26</v>
      </c>
      <c r="E1448" s="2" t="s">
        <v>19</v>
      </c>
      <c r="F1448" s="2">
        <v>9.030508027E9</v>
      </c>
    </row>
    <row r="1449" ht="15.75" customHeight="1">
      <c r="A1449" s="2" t="s">
        <v>1732</v>
      </c>
      <c r="B1449" s="2" t="s">
        <v>850</v>
      </c>
      <c r="C1449" s="2" t="s">
        <v>133</v>
      </c>
      <c r="D1449" s="2" t="s">
        <v>9</v>
      </c>
      <c r="E1449" s="2" t="s">
        <v>19</v>
      </c>
      <c r="F1449" s="2">
        <v>9.006203734E9</v>
      </c>
    </row>
    <row r="1450" ht="15.75" customHeight="1">
      <c r="A1450" s="2" t="s">
        <v>491</v>
      </c>
      <c r="B1450" s="2" t="s">
        <v>50</v>
      </c>
      <c r="C1450" s="2" t="s">
        <v>58</v>
      </c>
      <c r="D1450" s="2" t="s">
        <v>102</v>
      </c>
      <c r="E1450" s="2" t="s">
        <v>19</v>
      </c>
      <c r="F1450" s="2">
        <v>7.870385848E9</v>
      </c>
    </row>
    <row r="1451" ht="15.75" customHeight="1">
      <c r="A1451" s="2" t="s">
        <v>1733</v>
      </c>
      <c r="B1451" s="2" t="s">
        <v>1734</v>
      </c>
      <c r="C1451" s="2" t="s">
        <v>763</v>
      </c>
      <c r="D1451" s="2" t="s">
        <v>56</v>
      </c>
      <c r="E1451" s="2" t="s">
        <v>19</v>
      </c>
      <c r="F1451" s="2">
        <v>8.228022513E9</v>
      </c>
    </row>
    <row r="1452" ht="15.75" customHeight="1">
      <c r="A1452" s="2" t="s">
        <v>1044</v>
      </c>
      <c r="B1452" s="2" t="s">
        <v>125</v>
      </c>
      <c r="C1452" s="2" t="s">
        <v>576</v>
      </c>
      <c r="D1452" s="2" t="s">
        <v>26</v>
      </c>
      <c r="E1452" s="2" t="s">
        <v>19</v>
      </c>
      <c r="F1452" s="2">
        <v>6.202656038E9</v>
      </c>
    </row>
    <row r="1453" ht="15.75" customHeight="1">
      <c r="A1453" s="2" t="s">
        <v>121</v>
      </c>
      <c r="B1453" s="2" t="s">
        <v>1674</v>
      </c>
      <c r="C1453" s="2" t="s">
        <v>1735</v>
      </c>
      <c r="D1453" s="2" t="s">
        <v>9</v>
      </c>
      <c r="E1453" s="2" t="s">
        <v>19</v>
      </c>
      <c r="F1453" s="2">
        <v>9.595111723E9</v>
      </c>
    </row>
    <row r="1454" ht="15.75" customHeight="1">
      <c r="A1454" s="2" t="s">
        <v>94</v>
      </c>
      <c r="B1454" s="2" t="s">
        <v>507</v>
      </c>
      <c r="C1454" s="2" t="s">
        <v>235</v>
      </c>
      <c r="D1454" s="2" t="s">
        <v>26</v>
      </c>
      <c r="E1454" s="2" t="s">
        <v>19</v>
      </c>
      <c r="F1454" s="2">
        <v>9.031276277E9</v>
      </c>
    </row>
    <row r="1455" ht="15.75" customHeight="1">
      <c r="A1455" s="2" t="s">
        <v>1137</v>
      </c>
      <c r="B1455" s="2" t="s">
        <v>621</v>
      </c>
      <c r="C1455" s="2" t="s">
        <v>576</v>
      </c>
      <c r="D1455" s="2" t="s">
        <v>9</v>
      </c>
      <c r="E1455" s="2" t="s">
        <v>19</v>
      </c>
      <c r="F1455" s="2">
        <v>8.271419889E9</v>
      </c>
    </row>
    <row r="1456" ht="15.75" customHeight="1">
      <c r="A1456" s="2" t="s">
        <v>1736</v>
      </c>
      <c r="B1456" s="2" t="s">
        <v>499</v>
      </c>
      <c r="C1456" s="2" t="s">
        <v>133</v>
      </c>
      <c r="D1456" s="2" t="s">
        <v>44</v>
      </c>
      <c r="E1456" s="2" t="s">
        <v>19</v>
      </c>
      <c r="F1456" s="2">
        <v>7.992241906E9</v>
      </c>
    </row>
    <row r="1457" ht="15.75" customHeight="1">
      <c r="A1457" s="2" t="s">
        <v>1737</v>
      </c>
      <c r="B1457" s="2" t="s">
        <v>119</v>
      </c>
      <c r="C1457" s="2" t="s">
        <v>1665</v>
      </c>
      <c r="D1457" s="2" t="s">
        <v>102</v>
      </c>
      <c r="E1457" s="2" t="s">
        <v>19</v>
      </c>
      <c r="F1457" s="2">
        <v>9.546173694E9</v>
      </c>
    </row>
    <row r="1458" ht="15.75" customHeight="1">
      <c r="A1458" s="2" t="s">
        <v>1738</v>
      </c>
      <c r="B1458" s="2" t="s">
        <v>50</v>
      </c>
      <c r="C1458" s="2" t="s">
        <v>708</v>
      </c>
      <c r="D1458" s="2" t="s">
        <v>26</v>
      </c>
      <c r="E1458" s="2" t="s">
        <v>19</v>
      </c>
      <c r="F1458" s="2">
        <v>9.572635395E9</v>
      </c>
    </row>
    <row r="1459" ht="15.75" customHeight="1">
      <c r="A1459" s="2" t="s">
        <v>1739</v>
      </c>
      <c r="B1459" s="2" t="s">
        <v>1362</v>
      </c>
      <c r="C1459" s="2" t="s">
        <v>576</v>
      </c>
      <c r="D1459" s="2" t="s">
        <v>102</v>
      </c>
      <c r="E1459" s="2" t="s">
        <v>19</v>
      </c>
      <c r="F1459" s="2">
        <v>9.031273209E9</v>
      </c>
    </row>
    <row r="1460" ht="15.75" customHeight="1">
      <c r="A1460" s="2" t="s">
        <v>1740</v>
      </c>
      <c r="B1460" s="2" t="s">
        <v>1741</v>
      </c>
      <c r="C1460" s="2" t="s">
        <v>1742</v>
      </c>
      <c r="D1460" s="2" t="s">
        <v>26</v>
      </c>
      <c r="E1460" s="2" t="s">
        <v>282</v>
      </c>
      <c r="F1460" s="2">
        <v>7.77796521E9</v>
      </c>
    </row>
    <row r="1461" ht="15.75" customHeight="1">
      <c r="A1461" s="2" t="s">
        <v>1743</v>
      </c>
      <c r="B1461" s="2" t="s">
        <v>1744</v>
      </c>
      <c r="C1461" s="2" t="s">
        <v>1745</v>
      </c>
      <c r="D1461" s="2" t="s">
        <v>26</v>
      </c>
      <c r="E1461" s="2" t="s">
        <v>19</v>
      </c>
      <c r="F1461" s="2">
        <v>7.362850243E9</v>
      </c>
    </row>
    <row r="1462" ht="15.75" customHeight="1">
      <c r="A1462" s="2" t="s">
        <v>1746</v>
      </c>
      <c r="B1462" s="2" t="s">
        <v>88</v>
      </c>
      <c r="C1462" s="2" t="s">
        <v>1497</v>
      </c>
      <c r="D1462" s="2" t="s">
        <v>26</v>
      </c>
      <c r="E1462" s="2" t="s">
        <v>23</v>
      </c>
      <c r="F1462" s="2">
        <v>9.431351072E9</v>
      </c>
    </row>
    <row r="1463" ht="15.75" customHeight="1">
      <c r="A1463" s="2" t="s">
        <v>1230</v>
      </c>
      <c r="B1463" s="2" t="s">
        <v>63</v>
      </c>
      <c r="C1463" s="2" t="s">
        <v>133</v>
      </c>
      <c r="D1463" s="2" t="s">
        <v>26</v>
      </c>
      <c r="E1463" s="2" t="s">
        <v>19</v>
      </c>
      <c r="F1463" s="2">
        <v>9.431345496E9</v>
      </c>
    </row>
    <row r="1464" ht="15.75" customHeight="1">
      <c r="A1464" s="2" t="s">
        <v>569</v>
      </c>
      <c r="B1464" s="2" t="s">
        <v>21</v>
      </c>
      <c r="C1464" s="2" t="s">
        <v>1024</v>
      </c>
      <c r="D1464" s="2" t="s">
        <v>26</v>
      </c>
      <c r="E1464" s="2" t="s">
        <v>19</v>
      </c>
      <c r="F1464" s="2">
        <v>9.534918873E9</v>
      </c>
    </row>
    <row r="1465" ht="15.75" customHeight="1">
      <c r="A1465" s="2" t="s">
        <v>1747</v>
      </c>
      <c r="B1465" s="2" t="s">
        <v>1748</v>
      </c>
      <c r="C1465" s="2" t="s">
        <v>655</v>
      </c>
      <c r="D1465" s="2" t="s">
        <v>26</v>
      </c>
      <c r="E1465" s="2" t="s">
        <v>19</v>
      </c>
      <c r="F1465" s="2">
        <v>8.509927188E9</v>
      </c>
    </row>
    <row r="1466" ht="15.75" customHeight="1">
      <c r="A1466" s="2" t="s">
        <v>227</v>
      </c>
      <c r="B1466" s="2" t="s">
        <v>522</v>
      </c>
      <c r="C1466" s="2" t="s">
        <v>330</v>
      </c>
      <c r="D1466" s="2" t="s">
        <v>26</v>
      </c>
      <c r="E1466" s="2" t="s">
        <v>19</v>
      </c>
      <c r="F1466" s="2">
        <v>7.667225806E9</v>
      </c>
    </row>
    <row r="1467" ht="15.75" customHeight="1">
      <c r="A1467" s="2" t="s">
        <v>1654</v>
      </c>
      <c r="B1467" s="2" t="s">
        <v>50</v>
      </c>
      <c r="C1467" s="2" t="s">
        <v>1497</v>
      </c>
      <c r="D1467" s="2" t="s">
        <v>26</v>
      </c>
      <c r="E1467" s="2" t="s">
        <v>23</v>
      </c>
      <c r="F1467" s="2">
        <v>9.431361087E9</v>
      </c>
    </row>
    <row r="1468" ht="15.75" customHeight="1">
      <c r="A1468" s="2" t="s">
        <v>446</v>
      </c>
      <c r="B1468" s="2" t="s">
        <v>276</v>
      </c>
      <c r="C1468" s="2" t="s">
        <v>133</v>
      </c>
      <c r="D1468" s="2" t="s">
        <v>56</v>
      </c>
      <c r="E1468" s="2" t="s">
        <v>19</v>
      </c>
      <c r="F1468" s="2">
        <v>9.771198927E9</v>
      </c>
    </row>
    <row r="1469" ht="15.75" customHeight="1">
      <c r="A1469" s="2" t="s">
        <v>521</v>
      </c>
      <c r="B1469" s="2" t="s">
        <v>63</v>
      </c>
      <c r="C1469" s="2" t="s">
        <v>1749</v>
      </c>
      <c r="D1469" s="2" t="s">
        <v>26</v>
      </c>
      <c r="E1469" s="2" t="s">
        <v>19</v>
      </c>
      <c r="F1469" s="2">
        <v>7.765916857E9</v>
      </c>
    </row>
    <row r="1470" ht="15.75" customHeight="1">
      <c r="A1470" s="2" t="s">
        <v>900</v>
      </c>
      <c r="B1470" s="2" t="s">
        <v>65</v>
      </c>
      <c r="C1470" s="2" t="s">
        <v>1750</v>
      </c>
      <c r="D1470" s="2" t="s">
        <v>26</v>
      </c>
      <c r="E1470" s="2" t="s">
        <v>19</v>
      </c>
      <c r="F1470" s="2">
        <v>9.608745599E9</v>
      </c>
    </row>
    <row r="1471" ht="15.75" customHeight="1">
      <c r="A1471" s="2" t="s">
        <v>1751</v>
      </c>
      <c r="B1471" s="2" t="s">
        <v>21</v>
      </c>
      <c r="C1471" s="2" t="s">
        <v>1024</v>
      </c>
      <c r="D1471" s="2" t="s">
        <v>14</v>
      </c>
      <c r="E1471" s="2" t="s">
        <v>23</v>
      </c>
      <c r="F1471" s="2">
        <v>9.006749051E9</v>
      </c>
    </row>
    <row r="1472" ht="15.75" customHeight="1">
      <c r="A1472" s="2" t="s">
        <v>1752</v>
      </c>
      <c r="B1472" s="2" t="s">
        <v>55</v>
      </c>
      <c r="C1472" s="2" t="s">
        <v>708</v>
      </c>
      <c r="D1472" s="2" t="s">
        <v>26</v>
      </c>
      <c r="E1472" s="2" t="s">
        <v>19</v>
      </c>
      <c r="F1472" s="2">
        <v>9.520131619E9</v>
      </c>
    </row>
    <row r="1473" ht="15.75" customHeight="1">
      <c r="A1473" s="2" t="s">
        <v>339</v>
      </c>
      <c r="B1473" s="2" t="s">
        <v>21</v>
      </c>
      <c r="C1473" s="2" t="s">
        <v>360</v>
      </c>
      <c r="D1473" s="2" t="s">
        <v>9</v>
      </c>
      <c r="E1473" s="2" t="s">
        <v>23</v>
      </c>
      <c r="F1473" s="2">
        <v>9.70865972E9</v>
      </c>
    </row>
    <row r="1474" ht="15.75" customHeight="1">
      <c r="A1474" s="2" t="s">
        <v>1753</v>
      </c>
      <c r="B1474" s="2" t="s">
        <v>21</v>
      </c>
      <c r="C1474" s="2" t="s">
        <v>627</v>
      </c>
      <c r="D1474" s="2" t="s">
        <v>14</v>
      </c>
      <c r="E1474" s="2" t="s">
        <v>19</v>
      </c>
      <c r="F1474" s="2">
        <v>7.061243764E9</v>
      </c>
    </row>
    <row r="1475" ht="15.75" customHeight="1">
      <c r="A1475" s="2" t="s">
        <v>227</v>
      </c>
      <c r="B1475" s="2" t="s">
        <v>1754</v>
      </c>
      <c r="C1475" s="2" t="s">
        <v>58</v>
      </c>
      <c r="D1475" s="2" t="s">
        <v>44</v>
      </c>
      <c r="E1475" s="2" t="s">
        <v>19</v>
      </c>
      <c r="F1475" s="2">
        <v>8.789620201E9</v>
      </c>
    </row>
    <row r="1476" ht="15.75" customHeight="1">
      <c r="A1476" s="2" t="s">
        <v>1755</v>
      </c>
      <c r="B1476" s="2" t="s">
        <v>55</v>
      </c>
      <c r="C1476" s="2" t="s">
        <v>181</v>
      </c>
      <c r="D1476" s="2" t="s">
        <v>26</v>
      </c>
      <c r="E1476" s="2" t="s">
        <v>19</v>
      </c>
      <c r="F1476" s="2">
        <v>9.60893196E9</v>
      </c>
    </row>
    <row r="1477" ht="15.75" customHeight="1">
      <c r="A1477" s="2" t="s">
        <v>1203</v>
      </c>
      <c r="B1477" s="2" t="s">
        <v>119</v>
      </c>
      <c r="C1477" s="2" t="s">
        <v>58</v>
      </c>
      <c r="D1477" s="2" t="s">
        <v>102</v>
      </c>
      <c r="E1477" s="2" t="s">
        <v>19</v>
      </c>
      <c r="F1477" s="2">
        <v>9.110978884E9</v>
      </c>
    </row>
    <row r="1478" ht="15.75" customHeight="1">
      <c r="A1478" s="2" t="s">
        <v>1756</v>
      </c>
      <c r="B1478" s="2" t="s">
        <v>50</v>
      </c>
      <c r="C1478" s="2" t="s">
        <v>360</v>
      </c>
      <c r="D1478" s="2" t="s">
        <v>44</v>
      </c>
      <c r="E1478" s="2" t="s">
        <v>19</v>
      </c>
      <c r="F1478" s="2">
        <v>7.48801742E9</v>
      </c>
    </row>
    <row r="1479" ht="15.75" customHeight="1">
      <c r="A1479" s="2" t="s">
        <v>1704</v>
      </c>
      <c r="B1479" s="2" t="s">
        <v>1757</v>
      </c>
      <c r="C1479" s="2" t="s">
        <v>228</v>
      </c>
      <c r="D1479" s="2" t="s">
        <v>26</v>
      </c>
      <c r="E1479" s="2" t="s">
        <v>23</v>
      </c>
      <c r="F1479" s="2">
        <v>9.835362263E9</v>
      </c>
    </row>
    <row r="1480" ht="15.75" customHeight="1">
      <c r="A1480" s="2" t="s">
        <v>1429</v>
      </c>
      <c r="B1480" s="2" t="s">
        <v>320</v>
      </c>
      <c r="C1480" s="2" t="s">
        <v>472</v>
      </c>
      <c r="D1480" s="2" t="s">
        <v>26</v>
      </c>
      <c r="E1480" s="2" t="s">
        <v>19</v>
      </c>
      <c r="F1480" s="2">
        <v>9.308061725E9</v>
      </c>
    </row>
    <row r="1481" ht="15.75" customHeight="1">
      <c r="A1481" s="2" t="s">
        <v>1758</v>
      </c>
      <c r="B1481" s="2" t="s">
        <v>850</v>
      </c>
      <c r="C1481" s="2" t="s">
        <v>133</v>
      </c>
      <c r="D1481" s="2" t="s">
        <v>44</v>
      </c>
      <c r="E1481" s="2" t="s">
        <v>19</v>
      </c>
      <c r="F1481" s="2">
        <v>9.135719559E9</v>
      </c>
    </row>
    <row r="1482" ht="15.75" customHeight="1">
      <c r="A1482" s="2" t="s">
        <v>782</v>
      </c>
      <c r="B1482" s="2" t="s">
        <v>276</v>
      </c>
      <c r="C1482" s="2" t="s">
        <v>1036</v>
      </c>
      <c r="D1482" s="2" t="s">
        <v>56</v>
      </c>
      <c r="E1482" s="2" t="s">
        <v>19</v>
      </c>
      <c r="F1482" s="2">
        <v>7.364004076E9</v>
      </c>
    </row>
    <row r="1483" ht="15.75" customHeight="1">
      <c r="A1483" s="2" t="s">
        <v>1759</v>
      </c>
      <c r="B1483" s="2" t="s">
        <v>21</v>
      </c>
      <c r="C1483" s="2" t="s">
        <v>1760</v>
      </c>
      <c r="D1483" s="2" t="s">
        <v>44</v>
      </c>
      <c r="E1483" s="2" t="s">
        <v>23</v>
      </c>
      <c r="F1483" s="2">
        <v>9.199437728E9</v>
      </c>
    </row>
    <row r="1484" ht="15.75" customHeight="1">
      <c r="A1484" s="2" t="s">
        <v>130</v>
      </c>
      <c r="B1484" s="2" t="s">
        <v>88</v>
      </c>
      <c r="C1484" s="2" t="s">
        <v>58</v>
      </c>
      <c r="D1484" s="2" t="s">
        <v>56</v>
      </c>
      <c r="E1484" s="2" t="s">
        <v>19</v>
      </c>
      <c r="F1484" s="2">
        <v>9.006048028E9</v>
      </c>
    </row>
    <row r="1485" ht="15.75" customHeight="1">
      <c r="A1485" s="2" t="s">
        <v>1761</v>
      </c>
      <c r="B1485" s="2" t="s">
        <v>212</v>
      </c>
      <c r="C1485" s="2" t="s">
        <v>228</v>
      </c>
      <c r="D1485" s="2" t="s">
        <v>56</v>
      </c>
      <c r="E1485" s="2" t="s">
        <v>19</v>
      </c>
      <c r="F1485" s="2">
        <v>9.81088815E9</v>
      </c>
    </row>
    <row r="1486" ht="15.75" customHeight="1">
      <c r="A1486" s="2" t="s">
        <v>1227</v>
      </c>
      <c r="B1486" s="2" t="s">
        <v>276</v>
      </c>
      <c r="C1486" s="2" t="s">
        <v>181</v>
      </c>
      <c r="D1486" s="2" t="s">
        <v>26</v>
      </c>
      <c r="E1486" s="2" t="s">
        <v>19</v>
      </c>
      <c r="F1486" s="2">
        <v>9.973854988E9</v>
      </c>
    </row>
    <row r="1487" ht="15.75" customHeight="1">
      <c r="A1487" s="2" t="s">
        <v>413</v>
      </c>
      <c r="B1487" s="2" t="s">
        <v>55</v>
      </c>
      <c r="C1487" s="2" t="s">
        <v>200</v>
      </c>
      <c r="D1487" s="2" t="s">
        <v>26</v>
      </c>
      <c r="E1487" s="2" t="s">
        <v>19</v>
      </c>
      <c r="F1487" s="2">
        <v>6.201942693E9</v>
      </c>
    </row>
    <row r="1488" ht="15.75" customHeight="1">
      <c r="A1488" s="2" t="s">
        <v>123</v>
      </c>
      <c r="B1488" s="2" t="s">
        <v>55</v>
      </c>
      <c r="C1488" s="2" t="s">
        <v>708</v>
      </c>
      <c r="D1488" s="2" t="s">
        <v>56</v>
      </c>
      <c r="E1488" s="2" t="s">
        <v>23</v>
      </c>
      <c r="F1488" s="2">
        <v>8.102751116E9</v>
      </c>
    </row>
    <row r="1489" ht="15.75" customHeight="1">
      <c r="A1489" s="2" t="s">
        <v>1080</v>
      </c>
      <c r="B1489" s="2" t="s">
        <v>499</v>
      </c>
      <c r="C1489" s="2" t="s">
        <v>133</v>
      </c>
      <c r="D1489" s="2" t="s">
        <v>26</v>
      </c>
      <c r="E1489" s="2" t="s">
        <v>19</v>
      </c>
      <c r="F1489" s="2">
        <v>7.20984378E9</v>
      </c>
    </row>
    <row r="1490" ht="15.75" customHeight="1">
      <c r="A1490" s="2" t="s">
        <v>538</v>
      </c>
      <c r="B1490" s="2" t="s">
        <v>50</v>
      </c>
      <c r="C1490" s="2" t="s">
        <v>360</v>
      </c>
      <c r="D1490" s="2" t="s">
        <v>56</v>
      </c>
      <c r="E1490" s="2" t="s">
        <v>19</v>
      </c>
      <c r="F1490" s="2">
        <v>9.798803779E9</v>
      </c>
    </row>
    <row r="1491" ht="15.75" customHeight="1">
      <c r="A1491" s="2" t="s">
        <v>1447</v>
      </c>
      <c r="B1491" s="2" t="s">
        <v>21</v>
      </c>
      <c r="C1491" s="2" t="s">
        <v>655</v>
      </c>
      <c r="D1491" s="2" t="s">
        <v>56</v>
      </c>
      <c r="E1491" s="2" t="s">
        <v>23</v>
      </c>
      <c r="F1491" s="2">
        <v>9.608473332E9</v>
      </c>
    </row>
    <row r="1492" ht="15.75" customHeight="1">
      <c r="A1492" s="2" t="s">
        <v>520</v>
      </c>
      <c r="B1492" s="2" t="s">
        <v>499</v>
      </c>
      <c r="C1492" s="2" t="s">
        <v>133</v>
      </c>
      <c r="D1492" s="2" t="s">
        <v>56</v>
      </c>
      <c r="E1492" s="2" t="s">
        <v>19</v>
      </c>
      <c r="F1492" s="2">
        <v>8.271304948E9</v>
      </c>
    </row>
    <row r="1493" ht="15.75" customHeight="1">
      <c r="A1493" s="2" t="s">
        <v>186</v>
      </c>
      <c r="B1493" s="2" t="s">
        <v>55</v>
      </c>
      <c r="C1493" s="2" t="s">
        <v>360</v>
      </c>
      <c r="D1493" s="2" t="s">
        <v>9</v>
      </c>
      <c r="E1493" s="2" t="s">
        <v>19</v>
      </c>
      <c r="F1493" s="2">
        <v>9.471511715E9</v>
      </c>
    </row>
    <row r="1494" ht="15.75" customHeight="1">
      <c r="A1494" s="2" t="s">
        <v>1444</v>
      </c>
      <c r="B1494" s="2" t="s">
        <v>380</v>
      </c>
      <c r="C1494" s="2" t="s">
        <v>1762</v>
      </c>
      <c r="D1494" s="2" t="s">
        <v>26</v>
      </c>
      <c r="E1494" s="2" t="s">
        <v>23</v>
      </c>
      <c r="F1494" s="2">
        <v>6.204130418E9</v>
      </c>
    </row>
    <row r="1495" ht="15.75" customHeight="1">
      <c r="A1495" s="2" t="s">
        <v>1257</v>
      </c>
      <c r="B1495" s="2" t="s">
        <v>1763</v>
      </c>
      <c r="C1495" s="2" t="s">
        <v>58</v>
      </c>
      <c r="D1495" s="2" t="s">
        <v>9</v>
      </c>
      <c r="E1495" s="2" t="s">
        <v>19</v>
      </c>
      <c r="F1495" s="2">
        <v>8.002837622E9</v>
      </c>
    </row>
    <row r="1496" ht="15.75" customHeight="1">
      <c r="A1496" s="2" t="s">
        <v>871</v>
      </c>
      <c r="B1496" s="2" t="s">
        <v>681</v>
      </c>
      <c r="C1496" s="2" t="s">
        <v>655</v>
      </c>
      <c r="D1496" s="2" t="s">
        <v>26</v>
      </c>
      <c r="E1496" s="2" t="s">
        <v>19</v>
      </c>
      <c r="F1496" s="2">
        <v>6.294971815E9</v>
      </c>
    </row>
    <row r="1497" ht="15.75" customHeight="1">
      <c r="A1497" s="2" t="s">
        <v>565</v>
      </c>
      <c r="B1497" s="2" t="s">
        <v>1764</v>
      </c>
      <c r="C1497" s="2" t="s">
        <v>171</v>
      </c>
      <c r="D1497" s="2" t="s">
        <v>9</v>
      </c>
      <c r="E1497" s="2" t="s">
        <v>19</v>
      </c>
      <c r="F1497" s="2">
        <v>9.031746525E9</v>
      </c>
    </row>
    <row r="1498" ht="15.75" customHeight="1">
      <c r="A1498" s="2" t="s">
        <v>125</v>
      </c>
      <c r="B1498" s="2" t="s">
        <v>50</v>
      </c>
      <c r="C1498" s="2" t="s">
        <v>133</v>
      </c>
      <c r="D1498" s="2" t="s">
        <v>44</v>
      </c>
      <c r="E1498" s="2" t="s">
        <v>19</v>
      </c>
      <c r="F1498" s="2">
        <v>7.366073891E9</v>
      </c>
    </row>
    <row r="1499" ht="15.75" customHeight="1">
      <c r="A1499" s="2" t="s">
        <v>393</v>
      </c>
      <c r="B1499" s="2" t="s">
        <v>119</v>
      </c>
      <c r="C1499" s="2" t="s">
        <v>1098</v>
      </c>
      <c r="D1499" s="2" t="s">
        <v>26</v>
      </c>
      <c r="E1499" s="2" t="s">
        <v>19</v>
      </c>
      <c r="F1499" s="2">
        <v>8.824848664E9</v>
      </c>
    </row>
    <row r="1500" ht="15.75" customHeight="1">
      <c r="A1500" s="2" t="s">
        <v>800</v>
      </c>
      <c r="B1500" s="2" t="s">
        <v>1765</v>
      </c>
      <c r="C1500" s="2" t="s">
        <v>133</v>
      </c>
      <c r="D1500" s="2" t="s">
        <v>14</v>
      </c>
      <c r="E1500" s="2" t="s">
        <v>19</v>
      </c>
      <c r="F1500" s="2">
        <v>9.304030094E9</v>
      </c>
    </row>
    <row r="1501" ht="15.75" customHeight="1">
      <c r="A1501" s="2" t="s">
        <v>1766</v>
      </c>
      <c r="B1501" s="2" t="s">
        <v>50</v>
      </c>
      <c r="C1501" s="2" t="s">
        <v>330</v>
      </c>
      <c r="D1501" s="2" t="s">
        <v>56</v>
      </c>
      <c r="E1501" s="2" t="s">
        <v>19</v>
      </c>
      <c r="F1501" s="2">
        <v>9.155934465E9</v>
      </c>
    </row>
    <row r="1502" ht="15.75" customHeight="1">
      <c r="A1502" s="2" t="s">
        <v>1767</v>
      </c>
      <c r="B1502" s="2" t="s">
        <v>108</v>
      </c>
      <c r="C1502" s="2" t="s">
        <v>58</v>
      </c>
      <c r="D1502" s="2" t="s">
        <v>56</v>
      </c>
      <c r="E1502" s="2" t="s">
        <v>19</v>
      </c>
      <c r="F1502" s="2">
        <v>8.328883536E9</v>
      </c>
    </row>
    <row r="1503" ht="15.75" customHeight="1">
      <c r="A1503" s="2" t="s">
        <v>120</v>
      </c>
      <c r="B1503" s="2" t="s">
        <v>55</v>
      </c>
      <c r="C1503" s="2" t="s">
        <v>181</v>
      </c>
      <c r="D1503" s="2" t="s">
        <v>56</v>
      </c>
      <c r="E1503" s="2" t="s">
        <v>19</v>
      </c>
      <c r="F1503" s="2">
        <v>7.903162822E9</v>
      </c>
    </row>
    <row r="1504" ht="15.75" customHeight="1">
      <c r="A1504" s="2" t="s">
        <v>1450</v>
      </c>
      <c r="B1504" s="2" t="s">
        <v>55</v>
      </c>
      <c r="C1504" s="2" t="s">
        <v>181</v>
      </c>
      <c r="D1504" s="2" t="s">
        <v>26</v>
      </c>
      <c r="E1504" s="2" t="s">
        <v>19</v>
      </c>
      <c r="F1504" s="2">
        <v>9.523448457E9</v>
      </c>
    </row>
    <row r="1505" ht="15.75" customHeight="1">
      <c r="A1505" s="2" t="s">
        <v>122</v>
      </c>
      <c r="B1505" s="2" t="s">
        <v>55</v>
      </c>
      <c r="C1505" s="2" t="s">
        <v>133</v>
      </c>
      <c r="D1505" s="2" t="s">
        <v>26</v>
      </c>
      <c r="E1505" s="2" t="s">
        <v>19</v>
      </c>
      <c r="F1505" s="2">
        <v>6.936302832E9</v>
      </c>
    </row>
    <row r="1506" ht="15.75" customHeight="1">
      <c r="A1506" s="2" t="s">
        <v>1768</v>
      </c>
      <c r="B1506" s="2" t="s">
        <v>65</v>
      </c>
      <c r="C1506" s="2" t="s">
        <v>763</v>
      </c>
      <c r="D1506" s="2" t="s">
        <v>26</v>
      </c>
      <c r="E1506" s="2" t="s">
        <v>19</v>
      </c>
      <c r="F1506" s="2">
        <v>7.488242874E9</v>
      </c>
    </row>
    <row r="1507" ht="15.75" customHeight="1">
      <c r="A1507" s="2" t="s">
        <v>520</v>
      </c>
      <c r="B1507" s="2" t="s">
        <v>1769</v>
      </c>
      <c r="C1507" s="2" t="s">
        <v>655</v>
      </c>
      <c r="D1507" s="2" t="s">
        <v>56</v>
      </c>
      <c r="E1507" s="2" t="s">
        <v>19</v>
      </c>
      <c r="F1507" s="2">
        <v>7.679513403E9</v>
      </c>
    </row>
    <row r="1508" ht="15.75" customHeight="1">
      <c r="A1508" s="2" t="s">
        <v>538</v>
      </c>
      <c r="B1508" s="2" t="s">
        <v>55</v>
      </c>
      <c r="C1508" s="2" t="s">
        <v>181</v>
      </c>
      <c r="D1508" s="2" t="s">
        <v>26</v>
      </c>
      <c r="E1508" s="2" t="s">
        <v>19</v>
      </c>
      <c r="F1508" s="2">
        <v>8.210663294E9</v>
      </c>
    </row>
    <row r="1509" ht="15.75" customHeight="1">
      <c r="A1509" s="2" t="s">
        <v>406</v>
      </c>
      <c r="B1509" s="2" t="s">
        <v>1770</v>
      </c>
      <c r="C1509" s="2" t="s">
        <v>1771</v>
      </c>
      <c r="D1509" s="2" t="s">
        <v>56</v>
      </c>
      <c r="E1509" s="2" t="s">
        <v>19</v>
      </c>
      <c r="F1509" s="2">
        <v>8.101933172E9</v>
      </c>
    </row>
    <row r="1510" ht="15.75" customHeight="1">
      <c r="A1510" s="2" t="s">
        <v>186</v>
      </c>
      <c r="B1510" s="2" t="s">
        <v>1540</v>
      </c>
      <c r="C1510" s="2" t="s">
        <v>1408</v>
      </c>
      <c r="D1510" s="2" t="s">
        <v>56</v>
      </c>
      <c r="E1510" s="2" t="s">
        <v>19</v>
      </c>
      <c r="F1510" s="2">
        <v>8.709345407E9</v>
      </c>
    </row>
    <row r="1511" ht="15.75" customHeight="1">
      <c r="A1511" s="2" t="s">
        <v>1772</v>
      </c>
      <c r="B1511" s="2" t="s">
        <v>1773</v>
      </c>
      <c r="C1511" s="2" t="s">
        <v>655</v>
      </c>
      <c r="D1511" s="2" t="s">
        <v>56</v>
      </c>
      <c r="E1511" s="2" t="s">
        <v>19</v>
      </c>
      <c r="F1511" s="2">
        <v>9.409227508E9</v>
      </c>
    </row>
    <row r="1512" ht="15.75" customHeight="1">
      <c r="A1512" s="2" t="s">
        <v>1774</v>
      </c>
      <c r="B1512" s="2" t="s">
        <v>1775</v>
      </c>
      <c r="C1512" s="2" t="s">
        <v>1776</v>
      </c>
      <c r="D1512" s="2" t="s">
        <v>14</v>
      </c>
      <c r="E1512" s="2" t="s">
        <v>282</v>
      </c>
      <c r="F1512" s="2">
        <v>9.799771174E9</v>
      </c>
    </row>
    <row r="1513" ht="15.75" customHeight="1">
      <c r="A1513" s="2" t="s">
        <v>60</v>
      </c>
      <c r="B1513" s="2" t="s">
        <v>499</v>
      </c>
      <c r="C1513" s="2" t="s">
        <v>655</v>
      </c>
      <c r="D1513" s="2" t="s">
        <v>14</v>
      </c>
      <c r="E1513" s="2" t="s">
        <v>19</v>
      </c>
      <c r="F1513" s="2">
        <v>9.933189143E9</v>
      </c>
    </row>
    <row r="1514" ht="15.75" customHeight="1">
      <c r="A1514" s="2" t="s">
        <v>717</v>
      </c>
      <c r="B1514" s="2" t="s">
        <v>276</v>
      </c>
      <c r="C1514" s="2" t="s">
        <v>1533</v>
      </c>
      <c r="D1514" s="2" t="s">
        <v>26</v>
      </c>
      <c r="E1514" s="2" t="s">
        <v>19</v>
      </c>
      <c r="F1514" s="2">
        <v>8.670206994E9</v>
      </c>
    </row>
    <row r="1515" ht="15.75" customHeight="1">
      <c r="A1515" s="2" t="s">
        <v>1777</v>
      </c>
      <c r="B1515" s="2" t="s">
        <v>50</v>
      </c>
      <c r="C1515" s="2" t="s">
        <v>133</v>
      </c>
      <c r="D1515" s="2" t="s">
        <v>9</v>
      </c>
      <c r="E1515" s="2" t="s">
        <v>19</v>
      </c>
      <c r="F1515" s="2">
        <v>8.334749556E9</v>
      </c>
    </row>
    <row r="1516" ht="15.75" customHeight="1">
      <c r="A1516" s="2" t="s">
        <v>1631</v>
      </c>
      <c r="B1516" s="2" t="s">
        <v>1778</v>
      </c>
      <c r="C1516" s="2" t="s">
        <v>133</v>
      </c>
      <c r="D1516" s="2" t="s">
        <v>14</v>
      </c>
      <c r="E1516" s="2" t="s">
        <v>19</v>
      </c>
      <c r="F1516" s="2">
        <v>8.252250531E9</v>
      </c>
    </row>
    <row r="1517" ht="15.75" customHeight="1">
      <c r="A1517" s="2" t="s">
        <v>1629</v>
      </c>
      <c r="B1517" s="2" t="s">
        <v>1779</v>
      </c>
      <c r="C1517" s="2" t="s">
        <v>729</v>
      </c>
      <c r="D1517" s="2" t="s">
        <v>26</v>
      </c>
      <c r="E1517" s="2" t="s">
        <v>19</v>
      </c>
      <c r="F1517" s="2">
        <v>9.431364192E9</v>
      </c>
    </row>
    <row r="1518" ht="15.75" customHeight="1">
      <c r="A1518" s="2" t="s">
        <v>456</v>
      </c>
      <c r="B1518" s="2" t="s">
        <v>50</v>
      </c>
      <c r="C1518" s="2" t="s">
        <v>1408</v>
      </c>
      <c r="D1518" s="2" t="s">
        <v>26</v>
      </c>
      <c r="E1518" s="2" t="s">
        <v>19</v>
      </c>
      <c r="F1518" s="2">
        <v>7.209179814E9</v>
      </c>
    </row>
    <row r="1519" ht="15.75" customHeight="1">
      <c r="A1519" s="2" t="s">
        <v>1780</v>
      </c>
      <c r="B1519" s="2" t="s">
        <v>119</v>
      </c>
      <c r="C1519" s="2" t="s">
        <v>1781</v>
      </c>
      <c r="D1519" s="2" t="s">
        <v>56</v>
      </c>
      <c r="E1519" s="2" t="s">
        <v>1782</v>
      </c>
      <c r="F1519" s="2">
        <v>6.206081721E9</v>
      </c>
    </row>
    <row r="1520" ht="15.75" customHeight="1">
      <c r="A1520" s="2" t="s">
        <v>1783</v>
      </c>
      <c r="B1520" s="2" t="s">
        <v>276</v>
      </c>
      <c r="C1520" s="2" t="s">
        <v>333</v>
      </c>
      <c r="D1520" s="2" t="s">
        <v>56</v>
      </c>
      <c r="E1520" s="2" t="s">
        <v>19</v>
      </c>
      <c r="F1520" s="2">
        <v>9.234296845E9</v>
      </c>
    </row>
    <row r="1521" ht="15.75" customHeight="1">
      <c r="A1521" s="2" t="s">
        <v>991</v>
      </c>
      <c r="B1521" s="2" t="s">
        <v>312</v>
      </c>
      <c r="C1521" s="2" t="s">
        <v>106</v>
      </c>
      <c r="D1521" s="2" t="s">
        <v>56</v>
      </c>
      <c r="E1521" s="2" t="s">
        <v>19</v>
      </c>
      <c r="F1521" s="2">
        <v>9.643484918E9</v>
      </c>
    </row>
    <row r="1522" ht="15.75" customHeight="1">
      <c r="A1522" s="2" t="s">
        <v>1784</v>
      </c>
      <c r="B1522" s="2" t="s">
        <v>1785</v>
      </c>
      <c r="C1522" s="2" t="s">
        <v>133</v>
      </c>
      <c r="D1522" s="2" t="s">
        <v>9</v>
      </c>
      <c r="E1522" s="2" t="s">
        <v>19</v>
      </c>
      <c r="F1522" s="2">
        <v>6.512204912E9</v>
      </c>
    </row>
    <row r="1523" ht="15.75" customHeight="1">
      <c r="A1523" s="2" t="s">
        <v>568</v>
      </c>
      <c r="B1523" s="2" t="s">
        <v>50</v>
      </c>
      <c r="C1523" s="2" t="s">
        <v>106</v>
      </c>
      <c r="D1523" s="2" t="s">
        <v>26</v>
      </c>
      <c r="E1523" s="2" t="s">
        <v>19</v>
      </c>
      <c r="F1523" s="2">
        <v>8.210894749E9</v>
      </c>
    </row>
    <row r="1524" ht="15.75" customHeight="1">
      <c r="A1524" s="2" t="s">
        <v>1786</v>
      </c>
      <c r="B1524" s="2" t="s">
        <v>1514</v>
      </c>
      <c r="C1524" s="2" t="s">
        <v>1787</v>
      </c>
      <c r="D1524" s="2" t="s">
        <v>56</v>
      </c>
      <c r="E1524" s="2" t="s">
        <v>19</v>
      </c>
      <c r="F1524" s="2">
        <v>7.667714275E9</v>
      </c>
    </row>
    <row r="1525" ht="15.75" customHeight="1">
      <c r="A1525" s="2" t="s">
        <v>1788</v>
      </c>
      <c r="B1525" s="2" t="s">
        <v>992</v>
      </c>
      <c r="C1525" s="2" t="s">
        <v>1789</v>
      </c>
      <c r="D1525" s="2" t="s">
        <v>44</v>
      </c>
      <c r="E1525" s="2" t="s">
        <v>19</v>
      </c>
      <c r="F1525" s="2">
        <v>9.834898776E9</v>
      </c>
    </row>
    <row r="1526" ht="15.75" customHeight="1">
      <c r="A1526" s="2" t="s">
        <v>1044</v>
      </c>
      <c r="B1526" s="2" t="s">
        <v>1044</v>
      </c>
      <c r="C1526" s="2" t="s">
        <v>1790</v>
      </c>
      <c r="D1526" s="2" t="s">
        <v>44</v>
      </c>
      <c r="E1526" s="2" t="s">
        <v>494</v>
      </c>
      <c r="F1526" s="2">
        <v>9.654089894E9</v>
      </c>
    </row>
    <row r="1527" ht="15.75" customHeight="1">
      <c r="A1527" s="2" t="s">
        <v>1708</v>
      </c>
      <c r="B1527" s="2" t="s">
        <v>1791</v>
      </c>
      <c r="C1527" s="2" t="s">
        <v>1792</v>
      </c>
      <c r="D1527" s="2" t="s">
        <v>26</v>
      </c>
      <c r="E1527" s="2" t="s">
        <v>19</v>
      </c>
      <c r="F1527" s="2">
        <v>9.006765001E9</v>
      </c>
    </row>
    <row r="1528" ht="15.75" customHeight="1">
      <c r="A1528" s="2" t="s">
        <v>411</v>
      </c>
      <c r="B1528" s="2" t="s">
        <v>636</v>
      </c>
      <c r="C1528" s="2" t="s">
        <v>1012</v>
      </c>
      <c r="D1528" s="2" t="s">
        <v>26</v>
      </c>
      <c r="E1528" s="2" t="s">
        <v>19</v>
      </c>
      <c r="F1528" s="2">
        <v>7.004884041E9</v>
      </c>
    </row>
    <row r="1529" ht="15.75" customHeight="1">
      <c r="A1529" s="2" t="s">
        <v>1793</v>
      </c>
      <c r="B1529" s="2" t="s">
        <v>1793</v>
      </c>
      <c r="C1529" s="2" t="s">
        <v>1794</v>
      </c>
      <c r="D1529" s="2" t="s">
        <v>26</v>
      </c>
      <c r="E1529" s="2" t="s">
        <v>19</v>
      </c>
      <c r="F1529" s="2">
        <v>6.205361606E9</v>
      </c>
    </row>
    <row r="1530" ht="15.75" customHeight="1">
      <c r="A1530" s="2" t="s">
        <v>721</v>
      </c>
      <c r="B1530" s="2" t="s">
        <v>50</v>
      </c>
      <c r="C1530" s="2" t="s">
        <v>133</v>
      </c>
      <c r="D1530" s="2" t="s">
        <v>9</v>
      </c>
      <c r="E1530" s="2" t="s">
        <v>19</v>
      </c>
      <c r="F1530" s="2">
        <v>6.512545032E9</v>
      </c>
    </row>
    <row r="1531" ht="15.75" customHeight="1">
      <c r="A1531" s="2" t="s">
        <v>1795</v>
      </c>
      <c r="B1531" s="2" t="s">
        <v>88</v>
      </c>
      <c r="C1531" s="2" t="s">
        <v>305</v>
      </c>
      <c r="D1531" s="2" t="s">
        <v>56</v>
      </c>
      <c r="E1531" s="2" t="s">
        <v>19</v>
      </c>
      <c r="F1531" s="2">
        <v>9.234296845E9</v>
      </c>
    </row>
    <row r="1532" ht="15.75" customHeight="1">
      <c r="A1532" s="2" t="s">
        <v>1138</v>
      </c>
      <c r="B1532" s="2" t="s">
        <v>1796</v>
      </c>
      <c r="C1532" s="2" t="s">
        <v>655</v>
      </c>
      <c r="D1532" s="2" t="s">
        <v>56</v>
      </c>
      <c r="E1532" s="2" t="s">
        <v>19</v>
      </c>
      <c r="F1532" s="2">
        <v>8.409404586E9</v>
      </c>
    </row>
    <row r="1533" ht="15.75" customHeight="1">
      <c r="A1533" s="2" t="s">
        <v>189</v>
      </c>
      <c r="B1533" s="2" t="s">
        <v>50</v>
      </c>
      <c r="C1533" s="2" t="s">
        <v>360</v>
      </c>
      <c r="D1533" s="2" t="s">
        <v>44</v>
      </c>
      <c r="E1533" s="2" t="s">
        <v>23</v>
      </c>
      <c r="F1533" s="2">
        <v>9.69330306E9</v>
      </c>
    </row>
    <row r="1534" ht="15.75" customHeight="1">
      <c r="A1534" s="2" t="s">
        <v>264</v>
      </c>
      <c r="B1534" s="2" t="s">
        <v>55</v>
      </c>
      <c r="C1534" s="2" t="s">
        <v>1497</v>
      </c>
      <c r="D1534" s="2" t="s">
        <v>26</v>
      </c>
      <c r="E1534" s="2" t="s">
        <v>19</v>
      </c>
      <c r="F1534" s="2">
        <v>8.292542156E9</v>
      </c>
    </row>
    <row r="1535" ht="15.75" customHeight="1">
      <c r="A1535" s="2" t="s">
        <v>1044</v>
      </c>
      <c r="B1535" s="2" t="s">
        <v>1797</v>
      </c>
      <c r="C1535" s="2" t="s">
        <v>1798</v>
      </c>
      <c r="D1535" s="2" t="s">
        <v>102</v>
      </c>
      <c r="E1535" s="2" t="s">
        <v>19</v>
      </c>
      <c r="F1535" s="2">
        <v>9.986379651E9</v>
      </c>
    </row>
    <row r="1536" ht="15.75" customHeight="1">
      <c r="A1536" s="2" t="s">
        <v>484</v>
      </c>
      <c r="B1536" s="2" t="s">
        <v>50</v>
      </c>
      <c r="C1536" s="2" t="s">
        <v>1799</v>
      </c>
      <c r="D1536" s="2" t="s">
        <v>56</v>
      </c>
      <c r="E1536" s="2" t="s">
        <v>1342</v>
      </c>
      <c r="F1536" s="2">
        <v>9.990519932E9</v>
      </c>
    </row>
    <row r="1537" ht="15.75" customHeight="1">
      <c r="A1537" s="2" t="s">
        <v>1800</v>
      </c>
      <c r="B1537" s="2" t="s">
        <v>1801</v>
      </c>
      <c r="C1537" s="2" t="s">
        <v>655</v>
      </c>
      <c r="D1537" s="2" t="s">
        <v>56</v>
      </c>
      <c r="E1537" s="2" t="s">
        <v>19</v>
      </c>
      <c r="F1537" s="2">
        <v>9.470307662E9</v>
      </c>
    </row>
    <row r="1538" ht="15.75" customHeight="1">
      <c r="A1538" s="2" t="s">
        <v>535</v>
      </c>
      <c r="B1538" s="2" t="s">
        <v>55</v>
      </c>
      <c r="C1538" s="2" t="s">
        <v>360</v>
      </c>
      <c r="D1538" s="2" t="s">
        <v>14</v>
      </c>
      <c r="E1538" s="2" t="s">
        <v>23</v>
      </c>
      <c r="F1538" s="2">
        <v>8.7373895E9</v>
      </c>
    </row>
    <row r="1539" ht="15.75" customHeight="1">
      <c r="A1539" s="2" t="s">
        <v>1802</v>
      </c>
      <c r="B1539" s="2" t="s">
        <v>50</v>
      </c>
      <c r="C1539" s="2" t="s">
        <v>1803</v>
      </c>
      <c r="D1539" s="2" t="s">
        <v>56</v>
      </c>
      <c r="E1539" s="2" t="s">
        <v>19</v>
      </c>
      <c r="F1539" s="2">
        <v>9.431169764E9</v>
      </c>
    </row>
    <row r="1540" ht="15.75" customHeight="1">
      <c r="A1540" s="2" t="s">
        <v>1804</v>
      </c>
      <c r="B1540" s="2" t="s">
        <v>1331</v>
      </c>
      <c r="C1540" s="2" t="s">
        <v>1533</v>
      </c>
      <c r="D1540" s="2" t="s">
        <v>26</v>
      </c>
      <c r="E1540" s="2" t="s">
        <v>19</v>
      </c>
      <c r="F1540" s="2">
        <v>9.643484918E9</v>
      </c>
    </row>
    <row r="1541" ht="15.75" customHeight="1">
      <c r="A1541" s="2" t="s">
        <v>1805</v>
      </c>
      <c r="B1541" s="2" t="s">
        <v>220</v>
      </c>
      <c r="C1541" s="2" t="s">
        <v>330</v>
      </c>
      <c r="D1541" s="2" t="s">
        <v>29</v>
      </c>
      <c r="E1541" s="2" t="s">
        <v>19</v>
      </c>
      <c r="F1541" s="2">
        <v>9.832882116E9</v>
      </c>
    </row>
    <row r="1542" ht="15.75" customHeight="1">
      <c r="A1542" s="2" t="s">
        <v>1806</v>
      </c>
      <c r="B1542" s="2" t="s">
        <v>50</v>
      </c>
      <c r="C1542" s="2" t="s">
        <v>360</v>
      </c>
      <c r="D1542" s="2" t="s">
        <v>26</v>
      </c>
      <c r="E1542" s="2" t="s">
        <v>23</v>
      </c>
      <c r="F1542" s="2">
        <v>7.870944661E9</v>
      </c>
    </row>
    <row r="1543" ht="15.75" customHeight="1">
      <c r="A1543" s="2" t="s">
        <v>1807</v>
      </c>
      <c r="B1543" s="2" t="s">
        <v>21</v>
      </c>
      <c r="C1543" s="2" t="s">
        <v>360</v>
      </c>
      <c r="D1543" s="2" t="s">
        <v>26</v>
      </c>
      <c r="E1543" s="2" t="s">
        <v>19</v>
      </c>
      <c r="F1543" s="2">
        <v>9.162274262E9</v>
      </c>
    </row>
    <row r="1544" ht="15.75" customHeight="1">
      <c r="A1544" s="2" t="s">
        <v>339</v>
      </c>
      <c r="B1544" s="2" t="s">
        <v>508</v>
      </c>
      <c r="C1544" s="2" t="s">
        <v>1036</v>
      </c>
      <c r="D1544" s="2" t="s">
        <v>26</v>
      </c>
      <c r="E1544" s="2" t="s">
        <v>19</v>
      </c>
      <c r="F1544" s="2">
        <v>9.70865972E9</v>
      </c>
    </row>
    <row r="1545" ht="15.75" customHeight="1">
      <c r="A1545" s="2" t="s">
        <v>1808</v>
      </c>
      <c r="B1545" s="2" t="s">
        <v>276</v>
      </c>
      <c r="C1545" s="2" t="s">
        <v>655</v>
      </c>
      <c r="D1545" s="2" t="s">
        <v>56</v>
      </c>
      <c r="E1545" s="2" t="s">
        <v>19</v>
      </c>
      <c r="F1545" s="2">
        <v>9.955464967E9</v>
      </c>
    </row>
    <row r="1546" ht="15.75" customHeight="1">
      <c r="A1546" s="2" t="s">
        <v>1809</v>
      </c>
      <c r="B1546" s="2" t="s">
        <v>225</v>
      </c>
      <c r="C1546" s="2" t="s">
        <v>235</v>
      </c>
      <c r="D1546" s="2" t="s">
        <v>26</v>
      </c>
      <c r="E1546" s="2" t="s">
        <v>19</v>
      </c>
      <c r="F1546" s="2">
        <v>7.783028067E9</v>
      </c>
    </row>
    <row r="1547" ht="15.75" customHeight="1">
      <c r="A1547" s="2" t="s">
        <v>119</v>
      </c>
      <c r="B1547" s="2" t="s">
        <v>1810</v>
      </c>
      <c r="C1547" s="2" t="s">
        <v>1458</v>
      </c>
      <c r="D1547" s="2" t="s">
        <v>56</v>
      </c>
      <c r="E1547" s="2" t="s">
        <v>19</v>
      </c>
      <c r="F1547" s="2">
        <v>7.717752791E9</v>
      </c>
    </row>
    <row r="1548" ht="15.75" customHeight="1">
      <c r="A1548" s="2" t="s">
        <v>1811</v>
      </c>
      <c r="B1548" s="2" t="s">
        <v>1812</v>
      </c>
      <c r="C1548" s="2" t="s">
        <v>360</v>
      </c>
      <c r="D1548" s="2" t="s">
        <v>56</v>
      </c>
      <c r="E1548" s="2" t="s">
        <v>23</v>
      </c>
      <c r="F1548" s="2">
        <v>8.210894749E9</v>
      </c>
    </row>
    <row r="1549" ht="15.75" customHeight="1">
      <c r="A1549" s="2" t="s">
        <v>196</v>
      </c>
      <c r="B1549" s="2" t="s">
        <v>63</v>
      </c>
      <c r="C1549" s="2" t="s">
        <v>1066</v>
      </c>
      <c r="D1549" s="2" t="s">
        <v>26</v>
      </c>
      <c r="E1549" s="2" t="s">
        <v>19</v>
      </c>
      <c r="F1549" s="2">
        <v>8.092162894E9</v>
      </c>
    </row>
    <row r="1550" ht="15.75" customHeight="1">
      <c r="A1550" s="2" t="s">
        <v>1813</v>
      </c>
      <c r="B1550" s="2" t="s">
        <v>55</v>
      </c>
      <c r="C1550" s="2" t="s">
        <v>708</v>
      </c>
      <c r="D1550" s="2" t="s">
        <v>56</v>
      </c>
      <c r="E1550" s="2" t="s">
        <v>19</v>
      </c>
      <c r="F1550" s="2">
        <v>8.986852413E9</v>
      </c>
    </row>
    <row r="1551" ht="15.75" customHeight="1">
      <c r="A1551" s="2" t="s">
        <v>1814</v>
      </c>
      <c r="B1551" s="2" t="s">
        <v>1431</v>
      </c>
      <c r="C1551" s="2" t="s">
        <v>671</v>
      </c>
      <c r="D1551" s="2" t="s">
        <v>9</v>
      </c>
      <c r="E1551" s="2" t="s">
        <v>19</v>
      </c>
      <c r="F1551" s="2">
        <v>6.200151905E9</v>
      </c>
    </row>
    <row r="1552" ht="15.75" customHeight="1">
      <c r="A1552" s="2" t="s">
        <v>1167</v>
      </c>
      <c r="B1552" s="2" t="s">
        <v>21</v>
      </c>
      <c r="C1552" s="2" t="s">
        <v>360</v>
      </c>
      <c r="D1552" s="2" t="s">
        <v>26</v>
      </c>
      <c r="E1552" s="2" t="s">
        <v>23</v>
      </c>
      <c r="F1552" s="2">
        <v>9.334414056E9</v>
      </c>
    </row>
    <row r="1553" ht="15.75" customHeight="1">
      <c r="A1553" s="2" t="s">
        <v>1815</v>
      </c>
      <c r="B1553" s="2" t="s">
        <v>88</v>
      </c>
      <c r="C1553" s="2" t="s">
        <v>1816</v>
      </c>
      <c r="D1553" s="2" t="s">
        <v>26</v>
      </c>
      <c r="E1553" s="2" t="s">
        <v>19</v>
      </c>
      <c r="F1553" s="2">
        <v>7.050925914E9</v>
      </c>
    </row>
    <row r="1554" ht="15.75" customHeight="1">
      <c r="A1554" s="2" t="s">
        <v>1623</v>
      </c>
      <c r="B1554" s="2" t="s">
        <v>1817</v>
      </c>
      <c r="C1554" s="2" t="s">
        <v>1818</v>
      </c>
      <c r="D1554" s="2" t="s">
        <v>26</v>
      </c>
      <c r="E1554" s="2" t="s">
        <v>19</v>
      </c>
      <c r="F1554" s="2">
        <v>9.43111846E9</v>
      </c>
    </row>
    <row r="1555" ht="15.75" customHeight="1">
      <c r="A1555" s="2" t="s">
        <v>1819</v>
      </c>
      <c r="B1555" s="2" t="s">
        <v>276</v>
      </c>
      <c r="C1555" s="2" t="s">
        <v>1024</v>
      </c>
      <c r="D1555" s="2" t="s">
        <v>44</v>
      </c>
      <c r="E1555" s="2" t="s">
        <v>19</v>
      </c>
      <c r="F1555" s="2">
        <v>7.004089551E9</v>
      </c>
    </row>
    <row r="1556" ht="15.75" customHeight="1">
      <c r="A1556" s="2" t="s">
        <v>1549</v>
      </c>
      <c r="B1556" s="2" t="s">
        <v>50</v>
      </c>
      <c r="C1556" s="2" t="s">
        <v>1379</v>
      </c>
      <c r="D1556" s="2" t="s">
        <v>44</v>
      </c>
      <c r="E1556" s="2" t="s">
        <v>19</v>
      </c>
      <c r="F1556" s="2">
        <v>9.431169764E9</v>
      </c>
    </row>
    <row r="1557" ht="15.75" customHeight="1">
      <c r="A1557" s="2" t="s">
        <v>1463</v>
      </c>
      <c r="B1557" s="2" t="s">
        <v>50</v>
      </c>
      <c r="C1557" s="2" t="s">
        <v>34</v>
      </c>
      <c r="D1557" s="2" t="s">
        <v>26</v>
      </c>
      <c r="E1557" s="2" t="s">
        <v>23</v>
      </c>
      <c r="F1557" s="2">
        <v>9.835520277E9</v>
      </c>
    </row>
    <row r="1558" ht="15.75" customHeight="1">
      <c r="A1558" s="2" t="s">
        <v>1820</v>
      </c>
      <c r="B1558" s="2" t="s">
        <v>191</v>
      </c>
      <c r="C1558" s="2" t="s">
        <v>305</v>
      </c>
      <c r="D1558" s="2" t="s">
        <v>44</v>
      </c>
      <c r="E1558" s="2" t="s">
        <v>19</v>
      </c>
      <c r="F1558" s="2">
        <v>6.27145291E9</v>
      </c>
    </row>
    <row r="1559" ht="15.75" customHeight="1">
      <c r="A1559" s="2" t="s">
        <v>507</v>
      </c>
      <c r="B1559" s="2" t="s">
        <v>50</v>
      </c>
      <c r="C1559" s="2" t="s">
        <v>360</v>
      </c>
      <c r="D1559" s="2" t="s">
        <v>26</v>
      </c>
      <c r="E1559" s="2" t="s">
        <v>23</v>
      </c>
      <c r="F1559" s="2">
        <v>8.210341961E9</v>
      </c>
    </row>
    <row r="1560" ht="15.75" customHeight="1">
      <c r="A1560" s="2" t="s">
        <v>1821</v>
      </c>
      <c r="B1560" s="2" t="s">
        <v>55</v>
      </c>
      <c r="C1560" s="2" t="s">
        <v>58</v>
      </c>
      <c r="D1560" s="2" t="s">
        <v>44</v>
      </c>
      <c r="E1560" s="2" t="s">
        <v>19</v>
      </c>
      <c r="F1560" s="2">
        <v>7.54538749E9</v>
      </c>
    </row>
    <row r="1561" ht="15.75" customHeight="1">
      <c r="A1561" s="2" t="s">
        <v>127</v>
      </c>
      <c r="B1561" s="2" t="s">
        <v>483</v>
      </c>
      <c r="C1561" s="2" t="s">
        <v>1408</v>
      </c>
      <c r="D1561" s="2" t="s">
        <v>26</v>
      </c>
      <c r="E1561" s="2" t="s">
        <v>19</v>
      </c>
      <c r="F1561" s="2">
        <v>7.564932846E9</v>
      </c>
    </row>
    <row r="1562" ht="15.75" customHeight="1">
      <c r="A1562" s="2" t="s">
        <v>534</v>
      </c>
      <c r="B1562" s="2" t="s">
        <v>1480</v>
      </c>
      <c r="C1562" s="2" t="s">
        <v>763</v>
      </c>
      <c r="D1562" s="2" t="s">
        <v>9</v>
      </c>
      <c r="E1562" s="2" t="s">
        <v>19</v>
      </c>
      <c r="F1562" s="2">
        <v>9.113473401E9</v>
      </c>
    </row>
    <row r="1563" ht="15.75" customHeight="1">
      <c r="A1563" s="2" t="s">
        <v>1822</v>
      </c>
      <c r="B1563" s="2" t="s">
        <v>1540</v>
      </c>
      <c r="C1563" s="2" t="s">
        <v>1823</v>
      </c>
      <c r="D1563" s="2" t="s">
        <v>26</v>
      </c>
      <c r="E1563" s="2" t="s">
        <v>19</v>
      </c>
      <c r="F1563" s="2">
        <v>9.430384378E9</v>
      </c>
    </row>
    <row r="1564" ht="15.75" customHeight="1">
      <c r="A1564" s="2" t="s">
        <v>1824</v>
      </c>
      <c r="B1564" s="2" t="s">
        <v>1825</v>
      </c>
      <c r="C1564" s="2" t="s">
        <v>763</v>
      </c>
      <c r="D1564" s="2" t="s">
        <v>26</v>
      </c>
      <c r="E1564" s="2" t="s">
        <v>19</v>
      </c>
      <c r="F1564" s="2">
        <v>9.43174405E9</v>
      </c>
    </row>
    <row r="1565" ht="15.75" customHeight="1">
      <c r="A1565" s="2" t="s">
        <v>1826</v>
      </c>
      <c r="B1565" s="2" t="s">
        <v>88</v>
      </c>
      <c r="C1565" s="2" t="s">
        <v>277</v>
      </c>
      <c r="D1565" s="2" t="s">
        <v>9</v>
      </c>
      <c r="E1565" s="2" t="s">
        <v>19</v>
      </c>
      <c r="F1565" s="2">
        <v>8.507706661E9</v>
      </c>
    </row>
    <row r="1566" ht="15.75" customHeight="1">
      <c r="A1566" s="2" t="s">
        <v>1827</v>
      </c>
      <c r="B1566" s="2" t="s">
        <v>21</v>
      </c>
      <c r="C1566" s="2" t="s">
        <v>360</v>
      </c>
      <c r="D1566" s="2" t="s">
        <v>44</v>
      </c>
      <c r="E1566" s="2" t="s">
        <v>23</v>
      </c>
      <c r="F1566" s="2">
        <v>8.78937084E9</v>
      </c>
    </row>
    <row r="1567" ht="15.75" customHeight="1">
      <c r="A1567" s="2" t="s">
        <v>123</v>
      </c>
      <c r="B1567" s="2" t="s">
        <v>52</v>
      </c>
      <c r="C1567" s="2" t="s">
        <v>1828</v>
      </c>
      <c r="D1567" s="2" t="s">
        <v>9</v>
      </c>
      <c r="E1567" s="2" t="s">
        <v>19</v>
      </c>
      <c r="F1567" s="2">
        <v>6.203527917E9</v>
      </c>
    </row>
    <row r="1568" ht="15.75" customHeight="1">
      <c r="A1568" s="2" t="s">
        <v>1829</v>
      </c>
      <c r="B1568" s="2" t="s">
        <v>113</v>
      </c>
      <c r="C1568" s="2" t="s">
        <v>1829</v>
      </c>
      <c r="D1568" s="2" t="s">
        <v>56</v>
      </c>
      <c r="E1568" s="2" t="s">
        <v>19</v>
      </c>
      <c r="F1568" s="2">
        <v>7.563919469E9</v>
      </c>
    </row>
    <row r="1569" ht="15.75" customHeight="1">
      <c r="A1569" s="2" t="s">
        <v>1830</v>
      </c>
      <c r="B1569" s="2" t="s">
        <v>1831</v>
      </c>
      <c r="C1569" s="2" t="s">
        <v>1818</v>
      </c>
      <c r="D1569" s="2" t="s">
        <v>26</v>
      </c>
      <c r="E1569" s="2" t="s">
        <v>19</v>
      </c>
      <c r="F1569" s="2">
        <v>7.903122716E9</v>
      </c>
    </row>
    <row r="1570" ht="15.75" customHeight="1">
      <c r="A1570" s="2" t="s">
        <v>131</v>
      </c>
      <c r="B1570" s="2" t="s">
        <v>78</v>
      </c>
      <c r="C1570" s="2" t="s">
        <v>1832</v>
      </c>
      <c r="D1570" s="2" t="s">
        <v>26</v>
      </c>
      <c r="E1570" s="2" t="s">
        <v>19</v>
      </c>
      <c r="F1570" s="2">
        <v>9.67470103E9</v>
      </c>
    </row>
    <row r="1571" ht="15.75" customHeight="1">
      <c r="A1571" s="2" t="s">
        <v>1833</v>
      </c>
      <c r="B1571" s="2" t="s">
        <v>982</v>
      </c>
      <c r="C1571" s="2" t="s">
        <v>763</v>
      </c>
      <c r="D1571" s="2" t="s">
        <v>26</v>
      </c>
      <c r="E1571" s="2" t="s">
        <v>19</v>
      </c>
      <c r="F1571" s="2">
        <v>9.931061313E9</v>
      </c>
    </row>
    <row r="1572" ht="15.75" customHeight="1">
      <c r="A1572" s="2" t="s">
        <v>123</v>
      </c>
      <c r="B1572" s="2" t="s">
        <v>50</v>
      </c>
      <c r="C1572" s="2" t="s">
        <v>1379</v>
      </c>
      <c r="D1572" s="2" t="s">
        <v>44</v>
      </c>
      <c r="E1572" s="2" t="s">
        <v>19</v>
      </c>
      <c r="F1572" s="2">
        <v>9.798305039E9</v>
      </c>
    </row>
    <row r="1573" ht="15.75" customHeight="1">
      <c r="A1573" s="2" t="s">
        <v>123</v>
      </c>
      <c r="B1573" s="2" t="s">
        <v>212</v>
      </c>
      <c r="C1573" s="2" t="s">
        <v>226</v>
      </c>
      <c r="D1573" s="2" t="s">
        <v>56</v>
      </c>
      <c r="E1573" s="2" t="s">
        <v>19</v>
      </c>
      <c r="F1573" s="2">
        <v>9.72528191E9</v>
      </c>
    </row>
    <row r="1574" ht="15.75" customHeight="1">
      <c r="A1574" s="2" t="s">
        <v>1834</v>
      </c>
      <c r="B1574" s="2" t="s">
        <v>220</v>
      </c>
      <c r="C1574" s="2" t="s">
        <v>34</v>
      </c>
      <c r="D1574" s="2" t="s">
        <v>56</v>
      </c>
      <c r="E1574" s="2" t="s">
        <v>23</v>
      </c>
      <c r="F1574" s="2">
        <v>9.871843654E9</v>
      </c>
    </row>
    <row r="1575" ht="15.75" customHeight="1">
      <c r="A1575" s="2" t="s">
        <v>94</v>
      </c>
      <c r="B1575" s="2" t="s">
        <v>1835</v>
      </c>
      <c r="C1575" s="2" t="s">
        <v>228</v>
      </c>
      <c r="D1575" s="2" t="s">
        <v>26</v>
      </c>
      <c r="E1575" s="2" t="s">
        <v>19</v>
      </c>
      <c r="F1575" s="2">
        <v>7.0334122E9</v>
      </c>
    </row>
    <row r="1576" ht="15.75" customHeight="1">
      <c r="A1576" s="2" t="s">
        <v>163</v>
      </c>
      <c r="B1576" s="2" t="s">
        <v>65</v>
      </c>
      <c r="C1576" s="2" t="s">
        <v>162</v>
      </c>
      <c r="D1576" s="2" t="s">
        <v>14</v>
      </c>
      <c r="E1576" s="2" t="s">
        <v>19</v>
      </c>
      <c r="F1576" s="2">
        <v>9.470309881E9</v>
      </c>
    </row>
    <row r="1577" ht="15.75" customHeight="1">
      <c r="A1577" s="2" t="s">
        <v>1836</v>
      </c>
      <c r="B1577" s="2" t="s">
        <v>276</v>
      </c>
      <c r="C1577" s="2" t="s">
        <v>171</v>
      </c>
      <c r="D1577" s="2" t="s">
        <v>56</v>
      </c>
      <c r="E1577" s="2" t="s">
        <v>19</v>
      </c>
      <c r="F1577" s="2">
        <v>9.798132857E9</v>
      </c>
    </row>
    <row r="1578" ht="15.75" customHeight="1">
      <c r="A1578" s="2" t="s">
        <v>1837</v>
      </c>
      <c r="B1578" s="2" t="s">
        <v>797</v>
      </c>
      <c r="C1578" s="2" t="s">
        <v>970</v>
      </c>
      <c r="D1578" s="2" t="s">
        <v>56</v>
      </c>
      <c r="E1578" s="2" t="s">
        <v>23</v>
      </c>
      <c r="F1578" s="2">
        <v>8.083313073E9</v>
      </c>
    </row>
    <row r="1579" ht="15.75" customHeight="1">
      <c r="A1579" s="2" t="s">
        <v>1422</v>
      </c>
      <c r="B1579" s="2" t="s">
        <v>119</v>
      </c>
      <c r="C1579" s="2" t="s">
        <v>1379</v>
      </c>
      <c r="D1579" s="2" t="s">
        <v>56</v>
      </c>
      <c r="E1579" s="2" t="s">
        <v>19</v>
      </c>
      <c r="F1579" s="2">
        <v>9.352488529E9</v>
      </c>
    </row>
    <row r="1580" ht="15.75" customHeight="1">
      <c r="A1580" s="2" t="s">
        <v>1194</v>
      </c>
      <c r="B1580" s="2" t="s">
        <v>65</v>
      </c>
      <c r="C1580" s="2" t="s">
        <v>200</v>
      </c>
      <c r="D1580" s="2" t="s">
        <v>26</v>
      </c>
      <c r="E1580" s="2" t="s">
        <v>19</v>
      </c>
      <c r="F1580" s="2">
        <v>8.797900001E9</v>
      </c>
    </row>
    <row r="1581" ht="15.75" customHeight="1">
      <c r="A1581" s="2" t="s">
        <v>1820</v>
      </c>
      <c r="B1581" s="2" t="s">
        <v>55</v>
      </c>
      <c r="C1581" s="2" t="s">
        <v>58</v>
      </c>
      <c r="D1581" s="2" t="s">
        <v>14</v>
      </c>
      <c r="E1581" s="2" t="s">
        <v>19</v>
      </c>
      <c r="F1581" s="2">
        <v>9.505157914E9</v>
      </c>
    </row>
    <row r="1582" ht="15.75" customHeight="1">
      <c r="A1582" s="2" t="s">
        <v>1838</v>
      </c>
      <c r="B1582" s="2" t="s">
        <v>55</v>
      </c>
      <c r="C1582" s="2" t="s">
        <v>230</v>
      </c>
      <c r="D1582" s="2" t="s">
        <v>9</v>
      </c>
      <c r="E1582" s="2" t="s">
        <v>19</v>
      </c>
      <c r="F1582" s="2">
        <v>9.741416901E9</v>
      </c>
    </row>
    <row r="1583" ht="15.75" customHeight="1">
      <c r="A1583" s="2" t="s">
        <v>381</v>
      </c>
      <c r="B1583" s="2" t="s">
        <v>50</v>
      </c>
      <c r="C1583" s="2" t="s">
        <v>655</v>
      </c>
      <c r="D1583" s="2" t="s">
        <v>26</v>
      </c>
      <c r="E1583" s="2" t="s">
        <v>19</v>
      </c>
      <c r="F1583" s="2">
        <v>8.252164884E9</v>
      </c>
    </row>
    <row r="1584" ht="15.75" customHeight="1">
      <c r="A1584" s="2" t="s">
        <v>186</v>
      </c>
      <c r="B1584" s="2" t="s">
        <v>1839</v>
      </c>
      <c r="C1584" s="2" t="s">
        <v>171</v>
      </c>
      <c r="D1584" s="2" t="s">
        <v>56</v>
      </c>
      <c r="E1584" s="2" t="s">
        <v>19</v>
      </c>
      <c r="F1584" s="2">
        <v>9.431171475E9</v>
      </c>
    </row>
    <row r="1585" ht="15.75" customHeight="1">
      <c r="A1585" s="2" t="s">
        <v>1840</v>
      </c>
      <c r="B1585" s="2" t="s">
        <v>50</v>
      </c>
      <c r="C1585" s="2" t="s">
        <v>1841</v>
      </c>
      <c r="D1585" s="2" t="s">
        <v>102</v>
      </c>
      <c r="E1585" s="2" t="s">
        <v>19</v>
      </c>
      <c r="F1585" s="2">
        <v>9.102401011E9</v>
      </c>
    </row>
    <row r="1586" ht="15.75" customHeight="1">
      <c r="A1586" s="2" t="s">
        <v>1842</v>
      </c>
      <c r="B1586" s="2" t="s">
        <v>55</v>
      </c>
      <c r="C1586" s="2" t="s">
        <v>576</v>
      </c>
      <c r="D1586" s="2" t="s">
        <v>29</v>
      </c>
      <c r="E1586" s="2" t="s">
        <v>23</v>
      </c>
      <c r="F1586" s="2">
        <v>7.49790826E9</v>
      </c>
    </row>
    <row r="1587" ht="15.75" customHeight="1">
      <c r="A1587" s="2" t="s">
        <v>1340</v>
      </c>
      <c r="B1587" s="2" t="s">
        <v>55</v>
      </c>
      <c r="C1587" s="2" t="s">
        <v>181</v>
      </c>
      <c r="D1587" s="2" t="s">
        <v>26</v>
      </c>
      <c r="E1587" s="2" t="s">
        <v>23</v>
      </c>
      <c r="F1587" s="2">
        <v>9.15582251E9</v>
      </c>
    </row>
    <row r="1588" ht="15.75" customHeight="1">
      <c r="A1588" s="2" t="s">
        <v>856</v>
      </c>
      <c r="B1588" s="2" t="s">
        <v>1265</v>
      </c>
      <c r="C1588" s="2" t="s">
        <v>1458</v>
      </c>
      <c r="D1588" s="2" t="s">
        <v>102</v>
      </c>
      <c r="E1588" s="2" t="s">
        <v>19</v>
      </c>
      <c r="F1588" s="2">
        <v>9.122706562E9</v>
      </c>
    </row>
    <row r="1589" ht="15.75" customHeight="1">
      <c r="A1589" s="2" t="s">
        <v>1429</v>
      </c>
      <c r="B1589" s="2" t="s">
        <v>113</v>
      </c>
      <c r="C1589" s="2" t="s">
        <v>162</v>
      </c>
      <c r="D1589" s="2" t="s">
        <v>44</v>
      </c>
      <c r="E1589" s="2" t="s">
        <v>19</v>
      </c>
      <c r="F1589" s="2">
        <v>7.209271439E9</v>
      </c>
    </row>
    <row r="1590" ht="15.75" customHeight="1">
      <c r="A1590" s="2" t="s">
        <v>1843</v>
      </c>
      <c r="B1590" s="2" t="s">
        <v>50</v>
      </c>
      <c r="C1590" s="2" t="s">
        <v>1379</v>
      </c>
      <c r="D1590" s="2" t="s">
        <v>26</v>
      </c>
      <c r="E1590" s="2" t="s">
        <v>19</v>
      </c>
      <c r="F1590" s="2">
        <v>9.965774203E9</v>
      </c>
    </row>
    <row r="1591" ht="15.75" customHeight="1">
      <c r="A1591" s="2" t="s">
        <v>1844</v>
      </c>
      <c r="B1591" s="2" t="s">
        <v>1509</v>
      </c>
      <c r="C1591" s="2" t="s">
        <v>1818</v>
      </c>
      <c r="D1591" s="2" t="s">
        <v>26</v>
      </c>
      <c r="E1591" s="2" t="s">
        <v>19</v>
      </c>
      <c r="F1591" s="2">
        <v>7.893336666E9</v>
      </c>
    </row>
    <row r="1592" ht="15.75" customHeight="1">
      <c r="A1592" s="2" t="s">
        <v>1845</v>
      </c>
      <c r="B1592" s="2" t="s">
        <v>63</v>
      </c>
      <c r="C1592" s="2" t="s">
        <v>576</v>
      </c>
      <c r="D1592" s="2" t="s">
        <v>56</v>
      </c>
      <c r="E1592" s="2" t="s">
        <v>23</v>
      </c>
      <c r="F1592" s="2">
        <v>8.40938038E9</v>
      </c>
    </row>
    <row r="1593" ht="15.75" customHeight="1">
      <c r="A1593" s="2" t="s">
        <v>1846</v>
      </c>
      <c r="B1593" s="2" t="s">
        <v>212</v>
      </c>
      <c r="C1593" s="2" t="s">
        <v>305</v>
      </c>
      <c r="D1593" s="2" t="s">
        <v>29</v>
      </c>
      <c r="E1593" s="2" t="s">
        <v>19</v>
      </c>
      <c r="F1593" s="2">
        <v>9.262625291E9</v>
      </c>
    </row>
    <row r="1594" ht="15.75" customHeight="1">
      <c r="A1594" s="2" t="s">
        <v>1847</v>
      </c>
      <c r="B1594" s="2" t="s">
        <v>1848</v>
      </c>
      <c r="C1594" s="2" t="s">
        <v>1849</v>
      </c>
      <c r="D1594" s="2" t="s">
        <v>56</v>
      </c>
      <c r="E1594" s="2" t="s">
        <v>19</v>
      </c>
      <c r="F1594" s="2">
        <v>7.091775759E9</v>
      </c>
    </row>
    <row r="1595" ht="15.75" customHeight="1">
      <c r="A1595" s="2" t="s">
        <v>1660</v>
      </c>
      <c r="B1595" s="2" t="s">
        <v>125</v>
      </c>
      <c r="C1595" s="2" t="s">
        <v>1787</v>
      </c>
      <c r="D1595" s="2" t="s">
        <v>44</v>
      </c>
      <c r="E1595" s="2" t="s">
        <v>19</v>
      </c>
      <c r="F1595" s="2">
        <v>7.632904071E9</v>
      </c>
    </row>
    <row r="1596" ht="15.75" customHeight="1">
      <c r="A1596" s="2" t="s">
        <v>707</v>
      </c>
      <c r="B1596" s="2" t="s">
        <v>170</v>
      </c>
      <c r="C1596" s="2" t="s">
        <v>1042</v>
      </c>
      <c r="D1596" s="2" t="s">
        <v>56</v>
      </c>
      <c r="E1596" s="2" t="s">
        <v>23</v>
      </c>
      <c r="F1596" s="2">
        <v>8.521945786E9</v>
      </c>
    </row>
    <row r="1597" ht="15.75" customHeight="1">
      <c r="A1597" s="2" t="s">
        <v>376</v>
      </c>
      <c r="B1597" s="2" t="s">
        <v>50</v>
      </c>
      <c r="C1597" s="2" t="s">
        <v>1379</v>
      </c>
      <c r="D1597" s="2" t="s">
        <v>26</v>
      </c>
      <c r="E1597" s="2" t="s">
        <v>19</v>
      </c>
      <c r="F1597" s="2">
        <v>7.56390657E9</v>
      </c>
    </row>
    <row r="1598" ht="15.75" customHeight="1">
      <c r="A1598" s="2" t="s">
        <v>1423</v>
      </c>
      <c r="B1598" s="2" t="s">
        <v>52</v>
      </c>
      <c r="C1598" s="2" t="s">
        <v>61</v>
      </c>
      <c r="D1598" s="2" t="s">
        <v>29</v>
      </c>
      <c r="E1598" s="2" t="s">
        <v>23</v>
      </c>
      <c r="F1598" s="2">
        <v>8.309431573E9</v>
      </c>
    </row>
    <row r="1599" ht="15.75" customHeight="1">
      <c r="A1599" s="2" t="s">
        <v>1830</v>
      </c>
      <c r="B1599" s="2" t="s">
        <v>1850</v>
      </c>
      <c r="C1599" s="2" t="s">
        <v>1476</v>
      </c>
      <c r="D1599" s="2" t="s">
        <v>56</v>
      </c>
      <c r="E1599" s="2" t="s">
        <v>19</v>
      </c>
      <c r="F1599" s="2">
        <v>8.674991314E9</v>
      </c>
    </row>
    <row r="1600" ht="15.75" customHeight="1">
      <c r="A1600" s="2" t="s">
        <v>1851</v>
      </c>
      <c r="B1600" s="2" t="s">
        <v>52</v>
      </c>
      <c r="C1600" s="2" t="s">
        <v>200</v>
      </c>
      <c r="D1600" s="2" t="s">
        <v>56</v>
      </c>
      <c r="E1600" s="2" t="s">
        <v>23</v>
      </c>
      <c r="F1600" s="2">
        <v>9.430167157E9</v>
      </c>
    </row>
    <row r="1601" ht="15.75" customHeight="1">
      <c r="A1601" s="2" t="s">
        <v>1852</v>
      </c>
      <c r="B1601" s="2" t="s">
        <v>119</v>
      </c>
      <c r="C1601" s="2" t="s">
        <v>228</v>
      </c>
      <c r="D1601" s="2" t="s">
        <v>26</v>
      </c>
      <c r="E1601" s="2" t="s">
        <v>19</v>
      </c>
      <c r="F1601" s="2">
        <v>7.545042832E9</v>
      </c>
    </row>
    <row r="1602" ht="15.75" customHeight="1">
      <c r="A1602" s="2" t="s">
        <v>1044</v>
      </c>
      <c r="B1602" s="2" t="s">
        <v>55</v>
      </c>
      <c r="C1602" s="2" t="s">
        <v>330</v>
      </c>
      <c r="D1602" s="2" t="s">
        <v>29</v>
      </c>
      <c r="E1602" s="2" t="s">
        <v>19</v>
      </c>
      <c r="F1602" s="2">
        <v>9.845292041E9</v>
      </c>
    </row>
    <row r="1603" ht="15.75" customHeight="1">
      <c r="A1603" s="2" t="s">
        <v>565</v>
      </c>
      <c r="B1603" s="2" t="s">
        <v>50</v>
      </c>
      <c r="C1603" s="2" t="s">
        <v>828</v>
      </c>
      <c r="D1603" s="2" t="s">
        <v>56</v>
      </c>
      <c r="E1603" s="2" t="s">
        <v>19</v>
      </c>
      <c r="F1603" s="2">
        <v>9.874310264E9</v>
      </c>
    </row>
    <row r="1604" ht="15.75" customHeight="1">
      <c r="A1604" s="2" t="s">
        <v>1853</v>
      </c>
      <c r="B1604" s="2" t="s">
        <v>55</v>
      </c>
      <c r="C1604" s="2" t="s">
        <v>181</v>
      </c>
      <c r="D1604" s="2" t="s">
        <v>26</v>
      </c>
      <c r="E1604" s="2" t="s">
        <v>23</v>
      </c>
      <c r="F1604" s="2">
        <v>6.512791435E9</v>
      </c>
    </row>
    <row r="1605" ht="15.75" customHeight="1">
      <c r="A1605" s="2" t="s">
        <v>707</v>
      </c>
      <c r="B1605" s="2" t="s">
        <v>21</v>
      </c>
      <c r="C1605" s="2" t="s">
        <v>423</v>
      </c>
      <c r="D1605" s="2" t="s">
        <v>56</v>
      </c>
      <c r="E1605" s="2" t="s">
        <v>19</v>
      </c>
      <c r="F1605" s="2">
        <v>9.986538772E9</v>
      </c>
    </row>
    <row r="1606" ht="15.75" customHeight="1">
      <c r="A1606" s="2" t="s">
        <v>549</v>
      </c>
      <c r="B1606" s="2" t="s">
        <v>65</v>
      </c>
      <c r="C1606" s="2" t="s">
        <v>305</v>
      </c>
      <c r="D1606" s="2" t="s">
        <v>26</v>
      </c>
      <c r="E1606" s="2" t="s">
        <v>19</v>
      </c>
      <c r="F1606" s="2">
        <v>9.508850725E9</v>
      </c>
    </row>
    <row r="1607" ht="15.75" customHeight="1">
      <c r="A1607" s="2" t="s">
        <v>1450</v>
      </c>
      <c r="B1607" s="2" t="s">
        <v>125</v>
      </c>
      <c r="C1607" s="2" t="s">
        <v>1379</v>
      </c>
      <c r="D1607" s="2" t="s">
        <v>26</v>
      </c>
      <c r="E1607" s="2" t="s">
        <v>19</v>
      </c>
      <c r="F1607" s="2">
        <v>8.09246073E9</v>
      </c>
    </row>
    <row r="1608" ht="15.75" customHeight="1">
      <c r="A1608" s="2" t="s">
        <v>1854</v>
      </c>
      <c r="B1608" s="2" t="s">
        <v>63</v>
      </c>
      <c r="C1608" s="2" t="s">
        <v>34</v>
      </c>
      <c r="D1608" s="2" t="s">
        <v>29</v>
      </c>
      <c r="E1608" s="2" t="s">
        <v>23</v>
      </c>
      <c r="F1608" s="2">
        <v>9.113487038E9</v>
      </c>
    </row>
    <row r="1609" ht="15.75" customHeight="1">
      <c r="A1609" s="2" t="s">
        <v>1855</v>
      </c>
      <c r="B1609" s="2" t="s">
        <v>50</v>
      </c>
      <c r="C1609" s="2" t="s">
        <v>500</v>
      </c>
      <c r="D1609" s="2" t="s">
        <v>44</v>
      </c>
      <c r="E1609" s="2" t="s">
        <v>19</v>
      </c>
      <c r="F1609" s="2">
        <v>9.006814299E9</v>
      </c>
    </row>
    <row r="1610" ht="15.75" customHeight="1">
      <c r="A1610" s="2" t="s">
        <v>1856</v>
      </c>
      <c r="B1610" s="2" t="s">
        <v>664</v>
      </c>
      <c r="C1610" s="2" t="s">
        <v>58</v>
      </c>
      <c r="D1610" s="2" t="s">
        <v>44</v>
      </c>
      <c r="E1610" s="2" t="s">
        <v>19</v>
      </c>
      <c r="F1610" s="2">
        <v>7.90834964E9</v>
      </c>
    </row>
    <row r="1611" ht="15.75" customHeight="1">
      <c r="A1611" s="2" t="s">
        <v>1836</v>
      </c>
      <c r="B1611" s="2" t="s">
        <v>664</v>
      </c>
      <c r="C1611" s="2" t="s">
        <v>200</v>
      </c>
      <c r="D1611" s="2" t="s">
        <v>26</v>
      </c>
      <c r="E1611" s="2" t="s">
        <v>19</v>
      </c>
      <c r="F1611" s="2">
        <v>6.202163437E9</v>
      </c>
    </row>
    <row r="1612" ht="15.75" customHeight="1">
      <c r="A1612" s="2" t="s">
        <v>1857</v>
      </c>
      <c r="B1612" s="2" t="s">
        <v>63</v>
      </c>
      <c r="C1612" s="2" t="s">
        <v>1720</v>
      </c>
      <c r="D1612" s="2" t="s">
        <v>56</v>
      </c>
      <c r="E1612" s="2" t="s">
        <v>19</v>
      </c>
      <c r="F1612" s="2">
        <v>9.661910373E9</v>
      </c>
    </row>
    <row r="1613" ht="15.75" customHeight="1">
      <c r="A1613" s="2" t="s">
        <v>393</v>
      </c>
      <c r="B1613" s="2" t="s">
        <v>63</v>
      </c>
      <c r="C1613" s="2" t="s">
        <v>1533</v>
      </c>
      <c r="D1613" s="2" t="s">
        <v>44</v>
      </c>
      <c r="E1613" s="2" t="s">
        <v>19</v>
      </c>
      <c r="F1613" s="2">
        <v>9.708003155E9</v>
      </c>
    </row>
    <row r="1614" ht="15.75" customHeight="1">
      <c r="A1614" s="2" t="s">
        <v>1824</v>
      </c>
      <c r="B1614" s="2" t="s">
        <v>21</v>
      </c>
      <c r="C1614" s="2" t="s">
        <v>34</v>
      </c>
      <c r="D1614" s="2" t="s">
        <v>44</v>
      </c>
      <c r="E1614" s="2" t="s">
        <v>23</v>
      </c>
      <c r="F1614" s="2">
        <v>9.304950252E9</v>
      </c>
    </row>
    <row r="1615" ht="15.75" customHeight="1">
      <c r="A1615" s="2" t="s">
        <v>1858</v>
      </c>
      <c r="B1615" s="2" t="s">
        <v>312</v>
      </c>
      <c r="C1615" s="2" t="s">
        <v>1787</v>
      </c>
      <c r="D1615" s="2" t="s">
        <v>44</v>
      </c>
      <c r="E1615" s="2" t="s">
        <v>19</v>
      </c>
      <c r="F1615" s="2">
        <v>8.709426837E9</v>
      </c>
    </row>
    <row r="1616" ht="15.75" customHeight="1">
      <c r="A1616" s="2" t="s">
        <v>1838</v>
      </c>
      <c r="B1616" s="2" t="s">
        <v>63</v>
      </c>
      <c r="C1616" s="2" t="s">
        <v>1859</v>
      </c>
      <c r="D1616" s="2" t="s">
        <v>9</v>
      </c>
      <c r="E1616" s="2" t="s">
        <v>19</v>
      </c>
      <c r="F1616" s="2">
        <v>8.092547514E9</v>
      </c>
    </row>
    <row r="1617" ht="15.75" customHeight="1">
      <c r="A1617" s="2" t="s">
        <v>1394</v>
      </c>
      <c r="B1617" s="2" t="s">
        <v>1860</v>
      </c>
      <c r="C1617" s="2" t="s">
        <v>310</v>
      </c>
      <c r="D1617" s="2" t="s">
        <v>26</v>
      </c>
      <c r="E1617" s="2" t="s">
        <v>19</v>
      </c>
      <c r="F1617" s="2">
        <v>7.004601154E9</v>
      </c>
    </row>
    <row r="1618" ht="15.75" customHeight="1">
      <c r="A1618" s="2" t="s">
        <v>1273</v>
      </c>
      <c r="B1618" s="2" t="s">
        <v>1861</v>
      </c>
      <c r="C1618" s="2" t="s">
        <v>58</v>
      </c>
      <c r="D1618" s="2" t="s">
        <v>26</v>
      </c>
      <c r="E1618" s="2" t="s">
        <v>19</v>
      </c>
      <c r="F1618" s="2">
        <v>7.782882438E9</v>
      </c>
    </row>
    <row r="1619" ht="15.75" customHeight="1">
      <c r="A1619" s="2" t="s">
        <v>1862</v>
      </c>
      <c r="B1619" s="2" t="s">
        <v>145</v>
      </c>
      <c r="C1619" s="2" t="s">
        <v>729</v>
      </c>
      <c r="D1619" s="2" t="s">
        <v>26</v>
      </c>
      <c r="E1619" s="2" t="s">
        <v>19</v>
      </c>
      <c r="F1619" s="2">
        <v>8.52198727E9</v>
      </c>
    </row>
    <row r="1620" ht="15.75" customHeight="1">
      <c r="A1620" s="2" t="s">
        <v>1863</v>
      </c>
      <c r="B1620" s="2" t="s">
        <v>212</v>
      </c>
      <c r="C1620" s="2" t="s">
        <v>655</v>
      </c>
      <c r="D1620" s="2" t="s">
        <v>26</v>
      </c>
      <c r="E1620" s="2" t="s">
        <v>19</v>
      </c>
      <c r="F1620" s="2">
        <v>7.070717811E9</v>
      </c>
    </row>
    <row r="1621" ht="15.75" customHeight="1">
      <c r="A1621" s="2" t="s">
        <v>1864</v>
      </c>
      <c r="B1621" s="2" t="s">
        <v>922</v>
      </c>
      <c r="C1621" s="2" t="s">
        <v>58</v>
      </c>
      <c r="D1621" s="2" t="s">
        <v>26</v>
      </c>
      <c r="E1621" s="2" t="s">
        <v>19</v>
      </c>
      <c r="F1621" s="2">
        <v>7.004314781E9</v>
      </c>
    </row>
    <row r="1622" ht="15.75" customHeight="1">
      <c r="A1622" s="2" t="s">
        <v>1865</v>
      </c>
      <c r="B1622" s="2" t="s">
        <v>507</v>
      </c>
      <c r="C1622" s="2" t="s">
        <v>235</v>
      </c>
      <c r="D1622" s="2" t="s">
        <v>26</v>
      </c>
      <c r="E1622" s="2" t="s">
        <v>19</v>
      </c>
      <c r="F1622" s="2">
        <v>8.235495494E9</v>
      </c>
    </row>
    <row r="1623" ht="15.75" customHeight="1">
      <c r="A1623" s="2" t="s">
        <v>568</v>
      </c>
      <c r="B1623" s="2" t="s">
        <v>50</v>
      </c>
      <c r="C1623" s="2" t="s">
        <v>1379</v>
      </c>
      <c r="D1623" s="2" t="s">
        <v>56</v>
      </c>
      <c r="E1623" s="2" t="s">
        <v>19</v>
      </c>
      <c r="F1623" s="2">
        <v>9.471124651E9</v>
      </c>
    </row>
    <row r="1624" ht="15.75" customHeight="1">
      <c r="A1624" s="2" t="s">
        <v>364</v>
      </c>
      <c r="B1624" s="2" t="s">
        <v>50</v>
      </c>
      <c r="C1624" s="2" t="s">
        <v>1010</v>
      </c>
      <c r="D1624" s="2" t="s">
        <v>26</v>
      </c>
      <c r="E1624" s="2" t="s">
        <v>19</v>
      </c>
      <c r="F1624" s="2">
        <v>6.205361606E9</v>
      </c>
    </row>
    <row r="1625" ht="15.75" customHeight="1">
      <c r="A1625" s="2" t="s">
        <v>707</v>
      </c>
      <c r="B1625" s="2" t="s">
        <v>63</v>
      </c>
      <c r="C1625" s="2" t="s">
        <v>1012</v>
      </c>
      <c r="D1625" s="2" t="s">
        <v>26</v>
      </c>
      <c r="E1625" s="2" t="s">
        <v>19</v>
      </c>
      <c r="F1625" s="2">
        <v>7.893336666E9</v>
      </c>
    </row>
    <row r="1626" ht="15.75" customHeight="1">
      <c r="A1626" s="2" t="s">
        <v>1866</v>
      </c>
      <c r="B1626" s="2" t="s">
        <v>559</v>
      </c>
      <c r="C1626" s="2" t="s">
        <v>836</v>
      </c>
      <c r="D1626" s="2" t="s">
        <v>26</v>
      </c>
      <c r="E1626" s="2" t="s">
        <v>255</v>
      </c>
      <c r="F1626" s="2">
        <v>6.205339807E9</v>
      </c>
    </row>
    <row r="1627" ht="15.75" customHeight="1">
      <c r="A1627" s="2" t="s">
        <v>1218</v>
      </c>
      <c r="B1627" s="2" t="s">
        <v>125</v>
      </c>
      <c r="C1627" s="2" t="s">
        <v>729</v>
      </c>
      <c r="D1627" s="2" t="s">
        <v>9</v>
      </c>
      <c r="E1627" s="2" t="s">
        <v>19</v>
      </c>
      <c r="F1627" s="2">
        <v>7.717708301E9</v>
      </c>
    </row>
    <row r="1628" ht="15.75" customHeight="1">
      <c r="A1628" s="2" t="s">
        <v>772</v>
      </c>
      <c r="B1628" s="2" t="s">
        <v>1867</v>
      </c>
      <c r="C1628" s="2" t="s">
        <v>729</v>
      </c>
      <c r="D1628" s="2" t="s">
        <v>26</v>
      </c>
      <c r="E1628" s="2" t="s">
        <v>19</v>
      </c>
      <c r="F1628" s="2">
        <v>9.57005964E9</v>
      </c>
    </row>
    <row r="1629" ht="15.75" customHeight="1">
      <c r="A1629" s="2" t="s">
        <v>1868</v>
      </c>
      <c r="B1629" s="2" t="s">
        <v>909</v>
      </c>
      <c r="C1629" s="2" t="s">
        <v>844</v>
      </c>
      <c r="D1629" s="2" t="s">
        <v>56</v>
      </c>
      <c r="E1629" s="2" t="s">
        <v>23</v>
      </c>
      <c r="F1629" s="2">
        <v>7.0701123E9</v>
      </c>
    </row>
    <row r="1630" ht="15.75" customHeight="1">
      <c r="A1630" s="2" t="s">
        <v>1869</v>
      </c>
      <c r="B1630" s="2" t="s">
        <v>63</v>
      </c>
      <c r="C1630" s="2" t="s">
        <v>1476</v>
      </c>
      <c r="D1630" s="2" t="s">
        <v>102</v>
      </c>
      <c r="E1630" s="2" t="s">
        <v>19</v>
      </c>
      <c r="F1630" s="2">
        <v>9.142715615E9</v>
      </c>
    </row>
    <row r="1631" ht="15.75" customHeight="1">
      <c r="A1631" s="2" t="s">
        <v>1870</v>
      </c>
      <c r="B1631" s="2" t="s">
        <v>1061</v>
      </c>
      <c r="C1631" s="2" t="s">
        <v>277</v>
      </c>
      <c r="D1631" s="2" t="s">
        <v>29</v>
      </c>
      <c r="E1631" s="2" t="s">
        <v>19</v>
      </c>
      <c r="F1631" s="2">
        <v>9.166990179E9</v>
      </c>
    </row>
    <row r="1632" ht="15.75" customHeight="1">
      <c r="A1632" s="2" t="s">
        <v>1380</v>
      </c>
      <c r="B1632" s="2" t="s">
        <v>1273</v>
      </c>
      <c r="C1632" s="2" t="s">
        <v>576</v>
      </c>
      <c r="D1632" s="2" t="s">
        <v>26</v>
      </c>
      <c r="E1632" s="2" t="s">
        <v>19</v>
      </c>
      <c r="F1632" s="2">
        <v>8.872436886E9</v>
      </c>
    </row>
    <row r="1633" ht="15.75" customHeight="1">
      <c r="A1633" s="2" t="s">
        <v>127</v>
      </c>
      <c r="B1633" s="2" t="s">
        <v>63</v>
      </c>
      <c r="C1633" s="2" t="s">
        <v>200</v>
      </c>
      <c r="D1633" s="2" t="s">
        <v>26</v>
      </c>
      <c r="E1633" s="2" t="s">
        <v>19</v>
      </c>
      <c r="F1633" s="2">
        <v>8.52198727E9</v>
      </c>
    </row>
    <row r="1634" ht="15.75" customHeight="1">
      <c r="A1634" s="2" t="s">
        <v>1871</v>
      </c>
      <c r="B1634" s="2" t="s">
        <v>63</v>
      </c>
      <c r="C1634" s="2" t="s">
        <v>354</v>
      </c>
      <c r="D1634" s="2" t="s">
        <v>26</v>
      </c>
      <c r="E1634" s="2" t="s">
        <v>19</v>
      </c>
      <c r="F1634" s="2">
        <v>9.943148743E9</v>
      </c>
    </row>
    <row r="1635" ht="15.75" customHeight="1">
      <c r="A1635" s="2" t="s">
        <v>1872</v>
      </c>
      <c r="B1635" s="2" t="s">
        <v>55</v>
      </c>
      <c r="C1635" s="2" t="s">
        <v>836</v>
      </c>
      <c r="D1635" s="2" t="s">
        <v>26</v>
      </c>
      <c r="E1635" s="2" t="s">
        <v>255</v>
      </c>
      <c r="F1635" s="2">
        <v>9.801122995E9</v>
      </c>
    </row>
    <row r="1636" ht="15.75" customHeight="1">
      <c r="A1636" s="2" t="s">
        <v>374</v>
      </c>
      <c r="B1636" s="2" t="s">
        <v>119</v>
      </c>
      <c r="C1636" s="2" t="s">
        <v>970</v>
      </c>
      <c r="D1636" s="2" t="s">
        <v>26</v>
      </c>
      <c r="E1636" s="2" t="s">
        <v>19</v>
      </c>
      <c r="F1636" s="2">
        <v>9.693617414E9</v>
      </c>
    </row>
    <row r="1637" ht="15.75" customHeight="1">
      <c r="A1637" s="2" t="s">
        <v>1863</v>
      </c>
      <c r="B1637" s="2" t="s">
        <v>50</v>
      </c>
      <c r="C1637" s="2" t="s">
        <v>1873</v>
      </c>
      <c r="D1637" s="2" t="s">
        <v>9</v>
      </c>
      <c r="E1637" s="2" t="s">
        <v>19</v>
      </c>
      <c r="F1637" s="2">
        <v>8.092528917E9</v>
      </c>
    </row>
    <row r="1638" ht="15.75" customHeight="1">
      <c r="A1638" s="2" t="s">
        <v>1874</v>
      </c>
      <c r="B1638" s="2" t="s">
        <v>63</v>
      </c>
      <c r="C1638" s="2" t="s">
        <v>58</v>
      </c>
      <c r="D1638" s="2" t="s">
        <v>26</v>
      </c>
      <c r="E1638" s="2" t="s">
        <v>19</v>
      </c>
      <c r="F1638" s="2">
        <v>9.430171761E9</v>
      </c>
    </row>
    <row r="1639" ht="15.75" customHeight="1">
      <c r="A1639" s="2" t="s">
        <v>125</v>
      </c>
      <c r="B1639" s="2" t="s">
        <v>315</v>
      </c>
      <c r="C1639" s="2" t="s">
        <v>1379</v>
      </c>
      <c r="D1639" s="2" t="s">
        <v>26</v>
      </c>
      <c r="E1639" s="2" t="s">
        <v>19</v>
      </c>
      <c r="F1639" s="2">
        <v>8.87711583E9</v>
      </c>
    </row>
    <row r="1640" ht="15.75" customHeight="1">
      <c r="A1640" s="2" t="s">
        <v>1433</v>
      </c>
      <c r="B1640" s="2" t="s">
        <v>1875</v>
      </c>
      <c r="C1640" s="2" t="s">
        <v>171</v>
      </c>
      <c r="D1640" s="2" t="s">
        <v>26</v>
      </c>
      <c r="E1640" s="2" t="s">
        <v>19</v>
      </c>
      <c r="F1640" s="2">
        <v>7.979740447E9</v>
      </c>
    </row>
    <row r="1641" ht="15.75" customHeight="1">
      <c r="A1641" s="2" t="s">
        <v>1328</v>
      </c>
      <c r="B1641" s="2" t="s">
        <v>55</v>
      </c>
      <c r="C1641" s="2" t="s">
        <v>210</v>
      </c>
      <c r="D1641" s="2" t="s">
        <v>26</v>
      </c>
      <c r="E1641" s="2" t="s">
        <v>23</v>
      </c>
      <c r="F1641" s="2">
        <v>8.271935508E9</v>
      </c>
    </row>
    <row r="1642" ht="15.75" customHeight="1">
      <c r="A1642" s="2" t="s">
        <v>1876</v>
      </c>
      <c r="B1642" s="2" t="s">
        <v>113</v>
      </c>
      <c r="C1642" s="2" t="s">
        <v>1787</v>
      </c>
      <c r="D1642" s="2" t="s">
        <v>26</v>
      </c>
      <c r="E1642" s="2" t="s">
        <v>19</v>
      </c>
      <c r="F1642" s="2">
        <v>8.207655095E9</v>
      </c>
    </row>
    <row r="1643" ht="15.75" customHeight="1">
      <c r="A1643" s="2" t="s">
        <v>1877</v>
      </c>
      <c r="B1643" s="2" t="s">
        <v>1878</v>
      </c>
      <c r="C1643" s="2" t="s">
        <v>106</v>
      </c>
      <c r="D1643" s="2" t="s">
        <v>26</v>
      </c>
      <c r="E1643" s="2" t="s">
        <v>19</v>
      </c>
      <c r="F1643" s="2">
        <v>8.083773869E9</v>
      </c>
    </row>
    <row r="1644" ht="15.75" customHeight="1">
      <c r="A1644" s="2" t="s">
        <v>1879</v>
      </c>
      <c r="B1644" s="2" t="s">
        <v>170</v>
      </c>
      <c r="C1644" s="2" t="s">
        <v>58</v>
      </c>
      <c r="D1644" s="2" t="s">
        <v>44</v>
      </c>
      <c r="E1644" s="2" t="s">
        <v>19</v>
      </c>
      <c r="F1644" s="2">
        <v>9.334676122E9</v>
      </c>
    </row>
    <row r="1645" ht="15.75" customHeight="1">
      <c r="A1645" s="2" t="s">
        <v>1880</v>
      </c>
      <c r="B1645" s="2" t="s">
        <v>65</v>
      </c>
      <c r="C1645" s="2" t="s">
        <v>354</v>
      </c>
      <c r="D1645" s="2" t="s">
        <v>9</v>
      </c>
      <c r="E1645" s="2" t="s">
        <v>19</v>
      </c>
      <c r="F1645" s="2">
        <v>9.334851233E9</v>
      </c>
    </row>
    <row r="1646" ht="15.75" customHeight="1">
      <c r="A1646" s="2" t="s">
        <v>1881</v>
      </c>
      <c r="B1646" s="2" t="s">
        <v>909</v>
      </c>
      <c r="C1646" s="2" t="s">
        <v>204</v>
      </c>
      <c r="D1646" s="2" t="s">
        <v>26</v>
      </c>
      <c r="E1646" s="2" t="s">
        <v>255</v>
      </c>
      <c r="F1646" s="2">
        <v>9.333999962E9</v>
      </c>
    </row>
    <row r="1647" ht="15.75" customHeight="1">
      <c r="A1647" s="2" t="s">
        <v>707</v>
      </c>
      <c r="B1647" s="2" t="s">
        <v>1362</v>
      </c>
      <c r="C1647" s="2" t="s">
        <v>58</v>
      </c>
      <c r="D1647" s="2" t="s">
        <v>56</v>
      </c>
      <c r="E1647" s="2" t="s">
        <v>19</v>
      </c>
      <c r="F1647" s="2">
        <v>9.973815591E9</v>
      </c>
    </row>
    <row r="1648" ht="15.75" customHeight="1">
      <c r="A1648" s="2" t="s">
        <v>1116</v>
      </c>
      <c r="B1648" s="2" t="s">
        <v>212</v>
      </c>
      <c r="C1648" s="2" t="s">
        <v>1001</v>
      </c>
      <c r="D1648" s="2" t="s">
        <v>9</v>
      </c>
      <c r="E1648" s="2" t="s">
        <v>23</v>
      </c>
      <c r="F1648" s="2">
        <v>6.205512925E9</v>
      </c>
    </row>
    <row r="1649" ht="15.75" customHeight="1">
      <c r="A1649" s="2" t="s">
        <v>24</v>
      </c>
      <c r="B1649" s="2" t="s">
        <v>1867</v>
      </c>
      <c r="C1649" s="2" t="s">
        <v>330</v>
      </c>
      <c r="D1649" s="2" t="s">
        <v>26</v>
      </c>
      <c r="E1649" s="2" t="s">
        <v>19</v>
      </c>
      <c r="F1649" s="2">
        <v>7.353310171E9</v>
      </c>
    </row>
    <row r="1650" ht="15.75" customHeight="1">
      <c r="A1650" s="2" t="s">
        <v>1882</v>
      </c>
      <c r="B1650" s="2" t="s">
        <v>112</v>
      </c>
      <c r="C1650" s="2" t="s">
        <v>763</v>
      </c>
      <c r="D1650" s="2" t="s">
        <v>29</v>
      </c>
      <c r="E1650" s="2" t="s">
        <v>19</v>
      </c>
      <c r="F1650" s="2">
        <v>9.748089757E9</v>
      </c>
    </row>
    <row r="1651" ht="15.75" customHeight="1">
      <c r="A1651" s="2" t="s">
        <v>376</v>
      </c>
      <c r="B1651" s="2" t="s">
        <v>47</v>
      </c>
      <c r="C1651" s="2" t="s">
        <v>200</v>
      </c>
      <c r="D1651" s="2" t="s">
        <v>26</v>
      </c>
      <c r="E1651" s="2" t="s">
        <v>19</v>
      </c>
      <c r="F1651" s="2">
        <v>9.155836575E9</v>
      </c>
    </row>
    <row r="1652" ht="15.75" customHeight="1">
      <c r="A1652" s="2" t="s">
        <v>1883</v>
      </c>
      <c r="B1652" s="2" t="s">
        <v>212</v>
      </c>
      <c r="C1652" s="2" t="s">
        <v>1665</v>
      </c>
      <c r="D1652" s="2" t="s">
        <v>56</v>
      </c>
      <c r="E1652" s="2" t="s">
        <v>19</v>
      </c>
      <c r="F1652" s="2">
        <v>6.200018248E9</v>
      </c>
    </row>
    <row r="1653" ht="15.75" customHeight="1">
      <c r="A1653" s="2" t="s">
        <v>1884</v>
      </c>
      <c r="B1653" s="2" t="s">
        <v>55</v>
      </c>
      <c r="C1653" s="2" t="s">
        <v>223</v>
      </c>
      <c r="D1653" s="2" t="s">
        <v>44</v>
      </c>
      <c r="E1653" s="2" t="s">
        <v>255</v>
      </c>
      <c r="F1653" s="2">
        <v>9.334186714E9</v>
      </c>
    </row>
    <row r="1654" ht="15.75" customHeight="1">
      <c r="A1654" s="2" t="s">
        <v>1885</v>
      </c>
      <c r="B1654" s="2" t="s">
        <v>315</v>
      </c>
      <c r="C1654" s="2" t="s">
        <v>741</v>
      </c>
      <c r="D1654" s="2" t="s">
        <v>26</v>
      </c>
      <c r="E1654" s="2" t="s">
        <v>19</v>
      </c>
      <c r="F1654" s="2">
        <v>7.991135542E9</v>
      </c>
    </row>
    <row r="1655" ht="15.75" customHeight="1">
      <c r="A1655" s="2" t="s">
        <v>1442</v>
      </c>
      <c r="B1655" s="2" t="s">
        <v>606</v>
      </c>
      <c r="C1655" s="2" t="s">
        <v>61</v>
      </c>
      <c r="D1655" s="2" t="s">
        <v>56</v>
      </c>
      <c r="E1655" s="2" t="s">
        <v>19</v>
      </c>
      <c r="F1655" s="2">
        <v>9.593898635E9</v>
      </c>
    </row>
    <row r="1656" ht="15.75" customHeight="1">
      <c r="A1656" s="2" t="s">
        <v>1886</v>
      </c>
      <c r="B1656" s="2" t="s">
        <v>1362</v>
      </c>
      <c r="C1656" s="2" t="s">
        <v>313</v>
      </c>
      <c r="D1656" s="2" t="s">
        <v>44</v>
      </c>
      <c r="E1656" s="2" t="s">
        <v>19</v>
      </c>
      <c r="F1656" s="2">
        <v>8.507510998E9</v>
      </c>
    </row>
    <row r="1657" ht="15.75" customHeight="1">
      <c r="A1657" s="2" t="s">
        <v>376</v>
      </c>
      <c r="B1657" s="2" t="s">
        <v>1887</v>
      </c>
      <c r="C1657" s="2" t="s">
        <v>1379</v>
      </c>
      <c r="D1657" s="2" t="s">
        <v>14</v>
      </c>
      <c r="E1657" s="2" t="s">
        <v>19</v>
      </c>
      <c r="F1657" s="2">
        <v>9.11091289E9</v>
      </c>
    </row>
    <row r="1658" ht="15.75" customHeight="1">
      <c r="A1658" s="2" t="s">
        <v>170</v>
      </c>
      <c r="B1658" s="2" t="s">
        <v>1888</v>
      </c>
      <c r="C1658" s="2" t="s">
        <v>210</v>
      </c>
      <c r="D1658" s="2" t="s">
        <v>26</v>
      </c>
      <c r="E1658" s="2" t="s">
        <v>23</v>
      </c>
      <c r="F1658" s="2">
        <v>7.050597153E9</v>
      </c>
    </row>
    <row r="1659" ht="15.75" customHeight="1">
      <c r="A1659" s="2" t="s">
        <v>185</v>
      </c>
      <c r="B1659" s="2" t="s">
        <v>50</v>
      </c>
      <c r="C1659" s="2" t="s">
        <v>58</v>
      </c>
      <c r="D1659" s="2" t="s">
        <v>56</v>
      </c>
      <c r="E1659" s="2" t="s">
        <v>19</v>
      </c>
      <c r="F1659" s="2">
        <v>7.708555876E9</v>
      </c>
    </row>
    <row r="1660" ht="15.75" customHeight="1">
      <c r="A1660" s="2" t="s">
        <v>1889</v>
      </c>
      <c r="B1660" s="2" t="s">
        <v>63</v>
      </c>
      <c r="C1660" s="2" t="s">
        <v>171</v>
      </c>
      <c r="D1660" s="2" t="s">
        <v>56</v>
      </c>
      <c r="E1660" s="2" t="s">
        <v>19</v>
      </c>
      <c r="F1660" s="2">
        <v>8.98796955E9</v>
      </c>
    </row>
    <row r="1661" ht="15.75" customHeight="1">
      <c r="A1661" s="2" t="s">
        <v>1890</v>
      </c>
      <c r="B1661" s="2" t="s">
        <v>212</v>
      </c>
      <c r="C1661" s="2" t="s">
        <v>729</v>
      </c>
      <c r="D1661" s="2" t="s">
        <v>44</v>
      </c>
      <c r="E1661" s="2" t="s">
        <v>19</v>
      </c>
      <c r="F1661" s="2">
        <v>9.693871411E9</v>
      </c>
    </row>
    <row r="1662" ht="15.75" customHeight="1">
      <c r="A1662" s="2" t="s">
        <v>1891</v>
      </c>
      <c r="B1662" s="2" t="s">
        <v>50</v>
      </c>
      <c r="C1662" s="2" t="s">
        <v>729</v>
      </c>
      <c r="D1662" s="2" t="s">
        <v>9</v>
      </c>
      <c r="E1662" s="2" t="s">
        <v>19</v>
      </c>
      <c r="F1662" s="2">
        <v>9.652126522E9</v>
      </c>
    </row>
    <row r="1663" ht="15.75" customHeight="1">
      <c r="A1663" s="2" t="s">
        <v>1892</v>
      </c>
      <c r="B1663" s="2" t="s">
        <v>276</v>
      </c>
      <c r="C1663" s="2" t="s">
        <v>223</v>
      </c>
      <c r="D1663" s="2" t="s">
        <v>56</v>
      </c>
      <c r="E1663" s="2" t="s">
        <v>255</v>
      </c>
      <c r="F1663" s="2">
        <v>9.572597257E9</v>
      </c>
    </row>
    <row r="1664" ht="15.75" customHeight="1">
      <c r="A1664" s="2" t="s">
        <v>834</v>
      </c>
      <c r="B1664" s="2" t="s">
        <v>50</v>
      </c>
      <c r="C1664" s="2" t="s">
        <v>330</v>
      </c>
      <c r="D1664" s="2" t="s">
        <v>56</v>
      </c>
      <c r="E1664" s="2" t="s">
        <v>19</v>
      </c>
      <c r="F1664" s="2">
        <v>6.209634478E9</v>
      </c>
    </row>
    <row r="1665" ht="15.75" customHeight="1">
      <c r="A1665" s="2" t="s">
        <v>1893</v>
      </c>
      <c r="B1665" s="2" t="s">
        <v>1893</v>
      </c>
      <c r="C1665" s="2" t="s">
        <v>1010</v>
      </c>
      <c r="D1665" s="2" t="s">
        <v>26</v>
      </c>
      <c r="E1665" s="2" t="s">
        <v>19</v>
      </c>
      <c r="F1665" s="2">
        <v>8.434798783E9</v>
      </c>
    </row>
    <row r="1666" ht="15.75" customHeight="1">
      <c r="A1666" s="2" t="s">
        <v>565</v>
      </c>
      <c r="B1666" s="2" t="s">
        <v>1894</v>
      </c>
      <c r="C1666" s="2" t="s">
        <v>200</v>
      </c>
      <c r="D1666" s="2" t="s">
        <v>26</v>
      </c>
      <c r="E1666" s="2" t="s">
        <v>19</v>
      </c>
      <c r="F1666" s="2">
        <v>9.304825678E9</v>
      </c>
    </row>
    <row r="1667" ht="15.75" customHeight="1">
      <c r="A1667" s="2" t="s">
        <v>1895</v>
      </c>
      <c r="B1667" s="2" t="s">
        <v>276</v>
      </c>
      <c r="C1667" s="2" t="s">
        <v>210</v>
      </c>
      <c r="D1667" s="2" t="s">
        <v>44</v>
      </c>
      <c r="E1667" s="2" t="s">
        <v>23</v>
      </c>
      <c r="F1667" s="2">
        <v>9.771561013E9</v>
      </c>
    </row>
    <row r="1668" ht="15.75" customHeight="1">
      <c r="A1668" s="2" t="s">
        <v>1896</v>
      </c>
      <c r="B1668" s="2" t="s">
        <v>1587</v>
      </c>
      <c r="C1668" s="2" t="s">
        <v>729</v>
      </c>
      <c r="D1668" s="2" t="s">
        <v>56</v>
      </c>
      <c r="E1668" s="2" t="s">
        <v>19</v>
      </c>
      <c r="F1668" s="2">
        <v>9.304627094E9</v>
      </c>
    </row>
    <row r="1669" ht="15.75" customHeight="1">
      <c r="A1669" s="2" t="s">
        <v>1897</v>
      </c>
      <c r="B1669" s="2" t="s">
        <v>212</v>
      </c>
      <c r="C1669" s="2" t="s">
        <v>171</v>
      </c>
      <c r="D1669" s="2" t="s">
        <v>102</v>
      </c>
      <c r="E1669" s="2" t="s">
        <v>19</v>
      </c>
      <c r="F1669" s="2">
        <v>7.621121865E9</v>
      </c>
    </row>
    <row r="1670" ht="15.75" customHeight="1">
      <c r="A1670" s="2" t="s">
        <v>127</v>
      </c>
      <c r="B1670" s="2" t="s">
        <v>606</v>
      </c>
      <c r="C1670" s="2" t="s">
        <v>970</v>
      </c>
      <c r="D1670" s="2" t="s">
        <v>29</v>
      </c>
      <c r="E1670" s="2" t="s">
        <v>19</v>
      </c>
      <c r="F1670" s="2">
        <v>9.122108813E9</v>
      </c>
    </row>
    <row r="1671" ht="15.75" customHeight="1">
      <c r="A1671" s="2" t="s">
        <v>1201</v>
      </c>
      <c r="B1671" s="2" t="s">
        <v>55</v>
      </c>
      <c r="C1671" s="2" t="s">
        <v>223</v>
      </c>
      <c r="D1671" s="2" t="s">
        <v>14</v>
      </c>
      <c r="E1671" s="2" t="s">
        <v>255</v>
      </c>
      <c r="F1671" s="2">
        <v>9.162326668E9</v>
      </c>
    </row>
    <row r="1672" ht="15.75" customHeight="1">
      <c r="A1672" s="2" t="s">
        <v>1898</v>
      </c>
      <c r="B1672" s="2" t="s">
        <v>65</v>
      </c>
      <c r="C1672" s="2" t="s">
        <v>1066</v>
      </c>
      <c r="D1672" s="2" t="s">
        <v>26</v>
      </c>
      <c r="E1672" s="2" t="s">
        <v>19</v>
      </c>
      <c r="F1672" s="2">
        <v>7.903863508E9</v>
      </c>
    </row>
    <row r="1673" ht="15.75" customHeight="1">
      <c r="A1673" s="2" t="s">
        <v>1899</v>
      </c>
      <c r="B1673" s="2" t="s">
        <v>50</v>
      </c>
      <c r="C1673" s="2" t="s">
        <v>957</v>
      </c>
      <c r="D1673" s="2" t="s">
        <v>102</v>
      </c>
      <c r="E1673" s="2" t="s">
        <v>19</v>
      </c>
      <c r="F1673" s="2">
        <v>7.209688192E9</v>
      </c>
    </row>
    <row r="1674" ht="15.75" customHeight="1">
      <c r="A1674" s="2" t="s">
        <v>1900</v>
      </c>
      <c r="B1674" s="2" t="s">
        <v>212</v>
      </c>
      <c r="C1674" s="2" t="s">
        <v>763</v>
      </c>
      <c r="D1674" s="2" t="s">
        <v>26</v>
      </c>
      <c r="E1674" s="2" t="s">
        <v>19</v>
      </c>
      <c r="F1674" s="2">
        <v>7.549175312E9</v>
      </c>
    </row>
    <row r="1675" ht="15.75" customHeight="1">
      <c r="A1675" s="2" t="s">
        <v>111</v>
      </c>
      <c r="B1675" s="2" t="s">
        <v>50</v>
      </c>
      <c r="C1675" s="2" t="s">
        <v>1379</v>
      </c>
      <c r="D1675" s="2" t="s">
        <v>26</v>
      </c>
      <c r="E1675" s="2" t="s">
        <v>19</v>
      </c>
      <c r="F1675" s="2">
        <v>9.955092266E9</v>
      </c>
    </row>
    <row r="1676" ht="15.75" customHeight="1">
      <c r="A1676" s="2" t="s">
        <v>222</v>
      </c>
      <c r="B1676" s="2" t="s">
        <v>896</v>
      </c>
      <c r="C1676" s="2" t="s">
        <v>210</v>
      </c>
      <c r="D1676" s="2" t="s">
        <v>44</v>
      </c>
      <c r="E1676" s="2" t="s">
        <v>23</v>
      </c>
      <c r="F1676" s="2">
        <v>7.979974387E9</v>
      </c>
    </row>
    <row r="1677" ht="15.75" customHeight="1">
      <c r="A1677" s="2" t="s">
        <v>1901</v>
      </c>
      <c r="B1677" s="2" t="s">
        <v>1902</v>
      </c>
      <c r="C1677" s="2" t="s">
        <v>1903</v>
      </c>
      <c r="D1677" s="2" t="s">
        <v>56</v>
      </c>
      <c r="E1677" s="2" t="s">
        <v>19</v>
      </c>
      <c r="F1677" s="2">
        <v>9.843962225E9</v>
      </c>
    </row>
    <row r="1678" ht="15.75" customHeight="1">
      <c r="A1678" s="2" t="s">
        <v>1624</v>
      </c>
      <c r="B1678" s="2" t="s">
        <v>507</v>
      </c>
      <c r="C1678" s="2" t="s">
        <v>576</v>
      </c>
      <c r="D1678" s="2" t="s">
        <v>56</v>
      </c>
      <c r="E1678" s="2" t="s">
        <v>19</v>
      </c>
      <c r="F1678" s="2">
        <v>9.06079305E9</v>
      </c>
    </row>
    <row r="1679" ht="15.75" customHeight="1">
      <c r="A1679" s="2" t="s">
        <v>96</v>
      </c>
      <c r="B1679" s="2" t="s">
        <v>55</v>
      </c>
      <c r="C1679" s="2" t="s">
        <v>655</v>
      </c>
      <c r="D1679" s="2" t="s">
        <v>26</v>
      </c>
      <c r="E1679" s="2" t="s">
        <v>19</v>
      </c>
      <c r="F1679" s="2">
        <v>7.004202089E9</v>
      </c>
    </row>
    <row r="1680" ht="15.75" customHeight="1">
      <c r="A1680" s="2" t="s">
        <v>1904</v>
      </c>
      <c r="B1680" s="2" t="s">
        <v>563</v>
      </c>
      <c r="C1680" s="2" t="s">
        <v>341</v>
      </c>
      <c r="D1680" s="2" t="s">
        <v>26</v>
      </c>
      <c r="E1680" s="2" t="s">
        <v>255</v>
      </c>
      <c r="F1680" s="2">
        <v>9.204696299E9</v>
      </c>
    </row>
    <row r="1681" ht="15.75" customHeight="1">
      <c r="A1681" s="2" t="s">
        <v>186</v>
      </c>
      <c r="B1681" s="2" t="s">
        <v>1419</v>
      </c>
      <c r="C1681" s="2" t="s">
        <v>228</v>
      </c>
      <c r="D1681" s="2" t="s">
        <v>26</v>
      </c>
      <c r="E1681" s="2" t="s">
        <v>19</v>
      </c>
      <c r="F1681" s="2">
        <v>9.939507809E9</v>
      </c>
    </row>
    <row r="1682" ht="15.75" customHeight="1">
      <c r="A1682" s="2" t="s">
        <v>1482</v>
      </c>
      <c r="B1682" s="2" t="s">
        <v>1905</v>
      </c>
      <c r="C1682" s="2" t="s">
        <v>1906</v>
      </c>
      <c r="D1682" s="2" t="s">
        <v>102</v>
      </c>
      <c r="E1682" s="2" t="s">
        <v>19</v>
      </c>
      <c r="F1682" s="2">
        <v>9.171145447E9</v>
      </c>
    </row>
    <row r="1683" ht="15.75" customHeight="1">
      <c r="A1683" s="2" t="s">
        <v>1907</v>
      </c>
      <c r="B1683" s="2" t="s">
        <v>1466</v>
      </c>
      <c r="C1683" s="2" t="s">
        <v>58</v>
      </c>
      <c r="D1683" s="2" t="s">
        <v>26</v>
      </c>
      <c r="E1683" s="2" t="s">
        <v>23</v>
      </c>
      <c r="F1683" s="2">
        <v>8.292126804E9</v>
      </c>
    </row>
    <row r="1684" ht="15.75" customHeight="1">
      <c r="A1684" s="2" t="s">
        <v>547</v>
      </c>
      <c r="B1684" s="2" t="s">
        <v>65</v>
      </c>
      <c r="C1684" s="2" t="s">
        <v>58</v>
      </c>
      <c r="D1684" s="2" t="s">
        <v>102</v>
      </c>
      <c r="E1684" s="2" t="s">
        <v>19</v>
      </c>
      <c r="F1684" s="2">
        <v>7.033687792E9</v>
      </c>
    </row>
    <row r="1685" ht="15.75" customHeight="1">
      <c r="A1685" s="2" t="s">
        <v>111</v>
      </c>
      <c r="B1685" s="2" t="s">
        <v>21</v>
      </c>
      <c r="C1685" s="2" t="s">
        <v>1379</v>
      </c>
      <c r="D1685" s="2" t="s">
        <v>14</v>
      </c>
      <c r="E1685" s="2" t="s">
        <v>19</v>
      </c>
      <c r="F1685" s="2">
        <v>9.304578267E9</v>
      </c>
    </row>
    <row r="1686" ht="15.75" customHeight="1">
      <c r="A1686" s="2" t="s">
        <v>126</v>
      </c>
      <c r="B1686" s="2" t="s">
        <v>47</v>
      </c>
      <c r="C1686" s="2" t="s">
        <v>1379</v>
      </c>
      <c r="D1686" s="2" t="s">
        <v>26</v>
      </c>
      <c r="E1686" s="2" t="s">
        <v>19</v>
      </c>
      <c r="F1686" s="2">
        <v>9.835711644E9</v>
      </c>
    </row>
    <row r="1687" ht="15.75" customHeight="1">
      <c r="A1687" s="2" t="s">
        <v>657</v>
      </c>
      <c r="B1687" s="2" t="s">
        <v>55</v>
      </c>
      <c r="C1687" s="2" t="s">
        <v>181</v>
      </c>
      <c r="D1687" s="2" t="s">
        <v>26</v>
      </c>
      <c r="E1687" s="2" t="s">
        <v>19</v>
      </c>
      <c r="F1687" s="2">
        <v>9.523448457E9</v>
      </c>
    </row>
    <row r="1688" ht="15.75" customHeight="1">
      <c r="A1688" s="2" t="s">
        <v>856</v>
      </c>
      <c r="B1688" s="2" t="s">
        <v>65</v>
      </c>
      <c r="C1688" s="2" t="s">
        <v>970</v>
      </c>
      <c r="D1688" s="2" t="s">
        <v>56</v>
      </c>
      <c r="E1688" s="2" t="s">
        <v>23</v>
      </c>
      <c r="F1688" s="2">
        <v>9.706238217E9</v>
      </c>
    </row>
    <row r="1689" ht="15.75" customHeight="1">
      <c r="A1689" s="2" t="s">
        <v>1654</v>
      </c>
      <c r="B1689" s="2" t="s">
        <v>50</v>
      </c>
      <c r="C1689" s="2" t="s">
        <v>1042</v>
      </c>
      <c r="D1689" s="2" t="s">
        <v>44</v>
      </c>
      <c r="E1689" s="2" t="s">
        <v>19</v>
      </c>
      <c r="F1689" s="2">
        <v>7.419151804E9</v>
      </c>
    </row>
    <row r="1690" ht="15.75" customHeight="1">
      <c r="A1690" s="2" t="s">
        <v>1624</v>
      </c>
      <c r="B1690" s="2" t="s">
        <v>243</v>
      </c>
      <c r="C1690" s="2" t="s">
        <v>230</v>
      </c>
      <c r="D1690" s="2" t="s">
        <v>9</v>
      </c>
      <c r="E1690" s="2" t="s">
        <v>19</v>
      </c>
      <c r="F1690" s="2">
        <v>6.557272167E9</v>
      </c>
    </row>
    <row r="1691" ht="15.75" customHeight="1">
      <c r="A1691" s="2" t="s">
        <v>628</v>
      </c>
      <c r="B1691" s="2" t="s">
        <v>520</v>
      </c>
      <c r="C1691" s="2" t="s">
        <v>576</v>
      </c>
      <c r="D1691" s="2" t="s">
        <v>26</v>
      </c>
      <c r="E1691" s="2" t="s">
        <v>19</v>
      </c>
      <c r="F1691" s="2">
        <v>9.334708411E9</v>
      </c>
    </row>
    <row r="1692" ht="15.75" customHeight="1">
      <c r="A1692" s="2" t="s">
        <v>1908</v>
      </c>
      <c r="B1692" s="2" t="s">
        <v>88</v>
      </c>
      <c r="C1692" s="2" t="s">
        <v>235</v>
      </c>
      <c r="D1692" s="2" t="s">
        <v>26</v>
      </c>
      <c r="E1692" s="2" t="s">
        <v>19</v>
      </c>
      <c r="F1692" s="2">
        <v>6.399588092E9</v>
      </c>
    </row>
    <row r="1693" ht="15.75" customHeight="1">
      <c r="A1693" s="2" t="s">
        <v>1909</v>
      </c>
      <c r="B1693" s="2" t="s">
        <v>606</v>
      </c>
      <c r="C1693" s="2" t="s">
        <v>79</v>
      </c>
      <c r="D1693" s="2" t="s">
        <v>56</v>
      </c>
      <c r="E1693" s="2" t="s">
        <v>19</v>
      </c>
      <c r="F1693" s="2">
        <v>9.479390839E9</v>
      </c>
    </row>
    <row r="1694" ht="15.75" customHeight="1">
      <c r="A1694" s="2" t="s">
        <v>365</v>
      </c>
      <c r="B1694" s="2" t="s">
        <v>50</v>
      </c>
      <c r="C1694" s="2" t="s">
        <v>1497</v>
      </c>
      <c r="D1694" s="2" t="s">
        <v>26</v>
      </c>
      <c r="E1694" s="2" t="s">
        <v>23</v>
      </c>
      <c r="F1694" s="2">
        <v>9.3041724E9</v>
      </c>
    </row>
    <row r="1695" ht="15.75" customHeight="1">
      <c r="A1695" s="2" t="s">
        <v>1910</v>
      </c>
      <c r="B1695" s="2" t="s">
        <v>125</v>
      </c>
      <c r="C1695" s="2" t="s">
        <v>235</v>
      </c>
      <c r="D1695" s="2" t="s">
        <v>26</v>
      </c>
      <c r="E1695" s="2" t="s">
        <v>19</v>
      </c>
      <c r="F1695" s="2">
        <v>6.206754729E9</v>
      </c>
    </row>
    <row r="1696" ht="15.75" customHeight="1">
      <c r="A1696" s="2" t="s">
        <v>1911</v>
      </c>
      <c r="B1696" s="2" t="s">
        <v>50</v>
      </c>
      <c r="C1696" s="2" t="s">
        <v>1042</v>
      </c>
      <c r="D1696" s="2" t="s">
        <v>14</v>
      </c>
      <c r="E1696" s="2" t="s">
        <v>19</v>
      </c>
      <c r="F1696" s="2">
        <v>8.09226377E9</v>
      </c>
    </row>
    <row r="1697" ht="15.75" customHeight="1">
      <c r="A1697" s="2" t="s">
        <v>707</v>
      </c>
      <c r="B1697" s="2" t="s">
        <v>65</v>
      </c>
      <c r="C1697" s="2" t="s">
        <v>1787</v>
      </c>
      <c r="D1697" s="2" t="s">
        <v>56</v>
      </c>
      <c r="E1697" s="2" t="s">
        <v>19</v>
      </c>
      <c r="F1697" s="2">
        <v>7.050649009E9</v>
      </c>
    </row>
    <row r="1698" ht="15.75" customHeight="1">
      <c r="A1698" s="2" t="s">
        <v>1239</v>
      </c>
      <c r="B1698" s="2" t="s">
        <v>1912</v>
      </c>
      <c r="C1698" s="2" t="s">
        <v>937</v>
      </c>
      <c r="D1698" s="2" t="s">
        <v>26</v>
      </c>
      <c r="E1698" s="2" t="s">
        <v>19</v>
      </c>
      <c r="F1698" s="2">
        <v>6.204458619E9</v>
      </c>
    </row>
    <row r="1699" ht="15.75" customHeight="1">
      <c r="A1699" s="2" t="s">
        <v>1913</v>
      </c>
      <c r="B1699" s="2" t="s">
        <v>1557</v>
      </c>
      <c r="C1699" s="2" t="s">
        <v>289</v>
      </c>
      <c r="D1699" s="2" t="s">
        <v>56</v>
      </c>
      <c r="E1699" s="2" t="s">
        <v>19</v>
      </c>
      <c r="F1699" s="2">
        <v>8.860854413E9</v>
      </c>
    </row>
    <row r="1700" ht="15.75" customHeight="1">
      <c r="A1700" s="2" t="s">
        <v>1482</v>
      </c>
      <c r="B1700" s="2" t="s">
        <v>50</v>
      </c>
      <c r="C1700" s="2" t="s">
        <v>576</v>
      </c>
      <c r="D1700" s="2" t="s">
        <v>14</v>
      </c>
      <c r="E1700" s="2" t="s">
        <v>23</v>
      </c>
      <c r="F1700" s="2">
        <v>9.77104039E9</v>
      </c>
    </row>
    <row r="1701" ht="15.75" customHeight="1">
      <c r="A1701" s="2" t="s">
        <v>124</v>
      </c>
      <c r="B1701" s="2" t="s">
        <v>125</v>
      </c>
      <c r="C1701" s="2" t="s">
        <v>576</v>
      </c>
      <c r="D1701" s="2" t="s">
        <v>44</v>
      </c>
      <c r="E1701" s="2" t="s">
        <v>19</v>
      </c>
      <c r="F1701" s="2">
        <v>9.567263171E9</v>
      </c>
    </row>
    <row r="1702" ht="15.75" customHeight="1">
      <c r="A1702" s="2" t="s">
        <v>125</v>
      </c>
      <c r="B1702" s="2" t="s">
        <v>1914</v>
      </c>
      <c r="C1702" s="2" t="s">
        <v>1458</v>
      </c>
      <c r="D1702" s="2" t="s">
        <v>29</v>
      </c>
      <c r="E1702" s="2" t="s">
        <v>19</v>
      </c>
      <c r="F1702" s="2">
        <v>6.709761774E9</v>
      </c>
    </row>
    <row r="1703" ht="15.75" customHeight="1">
      <c r="A1703" s="2" t="s">
        <v>105</v>
      </c>
      <c r="B1703" s="2" t="s">
        <v>499</v>
      </c>
      <c r="C1703" s="2" t="s">
        <v>1042</v>
      </c>
      <c r="D1703" s="2" t="s">
        <v>44</v>
      </c>
      <c r="E1703" s="2" t="s">
        <v>19</v>
      </c>
      <c r="F1703" s="2">
        <v>7.890665485E9</v>
      </c>
    </row>
    <row r="1704" ht="15.75" customHeight="1">
      <c r="A1704" s="2" t="s">
        <v>244</v>
      </c>
      <c r="B1704" s="2" t="s">
        <v>21</v>
      </c>
      <c r="C1704" s="2" t="s">
        <v>360</v>
      </c>
      <c r="D1704" s="2" t="s">
        <v>26</v>
      </c>
      <c r="E1704" s="2" t="s">
        <v>23</v>
      </c>
      <c r="F1704" s="2">
        <v>9.431345473E9</v>
      </c>
    </row>
    <row r="1705" ht="15.75" customHeight="1">
      <c r="A1705" s="2" t="s">
        <v>1915</v>
      </c>
      <c r="B1705" s="2" t="s">
        <v>21</v>
      </c>
      <c r="C1705" s="2" t="s">
        <v>230</v>
      </c>
      <c r="D1705" s="2" t="s">
        <v>26</v>
      </c>
      <c r="E1705" s="2" t="s">
        <v>19</v>
      </c>
      <c r="F1705" s="2">
        <v>8.979418151E9</v>
      </c>
    </row>
    <row r="1706" ht="15.75" customHeight="1">
      <c r="A1706" s="2" t="s">
        <v>1916</v>
      </c>
      <c r="B1706" s="2" t="s">
        <v>1917</v>
      </c>
      <c r="C1706" s="2" t="s">
        <v>741</v>
      </c>
      <c r="D1706" s="2" t="s">
        <v>44</v>
      </c>
      <c r="E1706" s="2" t="s">
        <v>19</v>
      </c>
      <c r="F1706" s="2">
        <v>9.431594601E9</v>
      </c>
    </row>
    <row r="1707" ht="15.75" customHeight="1">
      <c r="A1707" s="2" t="s">
        <v>1918</v>
      </c>
      <c r="B1707" s="2" t="s">
        <v>50</v>
      </c>
      <c r="C1707" s="2" t="s">
        <v>1042</v>
      </c>
      <c r="D1707" s="2" t="s">
        <v>26</v>
      </c>
      <c r="E1707" s="2" t="s">
        <v>19</v>
      </c>
      <c r="F1707" s="2">
        <v>8.65114403E9</v>
      </c>
    </row>
    <row r="1708" ht="15.75" customHeight="1">
      <c r="A1708" s="2" t="s">
        <v>1919</v>
      </c>
      <c r="B1708" s="2" t="s">
        <v>21</v>
      </c>
      <c r="C1708" s="2" t="s">
        <v>1042</v>
      </c>
      <c r="D1708" s="2" t="s">
        <v>14</v>
      </c>
      <c r="E1708" s="2" t="s">
        <v>23</v>
      </c>
      <c r="F1708" s="2">
        <v>8.70902232E9</v>
      </c>
    </row>
    <row r="1709" ht="15.75" customHeight="1">
      <c r="A1709" s="2" t="s">
        <v>1920</v>
      </c>
      <c r="B1709" s="2" t="s">
        <v>63</v>
      </c>
      <c r="C1709" s="2" t="s">
        <v>305</v>
      </c>
      <c r="D1709" s="2" t="s">
        <v>26</v>
      </c>
      <c r="E1709" s="2" t="s">
        <v>19</v>
      </c>
      <c r="F1709" s="2">
        <v>7.273075558E9</v>
      </c>
    </row>
    <row r="1710" ht="15.75" customHeight="1">
      <c r="A1710" s="2" t="s">
        <v>1921</v>
      </c>
      <c r="B1710" s="2" t="s">
        <v>1090</v>
      </c>
      <c r="C1710" s="2" t="s">
        <v>504</v>
      </c>
      <c r="D1710" s="2" t="s">
        <v>26</v>
      </c>
      <c r="E1710" s="2" t="s">
        <v>19</v>
      </c>
      <c r="F1710" s="2">
        <v>7.070410159E9</v>
      </c>
    </row>
    <row r="1711" ht="15.75" customHeight="1">
      <c r="A1711" s="2" t="s">
        <v>772</v>
      </c>
      <c r="B1711" s="2" t="s">
        <v>922</v>
      </c>
      <c r="C1711" s="2" t="s">
        <v>1922</v>
      </c>
      <c r="D1711" s="2" t="s">
        <v>29</v>
      </c>
      <c r="E1711" s="2" t="s">
        <v>19</v>
      </c>
      <c r="F1711" s="2">
        <v>6.200922017E9</v>
      </c>
    </row>
    <row r="1712" ht="15.75" customHeight="1">
      <c r="A1712" s="2" t="s">
        <v>748</v>
      </c>
      <c r="B1712" s="2" t="s">
        <v>1839</v>
      </c>
      <c r="C1712" s="2" t="s">
        <v>1818</v>
      </c>
      <c r="D1712" s="2" t="s">
        <v>26</v>
      </c>
      <c r="E1712" s="2" t="s">
        <v>19</v>
      </c>
      <c r="F1712" s="2">
        <v>7.050201365E9</v>
      </c>
    </row>
    <row r="1713" ht="15.75" customHeight="1">
      <c r="A1713" s="2" t="s">
        <v>1429</v>
      </c>
      <c r="B1713" s="2" t="s">
        <v>1557</v>
      </c>
      <c r="C1713" s="2" t="s">
        <v>330</v>
      </c>
      <c r="D1713" s="2" t="s">
        <v>9</v>
      </c>
      <c r="E1713" s="2" t="s">
        <v>19</v>
      </c>
      <c r="F1713" s="2">
        <v>9.89874316E9</v>
      </c>
    </row>
    <row r="1714" ht="15.75" customHeight="1">
      <c r="A1714" s="2" t="s">
        <v>1923</v>
      </c>
      <c r="B1714" s="2" t="s">
        <v>382</v>
      </c>
      <c r="C1714" s="2" t="s">
        <v>1379</v>
      </c>
      <c r="D1714" s="2" t="s">
        <v>56</v>
      </c>
      <c r="E1714" s="2" t="s">
        <v>19</v>
      </c>
      <c r="F1714" s="2">
        <v>8.78934154E9</v>
      </c>
    </row>
    <row r="1715" ht="15.75" customHeight="1">
      <c r="A1715" s="2" t="s">
        <v>520</v>
      </c>
      <c r="B1715" s="2" t="s">
        <v>1924</v>
      </c>
      <c r="C1715" s="2" t="s">
        <v>500</v>
      </c>
      <c r="D1715" s="2" t="s">
        <v>44</v>
      </c>
      <c r="E1715" s="2" t="s">
        <v>23</v>
      </c>
      <c r="F1715" s="2">
        <v>9.204279611E9</v>
      </c>
    </row>
    <row r="1716" ht="15.75" customHeight="1">
      <c r="A1716" s="2" t="s">
        <v>1925</v>
      </c>
      <c r="B1716" s="2" t="s">
        <v>63</v>
      </c>
      <c r="C1716" s="2" t="s">
        <v>34</v>
      </c>
      <c r="D1716" s="2" t="s">
        <v>44</v>
      </c>
      <c r="E1716" s="2" t="s">
        <v>23</v>
      </c>
      <c r="F1716" s="2">
        <v>9.304591674E9</v>
      </c>
    </row>
    <row r="1717" ht="15.75" customHeight="1">
      <c r="A1717" s="2" t="s">
        <v>1926</v>
      </c>
      <c r="B1717" s="2" t="s">
        <v>303</v>
      </c>
      <c r="C1717" s="2" t="s">
        <v>58</v>
      </c>
      <c r="D1717" s="2" t="s">
        <v>14</v>
      </c>
      <c r="E1717" s="2" t="s">
        <v>19</v>
      </c>
      <c r="F1717" s="2">
        <v>6.005342017E9</v>
      </c>
    </row>
    <row r="1718" ht="15.75" customHeight="1">
      <c r="A1718" s="2" t="s">
        <v>1927</v>
      </c>
      <c r="B1718" s="2" t="s">
        <v>55</v>
      </c>
      <c r="C1718" s="2" t="s">
        <v>708</v>
      </c>
      <c r="D1718" s="2" t="s">
        <v>56</v>
      </c>
      <c r="E1718" s="2" t="s">
        <v>19</v>
      </c>
      <c r="F1718" s="2">
        <v>9.304172408E9</v>
      </c>
    </row>
    <row r="1719" ht="15.75" customHeight="1">
      <c r="A1719" s="2" t="s">
        <v>1928</v>
      </c>
      <c r="B1719" s="2" t="s">
        <v>65</v>
      </c>
      <c r="C1719" s="2" t="s">
        <v>1929</v>
      </c>
      <c r="D1719" s="2" t="s">
        <v>44</v>
      </c>
      <c r="E1719" s="2" t="s">
        <v>19</v>
      </c>
      <c r="F1719" s="2">
        <v>6.201304312E9</v>
      </c>
    </row>
    <row r="1720" ht="15.75" customHeight="1">
      <c r="A1720" s="2" t="s">
        <v>1930</v>
      </c>
      <c r="B1720" s="2" t="s">
        <v>88</v>
      </c>
      <c r="C1720" s="2" t="s">
        <v>310</v>
      </c>
      <c r="D1720" s="2" t="s">
        <v>26</v>
      </c>
      <c r="E1720" s="2" t="s">
        <v>19</v>
      </c>
      <c r="F1720" s="2">
        <v>7.63105472E9</v>
      </c>
    </row>
    <row r="1721" ht="15.75" customHeight="1">
      <c r="A1721" s="2" t="s">
        <v>1931</v>
      </c>
      <c r="B1721" s="2" t="s">
        <v>1932</v>
      </c>
      <c r="C1721" s="2" t="s">
        <v>968</v>
      </c>
      <c r="D1721" s="2" t="s">
        <v>102</v>
      </c>
      <c r="E1721" s="2" t="s">
        <v>282</v>
      </c>
      <c r="F1721" s="2">
        <v>9.819431138E9</v>
      </c>
    </row>
    <row r="1722" ht="15.75" customHeight="1">
      <c r="A1722" s="2" t="s">
        <v>67</v>
      </c>
      <c r="B1722" s="2" t="s">
        <v>63</v>
      </c>
      <c r="C1722" s="2" t="s">
        <v>200</v>
      </c>
      <c r="D1722" s="2" t="s">
        <v>56</v>
      </c>
      <c r="E1722" s="2" t="s">
        <v>23</v>
      </c>
      <c r="F1722" s="2">
        <v>8.872436886E9</v>
      </c>
    </row>
    <row r="1723" ht="15.75" customHeight="1">
      <c r="A1723" s="2" t="s">
        <v>1933</v>
      </c>
      <c r="B1723" s="2" t="s">
        <v>119</v>
      </c>
      <c r="C1723" s="2" t="s">
        <v>453</v>
      </c>
      <c r="D1723" s="2" t="s">
        <v>44</v>
      </c>
      <c r="E1723" s="2" t="s">
        <v>19</v>
      </c>
      <c r="F1723" s="2">
        <v>9.955232555E9</v>
      </c>
    </row>
    <row r="1724" ht="15.75" customHeight="1">
      <c r="A1724" s="2" t="s">
        <v>98</v>
      </c>
      <c r="B1724" s="2" t="s">
        <v>50</v>
      </c>
      <c r="C1724" s="2" t="s">
        <v>1042</v>
      </c>
      <c r="D1724" s="2" t="s">
        <v>44</v>
      </c>
      <c r="E1724" s="2" t="s">
        <v>19</v>
      </c>
      <c r="F1724" s="2">
        <v>7.903494035E9</v>
      </c>
    </row>
    <row r="1725" ht="15.75" customHeight="1">
      <c r="A1725" s="2" t="s">
        <v>1934</v>
      </c>
      <c r="B1725" s="2" t="s">
        <v>483</v>
      </c>
      <c r="C1725" s="2" t="s">
        <v>1935</v>
      </c>
      <c r="D1725" s="2" t="s">
        <v>9</v>
      </c>
      <c r="E1725" s="2" t="s">
        <v>282</v>
      </c>
      <c r="F1725" s="2">
        <v>9.409288852E9</v>
      </c>
    </row>
    <row r="1726" ht="15.75" customHeight="1">
      <c r="A1726" s="2" t="s">
        <v>1516</v>
      </c>
      <c r="B1726" s="2" t="s">
        <v>225</v>
      </c>
      <c r="C1726" s="2" t="s">
        <v>305</v>
      </c>
      <c r="D1726" s="2" t="s">
        <v>14</v>
      </c>
      <c r="E1726" s="2" t="s">
        <v>19</v>
      </c>
      <c r="F1726" s="2">
        <v>9.835332726E9</v>
      </c>
    </row>
    <row r="1727" ht="15.75" customHeight="1">
      <c r="A1727" s="2" t="s">
        <v>1936</v>
      </c>
      <c r="B1727" s="2" t="s">
        <v>1466</v>
      </c>
      <c r="C1727" s="2" t="s">
        <v>1072</v>
      </c>
      <c r="D1727" s="2" t="s">
        <v>26</v>
      </c>
      <c r="E1727" s="2" t="s">
        <v>23</v>
      </c>
      <c r="F1727" s="2">
        <v>7.003842546E9</v>
      </c>
    </row>
    <row r="1728" ht="15.75" customHeight="1">
      <c r="A1728" s="2" t="s">
        <v>1937</v>
      </c>
      <c r="B1728" s="2" t="s">
        <v>55</v>
      </c>
      <c r="C1728" s="2" t="s">
        <v>662</v>
      </c>
      <c r="D1728" s="2" t="s">
        <v>26</v>
      </c>
      <c r="E1728" s="2" t="s">
        <v>255</v>
      </c>
      <c r="F1728" s="2">
        <v>8.809027878E9</v>
      </c>
    </row>
    <row r="1729" ht="15.75" customHeight="1">
      <c r="A1729" s="2" t="s">
        <v>735</v>
      </c>
      <c r="B1729" s="2" t="s">
        <v>675</v>
      </c>
      <c r="C1729" s="2" t="s">
        <v>1938</v>
      </c>
      <c r="D1729" s="2" t="s">
        <v>44</v>
      </c>
      <c r="E1729" s="2" t="s">
        <v>282</v>
      </c>
      <c r="F1729" s="2">
        <v>9.879161804E9</v>
      </c>
    </row>
    <row r="1730" ht="15.75" customHeight="1">
      <c r="A1730" s="2" t="s">
        <v>1044</v>
      </c>
      <c r="B1730" s="2" t="s">
        <v>52</v>
      </c>
      <c r="C1730" s="2" t="s">
        <v>1828</v>
      </c>
      <c r="D1730" s="2" t="s">
        <v>29</v>
      </c>
      <c r="E1730" s="2" t="s">
        <v>19</v>
      </c>
      <c r="F1730" s="2">
        <v>8.785312895E9</v>
      </c>
    </row>
    <row r="1731" ht="15.75" customHeight="1">
      <c r="A1731" s="2" t="s">
        <v>1845</v>
      </c>
      <c r="B1731" s="2" t="s">
        <v>65</v>
      </c>
      <c r="C1731" s="2" t="s">
        <v>305</v>
      </c>
      <c r="D1731" s="2" t="s">
        <v>56</v>
      </c>
      <c r="E1731" s="2" t="s">
        <v>19</v>
      </c>
      <c r="F1731" s="2">
        <v>8.789115765E9</v>
      </c>
    </row>
    <row r="1732" ht="15.75" customHeight="1">
      <c r="A1732" s="2" t="s">
        <v>1695</v>
      </c>
      <c r="B1732" s="2" t="s">
        <v>65</v>
      </c>
      <c r="C1732" s="2" t="s">
        <v>289</v>
      </c>
      <c r="D1732" s="2" t="s">
        <v>26</v>
      </c>
      <c r="E1732" s="2" t="s">
        <v>23</v>
      </c>
      <c r="F1732" s="2">
        <v>7.979048218E9</v>
      </c>
    </row>
    <row r="1733" ht="15.75" customHeight="1">
      <c r="A1733" s="2" t="s">
        <v>120</v>
      </c>
      <c r="B1733" s="2" t="s">
        <v>55</v>
      </c>
      <c r="C1733" s="2" t="s">
        <v>246</v>
      </c>
      <c r="D1733" s="2" t="s">
        <v>9</v>
      </c>
      <c r="E1733" s="2" t="s">
        <v>23</v>
      </c>
      <c r="F1733" s="2">
        <v>9.805319271E9</v>
      </c>
    </row>
    <row r="1734" ht="15.75" customHeight="1">
      <c r="A1734" s="2" t="s">
        <v>1939</v>
      </c>
      <c r="B1734" s="2" t="s">
        <v>1940</v>
      </c>
      <c r="C1734" s="2" t="s">
        <v>1818</v>
      </c>
      <c r="D1734" s="2" t="s">
        <v>26</v>
      </c>
      <c r="E1734" s="2" t="s">
        <v>19</v>
      </c>
      <c r="F1734" s="2">
        <v>8.957730597E9</v>
      </c>
    </row>
    <row r="1735" ht="15.75" customHeight="1">
      <c r="A1735" s="2" t="s">
        <v>666</v>
      </c>
      <c r="B1735" s="2" t="s">
        <v>153</v>
      </c>
      <c r="C1735" s="2" t="s">
        <v>210</v>
      </c>
      <c r="D1735" s="2" t="s">
        <v>44</v>
      </c>
      <c r="E1735" s="2" t="s">
        <v>23</v>
      </c>
      <c r="F1735" s="2">
        <v>9.931487427E9</v>
      </c>
    </row>
    <row r="1736" ht="15.75" customHeight="1">
      <c r="A1736" s="2" t="s">
        <v>1941</v>
      </c>
      <c r="B1736" s="2" t="s">
        <v>1942</v>
      </c>
      <c r="C1736" s="2" t="s">
        <v>1943</v>
      </c>
      <c r="D1736" s="2" t="s">
        <v>14</v>
      </c>
      <c r="E1736" s="2" t="s">
        <v>282</v>
      </c>
      <c r="F1736" s="2">
        <v>9.428906264E9</v>
      </c>
    </row>
    <row r="1737" ht="15.75" customHeight="1">
      <c r="A1737" s="2" t="s">
        <v>522</v>
      </c>
      <c r="B1737" s="2" t="s">
        <v>21</v>
      </c>
      <c r="C1737" s="2" t="s">
        <v>500</v>
      </c>
      <c r="D1737" s="2" t="s">
        <v>44</v>
      </c>
      <c r="E1737" s="2" t="s">
        <v>19</v>
      </c>
      <c r="F1737" s="2">
        <v>7.277303604E9</v>
      </c>
    </row>
    <row r="1738" ht="15.75" customHeight="1">
      <c r="A1738" s="2" t="s">
        <v>1944</v>
      </c>
      <c r="B1738" s="2" t="s">
        <v>1509</v>
      </c>
      <c r="C1738" s="2" t="s">
        <v>58</v>
      </c>
      <c r="D1738" s="2" t="s">
        <v>44</v>
      </c>
      <c r="E1738" s="2" t="s">
        <v>19</v>
      </c>
      <c r="F1738" s="2">
        <v>8.294781781E9</v>
      </c>
    </row>
    <row r="1739" ht="15.75" customHeight="1">
      <c r="A1739" s="2" t="s">
        <v>1945</v>
      </c>
      <c r="B1739" s="2" t="s">
        <v>1724</v>
      </c>
      <c r="C1739" s="2" t="s">
        <v>500</v>
      </c>
      <c r="D1739" s="2" t="s">
        <v>44</v>
      </c>
      <c r="E1739" s="2" t="s">
        <v>19</v>
      </c>
      <c r="F1739" s="2">
        <v>9.12318116E9</v>
      </c>
    </row>
    <row r="1740" ht="15.75" customHeight="1">
      <c r="A1740" s="2" t="s">
        <v>1946</v>
      </c>
      <c r="B1740" s="2" t="s">
        <v>269</v>
      </c>
      <c r="C1740" s="2" t="s">
        <v>1947</v>
      </c>
      <c r="D1740" s="2" t="s">
        <v>26</v>
      </c>
      <c r="E1740" s="2" t="s">
        <v>19</v>
      </c>
      <c r="F1740" s="2">
        <v>8.758893541E9</v>
      </c>
    </row>
    <row r="1741" ht="15.75" customHeight="1">
      <c r="A1741" s="2" t="s">
        <v>174</v>
      </c>
      <c r="B1741" s="2" t="s">
        <v>125</v>
      </c>
      <c r="C1741" s="2" t="s">
        <v>1948</v>
      </c>
      <c r="D1741" s="2" t="s">
        <v>56</v>
      </c>
      <c r="E1741" s="2" t="s">
        <v>23</v>
      </c>
      <c r="F1741" s="2">
        <v>9.57005964E9</v>
      </c>
    </row>
    <row r="1742" ht="15.75" customHeight="1">
      <c r="A1742" s="2" t="s">
        <v>772</v>
      </c>
      <c r="B1742" s="2" t="s">
        <v>50</v>
      </c>
      <c r="C1742" s="2" t="s">
        <v>428</v>
      </c>
      <c r="D1742" s="2" t="s">
        <v>26</v>
      </c>
      <c r="E1742" s="2" t="s">
        <v>19</v>
      </c>
      <c r="F1742" s="2">
        <v>6.21516182E9</v>
      </c>
    </row>
    <row r="1743" ht="15.75" customHeight="1">
      <c r="A1743" s="2" t="s">
        <v>1949</v>
      </c>
      <c r="B1743" s="2" t="s">
        <v>1950</v>
      </c>
      <c r="C1743" s="2" t="s">
        <v>58</v>
      </c>
      <c r="D1743" s="2" t="s">
        <v>26</v>
      </c>
      <c r="E1743" s="2" t="s">
        <v>19</v>
      </c>
      <c r="F1743" s="2">
        <v>8.073392166E9</v>
      </c>
    </row>
    <row r="1744" ht="15.75" customHeight="1">
      <c r="A1744" s="2" t="s">
        <v>1951</v>
      </c>
      <c r="B1744" s="2" t="s">
        <v>1952</v>
      </c>
      <c r="C1744" s="2" t="s">
        <v>1953</v>
      </c>
      <c r="D1744" s="2" t="s">
        <v>26</v>
      </c>
      <c r="E1744" s="2" t="s">
        <v>255</v>
      </c>
      <c r="F1744" s="2">
        <v>9.538893838E9</v>
      </c>
    </row>
    <row r="1745" ht="15.75" customHeight="1">
      <c r="A1745" s="2" t="s">
        <v>991</v>
      </c>
      <c r="B1745" s="2" t="s">
        <v>63</v>
      </c>
      <c r="C1745" s="2" t="s">
        <v>627</v>
      </c>
      <c r="D1745" s="2" t="s">
        <v>26</v>
      </c>
      <c r="E1745" s="2" t="s">
        <v>19</v>
      </c>
      <c r="F1745" s="2">
        <v>9.97320135E9</v>
      </c>
    </row>
    <row r="1746" ht="15.75" customHeight="1">
      <c r="A1746" s="2" t="s">
        <v>1046</v>
      </c>
      <c r="B1746" s="2" t="s">
        <v>1954</v>
      </c>
      <c r="C1746" s="2" t="s">
        <v>1955</v>
      </c>
      <c r="D1746" s="2" t="s">
        <v>56</v>
      </c>
      <c r="E1746" s="2" t="s">
        <v>19</v>
      </c>
      <c r="F1746" s="2">
        <v>9.335115555E9</v>
      </c>
    </row>
    <row r="1747" ht="15.75" customHeight="1">
      <c r="A1747" s="2" t="s">
        <v>762</v>
      </c>
      <c r="B1747" s="2" t="s">
        <v>1593</v>
      </c>
      <c r="C1747" s="2" t="s">
        <v>1956</v>
      </c>
      <c r="D1747" s="2" t="s">
        <v>26</v>
      </c>
      <c r="E1747" s="2" t="s">
        <v>23</v>
      </c>
      <c r="F1747" s="2">
        <v>7.979048218E9</v>
      </c>
    </row>
    <row r="1748" ht="15.75" customHeight="1">
      <c r="A1748" s="2" t="s">
        <v>446</v>
      </c>
      <c r="B1748" s="2" t="s">
        <v>1957</v>
      </c>
      <c r="C1748" s="2" t="s">
        <v>968</v>
      </c>
      <c r="D1748" s="2" t="s">
        <v>26</v>
      </c>
      <c r="E1748" s="2" t="s">
        <v>282</v>
      </c>
      <c r="F1748" s="2">
        <v>9.89852402E9</v>
      </c>
    </row>
    <row r="1749" ht="15.75" customHeight="1">
      <c r="A1749" s="2" t="s">
        <v>1958</v>
      </c>
      <c r="B1749" s="2" t="s">
        <v>398</v>
      </c>
      <c r="C1749" s="2" t="s">
        <v>181</v>
      </c>
      <c r="D1749" s="2" t="s">
        <v>26</v>
      </c>
      <c r="E1749" s="2" t="s">
        <v>23</v>
      </c>
      <c r="F1749" s="2">
        <v>9.334065854E9</v>
      </c>
    </row>
    <row r="1750" ht="15.75" customHeight="1">
      <c r="A1750" s="2" t="s">
        <v>1959</v>
      </c>
      <c r="B1750" s="2" t="s">
        <v>1831</v>
      </c>
      <c r="C1750" s="2" t="s">
        <v>1098</v>
      </c>
      <c r="D1750" s="2" t="s">
        <v>26</v>
      </c>
      <c r="E1750" s="2" t="s">
        <v>19</v>
      </c>
      <c r="F1750" s="2">
        <v>9.63182587E9</v>
      </c>
    </row>
    <row r="1751" ht="15.75" customHeight="1">
      <c r="A1751" s="2" t="s">
        <v>1960</v>
      </c>
      <c r="B1751" s="2" t="s">
        <v>1509</v>
      </c>
      <c r="C1751" s="2" t="s">
        <v>360</v>
      </c>
      <c r="D1751" s="2" t="s">
        <v>56</v>
      </c>
      <c r="E1751" s="2" t="s">
        <v>19</v>
      </c>
      <c r="F1751" s="2">
        <v>8.70902232E9</v>
      </c>
    </row>
    <row r="1752" ht="15.75" customHeight="1">
      <c r="A1752" s="2" t="s">
        <v>1961</v>
      </c>
      <c r="B1752" s="2" t="s">
        <v>1962</v>
      </c>
      <c r="C1752" s="2" t="s">
        <v>1375</v>
      </c>
      <c r="D1752" s="2" t="s">
        <v>26</v>
      </c>
      <c r="E1752" s="2" t="s">
        <v>19</v>
      </c>
      <c r="F1752" s="2">
        <v>8.877094406E9</v>
      </c>
    </row>
    <row r="1753" ht="15.75" customHeight="1">
      <c r="A1753" s="2" t="s">
        <v>572</v>
      </c>
      <c r="B1753" s="2" t="s">
        <v>1077</v>
      </c>
      <c r="C1753" s="2" t="s">
        <v>58</v>
      </c>
      <c r="D1753" s="2" t="s">
        <v>56</v>
      </c>
      <c r="E1753" s="2" t="s">
        <v>19</v>
      </c>
      <c r="F1753" s="2">
        <v>7.250198669E9</v>
      </c>
    </row>
    <row r="1754" ht="15.75" customHeight="1">
      <c r="A1754" s="2" t="s">
        <v>1963</v>
      </c>
      <c r="B1754" s="2" t="s">
        <v>88</v>
      </c>
      <c r="C1754" s="2" t="s">
        <v>729</v>
      </c>
      <c r="D1754" s="2" t="s">
        <v>9</v>
      </c>
      <c r="E1754" s="2" t="s">
        <v>23</v>
      </c>
      <c r="F1754" s="2">
        <v>6.205678245E9</v>
      </c>
    </row>
    <row r="1755" ht="15.75" customHeight="1">
      <c r="A1755" s="2" t="s">
        <v>1964</v>
      </c>
      <c r="B1755" s="2" t="s">
        <v>552</v>
      </c>
      <c r="C1755" s="2" t="s">
        <v>1965</v>
      </c>
      <c r="D1755" s="2" t="s">
        <v>14</v>
      </c>
      <c r="E1755" s="2" t="s">
        <v>19</v>
      </c>
      <c r="F1755" s="2">
        <v>6.203760223E9</v>
      </c>
    </row>
    <row r="1756" ht="15.75" customHeight="1">
      <c r="A1756" s="2" t="s">
        <v>1966</v>
      </c>
      <c r="B1756" s="2" t="s">
        <v>1466</v>
      </c>
      <c r="C1756" s="2" t="s">
        <v>1282</v>
      </c>
      <c r="D1756" s="2" t="s">
        <v>14</v>
      </c>
      <c r="E1756" s="2" t="s">
        <v>282</v>
      </c>
      <c r="F1756" s="2">
        <v>9.429279096E9</v>
      </c>
    </row>
    <row r="1757" ht="15.75" customHeight="1">
      <c r="A1757" s="2" t="s">
        <v>1671</v>
      </c>
      <c r="B1757" s="2" t="s">
        <v>21</v>
      </c>
      <c r="C1757" s="2" t="s">
        <v>360</v>
      </c>
      <c r="D1757" s="2" t="s">
        <v>14</v>
      </c>
      <c r="E1757" s="2" t="s">
        <v>19</v>
      </c>
      <c r="F1757" s="2">
        <v>7.4307818E9</v>
      </c>
    </row>
    <row r="1758" ht="15.75" customHeight="1">
      <c r="A1758" s="2" t="s">
        <v>1967</v>
      </c>
      <c r="B1758" s="2" t="s">
        <v>1415</v>
      </c>
      <c r="C1758" s="2" t="s">
        <v>200</v>
      </c>
      <c r="D1758" s="2" t="s">
        <v>26</v>
      </c>
      <c r="E1758" s="2" t="s">
        <v>19</v>
      </c>
      <c r="F1758" s="2">
        <v>8.987287466E9</v>
      </c>
    </row>
    <row r="1759" ht="15.75" customHeight="1">
      <c r="A1759" s="2" t="s">
        <v>1197</v>
      </c>
      <c r="B1759" s="2" t="s">
        <v>1968</v>
      </c>
      <c r="C1759" s="2" t="s">
        <v>1969</v>
      </c>
      <c r="D1759" s="2" t="s">
        <v>9</v>
      </c>
      <c r="E1759" s="2" t="s">
        <v>255</v>
      </c>
      <c r="F1759" s="2">
        <v>9.570003857E9</v>
      </c>
    </row>
    <row r="1760" ht="15.75" customHeight="1">
      <c r="A1760" s="2" t="s">
        <v>1970</v>
      </c>
      <c r="B1760" s="2" t="s">
        <v>55</v>
      </c>
      <c r="C1760" s="2" t="s">
        <v>1004</v>
      </c>
      <c r="D1760" s="2" t="s">
        <v>26</v>
      </c>
      <c r="E1760" s="2" t="s">
        <v>23</v>
      </c>
      <c r="F1760" s="2">
        <v>9.304286514E9</v>
      </c>
    </row>
    <row r="1761" ht="15.75" customHeight="1">
      <c r="A1761" s="2" t="s">
        <v>1340</v>
      </c>
      <c r="B1761" s="2" t="s">
        <v>65</v>
      </c>
      <c r="C1761" s="2" t="s">
        <v>729</v>
      </c>
      <c r="D1761" s="2" t="s">
        <v>56</v>
      </c>
      <c r="E1761" s="2" t="s">
        <v>23</v>
      </c>
      <c r="F1761" s="2">
        <v>8.797900001E9</v>
      </c>
    </row>
    <row r="1762" ht="15.75" customHeight="1">
      <c r="A1762" s="2" t="s">
        <v>782</v>
      </c>
      <c r="B1762" s="2" t="s">
        <v>1875</v>
      </c>
      <c r="C1762" s="2" t="s">
        <v>171</v>
      </c>
      <c r="D1762" s="2" t="s">
        <v>56</v>
      </c>
      <c r="E1762" s="2" t="s">
        <v>19</v>
      </c>
      <c r="F1762" s="2">
        <v>9.431103129E9</v>
      </c>
    </row>
    <row r="1763" ht="15.75" customHeight="1">
      <c r="A1763" s="2" t="s">
        <v>1971</v>
      </c>
      <c r="B1763" s="2" t="s">
        <v>1972</v>
      </c>
      <c r="C1763" s="2" t="s">
        <v>58</v>
      </c>
      <c r="D1763" s="2" t="s">
        <v>9</v>
      </c>
      <c r="E1763" s="2" t="s">
        <v>19</v>
      </c>
      <c r="F1763" s="2">
        <v>9.693455191E9</v>
      </c>
    </row>
    <row r="1764" ht="15.75" customHeight="1">
      <c r="A1764" s="2" t="s">
        <v>1205</v>
      </c>
      <c r="B1764" s="2" t="s">
        <v>1973</v>
      </c>
      <c r="C1764" s="2" t="s">
        <v>230</v>
      </c>
      <c r="D1764" s="2" t="s">
        <v>44</v>
      </c>
      <c r="E1764" s="2" t="s">
        <v>19</v>
      </c>
      <c r="F1764" s="2">
        <v>9.093481053E9</v>
      </c>
    </row>
    <row r="1765" ht="15.75" customHeight="1">
      <c r="A1765" s="2" t="s">
        <v>125</v>
      </c>
      <c r="B1765" s="2" t="s">
        <v>1974</v>
      </c>
      <c r="C1765" s="2" t="s">
        <v>1975</v>
      </c>
      <c r="D1765" s="2" t="s">
        <v>56</v>
      </c>
      <c r="E1765" s="2" t="s">
        <v>282</v>
      </c>
      <c r="F1765" s="2">
        <v>9.376188105E9</v>
      </c>
    </row>
    <row r="1766" ht="15.75" customHeight="1">
      <c r="A1766" s="2" t="s">
        <v>164</v>
      </c>
      <c r="B1766" s="2" t="s">
        <v>55</v>
      </c>
      <c r="C1766" s="2" t="s">
        <v>210</v>
      </c>
      <c r="D1766" s="2" t="s">
        <v>56</v>
      </c>
      <c r="E1766" s="2" t="s">
        <v>23</v>
      </c>
      <c r="F1766" s="2">
        <v>9.709235113E9</v>
      </c>
    </row>
    <row r="1767" ht="15.75" customHeight="1">
      <c r="A1767" s="2" t="s">
        <v>393</v>
      </c>
      <c r="B1767" s="2" t="s">
        <v>52</v>
      </c>
      <c r="C1767" s="2" t="s">
        <v>58</v>
      </c>
      <c r="D1767" s="2" t="s">
        <v>56</v>
      </c>
      <c r="E1767" s="2" t="s">
        <v>19</v>
      </c>
      <c r="F1767" s="2">
        <v>7.324850596E9</v>
      </c>
    </row>
    <row r="1768" ht="15.75" customHeight="1">
      <c r="A1768" s="2" t="s">
        <v>1976</v>
      </c>
      <c r="B1768" s="2" t="s">
        <v>212</v>
      </c>
      <c r="C1768" s="2" t="s">
        <v>1443</v>
      </c>
      <c r="D1768" s="2" t="s">
        <v>14</v>
      </c>
      <c r="E1768" s="2" t="s">
        <v>23</v>
      </c>
      <c r="F1768" s="2">
        <v>9.340136406E9</v>
      </c>
    </row>
    <row r="1769" ht="15.75" customHeight="1">
      <c r="A1769" s="2" t="s">
        <v>944</v>
      </c>
      <c r="B1769" s="2" t="s">
        <v>50</v>
      </c>
      <c r="C1769" s="2" t="s">
        <v>228</v>
      </c>
      <c r="D1769" s="2" t="s">
        <v>26</v>
      </c>
      <c r="E1769" s="2" t="s">
        <v>19</v>
      </c>
      <c r="F1769" s="2">
        <v>8.40995513E9</v>
      </c>
    </row>
    <row r="1770" ht="15.75" customHeight="1">
      <c r="A1770" s="2" t="s">
        <v>1977</v>
      </c>
      <c r="B1770" s="2" t="s">
        <v>1978</v>
      </c>
      <c r="C1770" s="2" t="s">
        <v>1979</v>
      </c>
      <c r="D1770" s="2" t="s">
        <v>44</v>
      </c>
      <c r="E1770" s="2" t="s">
        <v>282</v>
      </c>
      <c r="F1770" s="2">
        <v>9.92500722E9</v>
      </c>
    </row>
    <row r="1771" ht="15.75" customHeight="1">
      <c r="A1771" s="2" t="s">
        <v>1980</v>
      </c>
      <c r="B1771" s="2" t="s">
        <v>50</v>
      </c>
      <c r="C1771" s="2" t="s">
        <v>235</v>
      </c>
      <c r="D1771" s="2" t="s">
        <v>26</v>
      </c>
      <c r="E1771" s="2" t="s">
        <v>19</v>
      </c>
      <c r="F1771" s="2">
        <v>9.50120117E9</v>
      </c>
    </row>
    <row r="1772" ht="15.75" customHeight="1">
      <c r="A1772" s="2" t="s">
        <v>1426</v>
      </c>
      <c r="B1772" s="2" t="s">
        <v>1290</v>
      </c>
      <c r="C1772" s="2" t="s">
        <v>235</v>
      </c>
      <c r="D1772" s="2" t="s">
        <v>26</v>
      </c>
      <c r="E1772" s="2" t="s">
        <v>19</v>
      </c>
      <c r="F1772" s="2">
        <v>6.201200289E9</v>
      </c>
    </row>
    <row r="1773" ht="15.75" customHeight="1">
      <c r="A1773" s="2" t="s">
        <v>636</v>
      </c>
      <c r="B1773" s="2" t="s">
        <v>654</v>
      </c>
      <c r="C1773" s="2" t="s">
        <v>627</v>
      </c>
      <c r="D1773" s="2" t="s">
        <v>29</v>
      </c>
      <c r="E1773" s="2" t="s">
        <v>19</v>
      </c>
      <c r="F1773" s="2">
        <v>9.060860849E9</v>
      </c>
    </row>
    <row r="1774" ht="15.75" customHeight="1">
      <c r="A1774" s="2" t="s">
        <v>827</v>
      </c>
      <c r="B1774" s="2" t="s">
        <v>55</v>
      </c>
      <c r="C1774" s="2" t="s">
        <v>556</v>
      </c>
      <c r="D1774" s="2" t="s">
        <v>26</v>
      </c>
      <c r="E1774" s="2" t="s">
        <v>255</v>
      </c>
      <c r="F1774" s="2">
        <v>8.969527976E9</v>
      </c>
    </row>
    <row r="1775" ht="15.75" customHeight="1">
      <c r="A1775" s="2" t="s">
        <v>405</v>
      </c>
      <c r="B1775" s="2" t="s">
        <v>212</v>
      </c>
      <c r="C1775" s="2" t="s">
        <v>181</v>
      </c>
      <c r="D1775" s="2" t="s">
        <v>26</v>
      </c>
      <c r="E1775" s="2" t="s">
        <v>19</v>
      </c>
      <c r="F1775" s="2">
        <v>9.25583013E9</v>
      </c>
    </row>
    <row r="1776" ht="15.75" customHeight="1">
      <c r="A1776" s="2" t="s">
        <v>1450</v>
      </c>
      <c r="B1776" s="2" t="s">
        <v>1981</v>
      </c>
      <c r="C1776" s="2" t="s">
        <v>228</v>
      </c>
      <c r="D1776" s="2" t="s">
        <v>9</v>
      </c>
      <c r="E1776" s="2" t="s">
        <v>19</v>
      </c>
      <c r="F1776" s="2">
        <v>9.771570486E9</v>
      </c>
    </row>
    <row r="1777" ht="15.75" customHeight="1">
      <c r="A1777" s="2" t="s">
        <v>96</v>
      </c>
      <c r="B1777" s="2" t="s">
        <v>199</v>
      </c>
      <c r="C1777" s="2" t="s">
        <v>1982</v>
      </c>
      <c r="D1777" s="2" t="s">
        <v>9</v>
      </c>
      <c r="E1777" s="2" t="s">
        <v>23</v>
      </c>
      <c r="F1777" s="2">
        <v>6.2036891E9</v>
      </c>
    </row>
    <row r="1778" ht="15.75" customHeight="1">
      <c r="A1778" s="2" t="s">
        <v>1983</v>
      </c>
      <c r="B1778" s="2" t="s">
        <v>1850</v>
      </c>
      <c r="C1778" s="2" t="s">
        <v>970</v>
      </c>
      <c r="D1778" s="2" t="s">
        <v>56</v>
      </c>
      <c r="E1778" s="2" t="s">
        <v>19</v>
      </c>
      <c r="F1778" s="2">
        <v>8.972135242E9</v>
      </c>
    </row>
    <row r="1779" ht="15.75" customHeight="1">
      <c r="A1779" s="2" t="s">
        <v>1984</v>
      </c>
      <c r="B1779" s="2" t="s">
        <v>63</v>
      </c>
      <c r="C1779" s="2" t="s">
        <v>689</v>
      </c>
      <c r="D1779" s="2" t="s">
        <v>9</v>
      </c>
      <c r="E1779" s="2" t="s">
        <v>19</v>
      </c>
      <c r="F1779" s="2">
        <v>8.809373127E9</v>
      </c>
    </row>
    <row r="1780" ht="15.75" customHeight="1">
      <c r="A1780" s="2" t="s">
        <v>24</v>
      </c>
      <c r="B1780" s="2" t="s">
        <v>145</v>
      </c>
      <c r="C1780" s="2" t="s">
        <v>560</v>
      </c>
      <c r="D1780" s="2" t="s">
        <v>56</v>
      </c>
      <c r="E1780" s="2" t="s">
        <v>19</v>
      </c>
      <c r="F1780" s="2">
        <v>9.771773064E9</v>
      </c>
    </row>
    <row r="1781" ht="15.75" customHeight="1">
      <c r="A1781" s="2" t="s">
        <v>1985</v>
      </c>
      <c r="B1781" s="2" t="s">
        <v>153</v>
      </c>
      <c r="C1781" s="2" t="s">
        <v>295</v>
      </c>
      <c r="D1781" s="2" t="s">
        <v>9</v>
      </c>
      <c r="E1781" s="2" t="s">
        <v>23</v>
      </c>
      <c r="F1781" s="2">
        <v>9.973391506E9</v>
      </c>
    </row>
    <row r="1782" ht="15.75" customHeight="1">
      <c r="A1782" s="2" t="s">
        <v>1986</v>
      </c>
      <c r="B1782" s="2" t="s">
        <v>63</v>
      </c>
      <c r="C1782" s="2" t="s">
        <v>305</v>
      </c>
      <c r="D1782" s="2" t="s">
        <v>29</v>
      </c>
      <c r="E1782" s="2" t="s">
        <v>19</v>
      </c>
      <c r="F1782" s="2">
        <v>6.20467888E9</v>
      </c>
    </row>
    <row r="1783" ht="15.75" customHeight="1">
      <c r="A1783" s="2" t="s">
        <v>1044</v>
      </c>
      <c r="B1783" s="2" t="s">
        <v>125</v>
      </c>
      <c r="C1783" s="2" t="s">
        <v>200</v>
      </c>
      <c r="D1783" s="2" t="s">
        <v>56</v>
      </c>
      <c r="E1783" s="2" t="s">
        <v>19</v>
      </c>
      <c r="F1783" s="2">
        <v>6.204279391E9</v>
      </c>
    </row>
    <row r="1784" ht="15.75" customHeight="1">
      <c r="A1784" s="2" t="s">
        <v>1987</v>
      </c>
      <c r="B1784" s="2" t="s">
        <v>199</v>
      </c>
      <c r="C1784" s="2" t="s">
        <v>576</v>
      </c>
      <c r="D1784" s="2" t="s">
        <v>9</v>
      </c>
      <c r="E1784" s="2" t="s">
        <v>23</v>
      </c>
      <c r="F1784" s="2">
        <v>6.203568191E9</v>
      </c>
    </row>
    <row r="1785" ht="15.75" customHeight="1">
      <c r="A1785" s="2" t="s">
        <v>1872</v>
      </c>
      <c r="B1785" s="2" t="s">
        <v>982</v>
      </c>
      <c r="C1785" s="2" t="s">
        <v>230</v>
      </c>
      <c r="D1785" s="2" t="s">
        <v>29</v>
      </c>
      <c r="E1785" s="2" t="s">
        <v>19</v>
      </c>
      <c r="F1785" s="2">
        <v>9.523925947E9</v>
      </c>
    </row>
    <row r="1786" ht="15.75" customHeight="1">
      <c r="A1786" s="2" t="s">
        <v>1437</v>
      </c>
      <c r="B1786" s="2" t="s">
        <v>55</v>
      </c>
      <c r="C1786" s="2" t="s">
        <v>221</v>
      </c>
      <c r="D1786" s="2" t="s">
        <v>56</v>
      </c>
      <c r="E1786" s="2" t="s">
        <v>19</v>
      </c>
      <c r="F1786" s="2">
        <v>8.409012292E9</v>
      </c>
    </row>
    <row r="1787" ht="15.75" customHeight="1">
      <c r="A1787" s="2" t="s">
        <v>1515</v>
      </c>
      <c r="B1787" s="2" t="s">
        <v>312</v>
      </c>
      <c r="C1787" s="2" t="s">
        <v>729</v>
      </c>
      <c r="D1787" s="2" t="s">
        <v>56</v>
      </c>
      <c r="E1787" s="2" t="s">
        <v>19</v>
      </c>
      <c r="F1787" s="2">
        <v>9.122417274E9</v>
      </c>
    </row>
    <row r="1788" ht="15.75" customHeight="1">
      <c r="A1788" s="2" t="s">
        <v>827</v>
      </c>
      <c r="B1788" s="2" t="s">
        <v>1988</v>
      </c>
      <c r="C1788" s="2" t="s">
        <v>254</v>
      </c>
      <c r="D1788" s="2" t="s">
        <v>26</v>
      </c>
      <c r="E1788" s="2" t="s">
        <v>255</v>
      </c>
      <c r="F1788" s="2">
        <v>7.070360821E9</v>
      </c>
    </row>
    <row r="1789" ht="15.75" customHeight="1">
      <c r="A1789" s="2" t="s">
        <v>565</v>
      </c>
      <c r="B1789" s="2" t="s">
        <v>1989</v>
      </c>
      <c r="C1789" s="2" t="s">
        <v>1979</v>
      </c>
      <c r="D1789" s="2" t="s">
        <v>26</v>
      </c>
      <c r="E1789" s="2" t="s">
        <v>282</v>
      </c>
      <c r="F1789" s="2">
        <v>9.879612441E9</v>
      </c>
    </row>
    <row r="1790" ht="15.75" customHeight="1">
      <c r="A1790" s="2" t="s">
        <v>856</v>
      </c>
      <c r="B1790" s="2" t="s">
        <v>88</v>
      </c>
      <c r="C1790" s="2" t="s">
        <v>171</v>
      </c>
      <c r="D1790" s="2" t="s">
        <v>26</v>
      </c>
      <c r="E1790" s="2" t="s">
        <v>23</v>
      </c>
      <c r="F1790" s="2">
        <v>6.203568101E9</v>
      </c>
    </row>
    <row r="1791" ht="15.75" customHeight="1">
      <c r="A1791" s="2" t="s">
        <v>1990</v>
      </c>
      <c r="B1791" s="2" t="s">
        <v>251</v>
      </c>
      <c r="C1791" s="2" t="s">
        <v>729</v>
      </c>
      <c r="D1791" s="2" t="s">
        <v>56</v>
      </c>
      <c r="E1791" s="2" t="s">
        <v>19</v>
      </c>
      <c r="F1791" s="2">
        <v>8.210552029E9</v>
      </c>
    </row>
    <row r="1792" ht="15.75" customHeight="1">
      <c r="A1792" s="2" t="s">
        <v>405</v>
      </c>
      <c r="B1792" s="2" t="s">
        <v>63</v>
      </c>
      <c r="C1792" s="2" t="s">
        <v>58</v>
      </c>
      <c r="D1792" s="2" t="s">
        <v>56</v>
      </c>
      <c r="E1792" s="2" t="s">
        <v>19</v>
      </c>
      <c r="F1792" s="2">
        <v>9.051899118E9</v>
      </c>
    </row>
    <row r="1793" ht="15.75" customHeight="1">
      <c r="A1793" s="2" t="s">
        <v>1222</v>
      </c>
      <c r="B1793" s="2" t="s">
        <v>693</v>
      </c>
      <c r="C1793" s="2" t="s">
        <v>968</v>
      </c>
      <c r="D1793" s="2" t="s">
        <v>14</v>
      </c>
      <c r="E1793" s="2" t="s">
        <v>282</v>
      </c>
      <c r="F1793" s="2">
        <v>9.924001087E9</v>
      </c>
    </row>
    <row r="1794" ht="15.75" customHeight="1">
      <c r="A1794" s="2" t="s">
        <v>1991</v>
      </c>
      <c r="B1794" s="2" t="s">
        <v>1992</v>
      </c>
      <c r="C1794" s="2" t="s">
        <v>1818</v>
      </c>
      <c r="D1794" s="2" t="s">
        <v>44</v>
      </c>
      <c r="E1794" s="2" t="s">
        <v>19</v>
      </c>
      <c r="F1794" s="2">
        <v>9.77107797E9</v>
      </c>
    </row>
    <row r="1795" ht="15.75" customHeight="1">
      <c r="A1795" s="2" t="s">
        <v>1993</v>
      </c>
      <c r="B1795" s="2" t="s">
        <v>276</v>
      </c>
      <c r="C1795" s="2" t="s">
        <v>181</v>
      </c>
      <c r="D1795" s="2" t="s">
        <v>26</v>
      </c>
      <c r="E1795" s="2" t="s">
        <v>23</v>
      </c>
      <c r="F1795" s="2">
        <v>8.102004178E9</v>
      </c>
    </row>
    <row r="1796" ht="15.75" customHeight="1">
      <c r="A1796" s="2" t="s">
        <v>795</v>
      </c>
      <c r="B1796" s="2" t="s">
        <v>862</v>
      </c>
      <c r="C1796" s="2" t="s">
        <v>61</v>
      </c>
      <c r="D1796" s="2" t="s">
        <v>56</v>
      </c>
      <c r="E1796" s="2" t="s">
        <v>23</v>
      </c>
      <c r="F1796" s="2">
        <v>8.797849339E9</v>
      </c>
    </row>
    <row r="1797" ht="15.75" customHeight="1">
      <c r="A1797" s="2" t="s">
        <v>1281</v>
      </c>
      <c r="B1797" s="2" t="s">
        <v>1994</v>
      </c>
      <c r="C1797" s="2" t="s">
        <v>1282</v>
      </c>
      <c r="D1797" s="2" t="s">
        <v>56</v>
      </c>
      <c r="E1797" s="2" t="s">
        <v>282</v>
      </c>
      <c r="F1797" s="2">
        <v>9.42904534E9</v>
      </c>
    </row>
    <row r="1798" ht="15.75" customHeight="1">
      <c r="A1798" s="2" t="s">
        <v>141</v>
      </c>
      <c r="B1798" s="2" t="s">
        <v>63</v>
      </c>
      <c r="C1798" s="2" t="s">
        <v>729</v>
      </c>
      <c r="D1798" s="2" t="s">
        <v>29</v>
      </c>
      <c r="E1798" s="2" t="s">
        <v>19</v>
      </c>
      <c r="F1798" s="2">
        <v>6.204247283E9</v>
      </c>
    </row>
    <row r="1799" ht="15.75" customHeight="1">
      <c r="A1799" s="2" t="s">
        <v>1995</v>
      </c>
      <c r="B1799" s="2" t="s">
        <v>214</v>
      </c>
      <c r="C1799" s="2" t="s">
        <v>1355</v>
      </c>
      <c r="D1799" s="2" t="s">
        <v>26</v>
      </c>
      <c r="E1799" s="2" t="s">
        <v>19</v>
      </c>
      <c r="F1799" s="2">
        <v>7.912191199E9</v>
      </c>
    </row>
    <row r="1800" ht="15.75" customHeight="1">
      <c r="A1800" s="2" t="s">
        <v>636</v>
      </c>
      <c r="B1800" s="2" t="s">
        <v>1290</v>
      </c>
      <c r="C1800" s="2" t="s">
        <v>919</v>
      </c>
      <c r="D1800" s="2" t="s">
        <v>29</v>
      </c>
      <c r="E1800" s="2" t="s">
        <v>19</v>
      </c>
      <c r="F1800" s="2">
        <v>6.207334263E9</v>
      </c>
    </row>
    <row r="1801" ht="15.75" customHeight="1">
      <c r="A1801" s="2" t="s">
        <v>126</v>
      </c>
      <c r="B1801" s="2" t="s">
        <v>243</v>
      </c>
      <c r="C1801" s="2" t="s">
        <v>360</v>
      </c>
      <c r="D1801" s="2" t="s">
        <v>56</v>
      </c>
      <c r="E1801" s="2" t="s">
        <v>19</v>
      </c>
      <c r="F1801" s="2">
        <v>8.709479116E9</v>
      </c>
    </row>
    <row r="1802" ht="15.75" customHeight="1">
      <c r="A1802" s="2" t="s">
        <v>417</v>
      </c>
      <c r="B1802" s="2" t="s">
        <v>1996</v>
      </c>
      <c r="C1802" s="2" t="s">
        <v>58</v>
      </c>
      <c r="D1802" s="2" t="s">
        <v>14</v>
      </c>
      <c r="E1802" s="2" t="s">
        <v>19</v>
      </c>
      <c r="F1802" s="2">
        <v>9.608057058E9</v>
      </c>
    </row>
    <row r="1803" ht="15.75" customHeight="1">
      <c r="A1803" s="2" t="s">
        <v>1290</v>
      </c>
      <c r="B1803" s="2" t="s">
        <v>1475</v>
      </c>
      <c r="C1803" s="2" t="s">
        <v>860</v>
      </c>
      <c r="D1803" s="2" t="s">
        <v>26</v>
      </c>
      <c r="E1803" s="2" t="s">
        <v>19</v>
      </c>
      <c r="F1803" s="2">
        <v>9.835393657E9</v>
      </c>
    </row>
    <row r="1804" ht="15.75" customHeight="1">
      <c r="A1804" s="2" t="s">
        <v>234</v>
      </c>
      <c r="B1804" s="2" t="s">
        <v>1997</v>
      </c>
      <c r="C1804" s="2" t="s">
        <v>106</v>
      </c>
      <c r="D1804" s="2" t="s">
        <v>56</v>
      </c>
      <c r="E1804" s="2" t="s">
        <v>19</v>
      </c>
      <c r="F1804" s="2">
        <v>8.092225515E9</v>
      </c>
    </row>
    <row r="1805" ht="15.75" customHeight="1">
      <c r="A1805" s="2" t="s">
        <v>186</v>
      </c>
      <c r="B1805" s="2" t="s">
        <v>55</v>
      </c>
      <c r="C1805" s="2" t="s">
        <v>1998</v>
      </c>
      <c r="D1805" s="2" t="s">
        <v>44</v>
      </c>
      <c r="E1805" s="2" t="s">
        <v>23</v>
      </c>
      <c r="F1805" s="2">
        <v>8.340707592E9</v>
      </c>
    </row>
    <row r="1806" ht="15.75" customHeight="1">
      <c r="A1806" s="2" t="s">
        <v>141</v>
      </c>
      <c r="B1806" s="2" t="s">
        <v>1999</v>
      </c>
      <c r="C1806" s="2" t="s">
        <v>763</v>
      </c>
      <c r="D1806" s="2" t="s">
        <v>9</v>
      </c>
      <c r="E1806" s="2" t="s">
        <v>23</v>
      </c>
      <c r="F1806" s="2">
        <v>9.453916679E9</v>
      </c>
    </row>
    <row r="1807" ht="15.75" customHeight="1">
      <c r="A1807" s="2" t="s">
        <v>1820</v>
      </c>
      <c r="B1807" s="2" t="s">
        <v>50</v>
      </c>
      <c r="C1807" s="2" t="s">
        <v>1379</v>
      </c>
      <c r="D1807" s="2" t="s">
        <v>56</v>
      </c>
      <c r="E1807" s="2" t="s">
        <v>19</v>
      </c>
      <c r="F1807" s="2">
        <v>9.798881924E9</v>
      </c>
    </row>
    <row r="1808" ht="15.75" customHeight="1">
      <c r="A1808" s="2" t="s">
        <v>234</v>
      </c>
      <c r="B1808" s="2" t="s">
        <v>63</v>
      </c>
      <c r="C1808" s="2" t="s">
        <v>2000</v>
      </c>
      <c r="D1808" s="2" t="s">
        <v>56</v>
      </c>
      <c r="E1808" s="2" t="s">
        <v>19</v>
      </c>
      <c r="F1808" s="2">
        <v>8.507046077E9</v>
      </c>
    </row>
    <row r="1809" ht="15.75" customHeight="1">
      <c r="A1809" s="2" t="s">
        <v>2001</v>
      </c>
      <c r="B1809" s="2" t="s">
        <v>243</v>
      </c>
      <c r="C1809" s="2" t="s">
        <v>289</v>
      </c>
      <c r="D1809" s="2" t="s">
        <v>26</v>
      </c>
      <c r="E1809" s="2" t="s">
        <v>19</v>
      </c>
      <c r="F1809" s="2">
        <v>7.977217538E9</v>
      </c>
    </row>
    <row r="1810" ht="15.75" customHeight="1">
      <c r="A1810" s="2" t="s">
        <v>1895</v>
      </c>
      <c r="B1810" s="2" t="s">
        <v>276</v>
      </c>
      <c r="C1810" s="2" t="s">
        <v>1034</v>
      </c>
      <c r="D1810" s="2" t="s">
        <v>26</v>
      </c>
      <c r="E1810" s="2" t="s">
        <v>23</v>
      </c>
      <c r="F1810" s="2">
        <v>7.476586565E9</v>
      </c>
    </row>
    <row r="1811" ht="15.75" customHeight="1">
      <c r="A1811" s="2" t="s">
        <v>1424</v>
      </c>
      <c r="B1811" s="2" t="s">
        <v>276</v>
      </c>
      <c r="C1811" s="2" t="s">
        <v>2002</v>
      </c>
      <c r="D1811" s="2" t="s">
        <v>26</v>
      </c>
      <c r="E1811" s="2" t="s">
        <v>23</v>
      </c>
      <c r="F1811" s="2">
        <v>7.677804641E9</v>
      </c>
    </row>
    <row r="1812" ht="15.75" customHeight="1">
      <c r="A1812" s="2" t="s">
        <v>2003</v>
      </c>
      <c r="B1812" s="2" t="s">
        <v>50</v>
      </c>
      <c r="C1812" s="2" t="s">
        <v>240</v>
      </c>
      <c r="D1812" s="2" t="s">
        <v>26</v>
      </c>
      <c r="E1812" s="2" t="s">
        <v>19</v>
      </c>
      <c r="F1812" s="2">
        <v>6.204247213E9</v>
      </c>
    </row>
    <row r="1813" ht="15.75" customHeight="1">
      <c r="A1813" s="2" t="s">
        <v>578</v>
      </c>
      <c r="B1813" s="2" t="s">
        <v>88</v>
      </c>
      <c r="C1813" s="2" t="s">
        <v>1004</v>
      </c>
      <c r="D1813" s="2" t="s">
        <v>26</v>
      </c>
      <c r="E1813" s="2" t="s">
        <v>19</v>
      </c>
      <c r="F1813" s="2">
        <v>9.453916679E9</v>
      </c>
    </row>
    <row r="1814" ht="15.75" customHeight="1">
      <c r="A1814" s="2" t="s">
        <v>486</v>
      </c>
      <c r="B1814" s="2" t="s">
        <v>125</v>
      </c>
      <c r="C1814" s="2" t="s">
        <v>330</v>
      </c>
      <c r="D1814" s="2" t="s">
        <v>14</v>
      </c>
      <c r="E1814" s="2" t="s">
        <v>19</v>
      </c>
      <c r="F1814" s="2">
        <v>9.431327209E9</v>
      </c>
    </row>
    <row r="1815" ht="15.75" customHeight="1">
      <c r="A1815" s="2" t="s">
        <v>2004</v>
      </c>
      <c r="B1815" s="2" t="s">
        <v>1192</v>
      </c>
      <c r="C1815" s="2" t="s">
        <v>204</v>
      </c>
      <c r="D1815" s="2" t="s">
        <v>26</v>
      </c>
      <c r="E1815" s="2" t="s">
        <v>255</v>
      </c>
      <c r="F1815" s="2">
        <v>8.969521976E9</v>
      </c>
    </row>
    <row r="1816" ht="15.75" customHeight="1">
      <c r="A1816" s="2" t="s">
        <v>1453</v>
      </c>
      <c r="B1816" s="2" t="s">
        <v>50</v>
      </c>
      <c r="C1816" s="2" t="s">
        <v>423</v>
      </c>
      <c r="D1816" s="2" t="s">
        <v>26</v>
      </c>
      <c r="E1816" s="2" t="s">
        <v>19</v>
      </c>
      <c r="F1816" s="2">
        <v>8.409072899E9</v>
      </c>
    </row>
    <row r="1817" ht="15.75" customHeight="1">
      <c r="A1817" s="2" t="s">
        <v>2005</v>
      </c>
      <c r="B1817" s="2" t="s">
        <v>1509</v>
      </c>
      <c r="C1817" s="2" t="s">
        <v>576</v>
      </c>
      <c r="D1817" s="2" t="s">
        <v>26</v>
      </c>
      <c r="E1817" s="2" t="s">
        <v>19</v>
      </c>
      <c r="F1817" s="2">
        <v>8.709954082E9</v>
      </c>
    </row>
    <row r="1818" ht="15.75" customHeight="1">
      <c r="A1818" s="2" t="s">
        <v>234</v>
      </c>
      <c r="B1818" s="2" t="s">
        <v>2006</v>
      </c>
      <c r="C1818" s="2" t="s">
        <v>34</v>
      </c>
      <c r="D1818" s="2" t="s">
        <v>26</v>
      </c>
      <c r="E1818" s="2" t="s">
        <v>23</v>
      </c>
      <c r="F1818" s="2">
        <v>9.135877068E9</v>
      </c>
    </row>
    <row r="1819" ht="15.75" customHeight="1">
      <c r="A1819" s="2" t="s">
        <v>636</v>
      </c>
      <c r="B1819" s="2" t="s">
        <v>1848</v>
      </c>
      <c r="C1819" s="2" t="s">
        <v>200</v>
      </c>
      <c r="D1819" s="2" t="s">
        <v>26</v>
      </c>
      <c r="E1819" s="2" t="s">
        <v>19</v>
      </c>
      <c r="F1819" s="2">
        <v>7.879754631E9</v>
      </c>
    </row>
    <row r="1820" ht="15.75" customHeight="1">
      <c r="A1820" s="2" t="s">
        <v>2007</v>
      </c>
      <c r="B1820" s="2" t="s">
        <v>119</v>
      </c>
      <c r="C1820" s="2" t="s">
        <v>1787</v>
      </c>
      <c r="D1820" s="2" t="s">
        <v>44</v>
      </c>
      <c r="E1820" s="2" t="s">
        <v>19</v>
      </c>
      <c r="F1820" s="2">
        <v>6.202698118E9</v>
      </c>
    </row>
    <row r="1821" ht="15.75" customHeight="1">
      <c r="A1821" s="2" t="s">
        <v>2008</v>
      </c>
      <c r="B1821" s="2" t="s">
        <v>88</v>
      </c>
      <c r="C1821" s="2" t="s">
        <v>200</v>
      </c>
      <c r="D1821" s="2" t="s">
        <v>26</v>
      </c>
      <c r="E1821" s="2" t="s">
        <v>23</v>
      </c>
      <c r="F1821" s="2">
        <v>7.667575998E9</v>
      </c>
    </row>
    <row r="1822" ht="15.75" customHeight="1">
      <c r="A1822" s="2" t="s">
        <v>1851</v>
      </c>
      <c r="B1822" s="2" t="s">
        <v>75</v>
      </c>
      <c r="C1822" s="2" t="s">
        <v>230</v>
      </c>
      <c r="D1822" s="2" t="s">
        <v>29</v>
      </c>
      <c r="E1822" s="2" t="s">
        <v>19</v>
      </c>
      <c r="F1822" s="2">
        <v>7.07540912E9</v>
      </c>
    </row>
    <row r="1823" ht="15.75" customHeight="1">
      <c r="A1823" s="2" t="s">
        <v>760</v>
      </c>
      <c r="B1823" s="2" t="s">
        <v>50</v>
      </c>
      <c r="C1823" s="2" t="s">
        <v>235</v>
      </c>
      <c r="D1823" s="2" t="s">
        <v>26</v>
      </c>
      <c r="E1823" s="2" t="s">
        <v>19</v>
      </c>
      <c r="F1823" s="2">
        <v>9.520131619E9</v>
      </c>
    </row>
    <row r="1824" ht="15.75" customHeight="1">
      <c r="A1824" s="2" t="s">
        <v>2009</v>
      </c>
      <c r="B1824" s="2" t="s">
        <v>55</v>
      </c>
      <c r="C1824" s="2" t="s">
        <v>274</v>
      </c>
      <c r="D1824" s="2" t="s">
        <v>26</v>
      </c>
      <c r="E1824" s="2" t="s">
        <v>23</v>
      </c>
      <c r="F1824" s="2">
        <v>7.091556173E9</v>
      </c>
    </row>
    <row r="1825" ht="15.75" customHeight="1">
      <c r="A1825" s="2" t="s">
        <v>376</v>
      </c>
      <c r="B1825" s="2" t="s">
        <v>50</v>
      </c>
      <c r="C1825" s="2" t="s">
        <v>1375</v>
      </c>
      <c r="D1825" s="2" t="s">
        <v>26</v>
      </c>
      <c r="E1825" s="2" t="s">
        <v>19</v>
      </c>
      <c r="F1825" s="2">
        <v>7.091318455E9</v>
      </c>
    </row>
    <row r="1826" ht="15.75" customHeight="1">
      <c r="A1826" s="2" t="s">
        <v>2010</v>
      </c>
      <c r="B1826" s="2" t="s">
        <v>869</v>
      </c>
      <c r="C1826" s="2" t="s">
        <v>310</v>
      </c>
      <c r="D1826" s="2" t="s">
        <v>9</v>
      </c>
      <c r="E1826" s="2" t="s">
        <v>19</v>
      </c>
      <c r="F1826" s="2">
        <v>9.006040014E9</v>
      </c>
    </row>
    <row r="1827" ht="15.75" customHeight="1">
      <c r="A1827" s="2" t="s">
        <v>2011</v>
      </c>
      <c r="B1827" s="2" t="s">
        <v>2012</v>
      </c>
      <c r="C1827" s="2" t="s">
        <v>1237</v>
      </c>
      <c r="D1827" s="2" t="s">
        <v>26</v>
      </c>
      <c r="E1827" s="2" t="s">
        <v>19</v>
      </c>
      <c r="F1827" s="2">
        <v>7.319731912E9</v>
      </c>
    </row>
    <row r="1828" ht="15.75" customHeight="1">
      <c r="A1828" s="2" t="s">
        <v>2013</v>
      </c>
      <c r="B1828" s="2" t="s">
        <v>50</v>
      </c>
      <c r="C1828" s="2" t="s">
        <v>708</v>
      </c>
      <c r="D1828" s="2" t="s">
        <v>56</v>
      </c>
      <c r="E1828" s="2" t="s">
        <v>23</v>
      </c>
      <c r="F1828" s="2">
        <v>9.835175737E9</v>
      </c>
    </row>
    <row r="1829" ht="15.75" customHeight="1">
      <c r="A1829" s="2" t="s">
        <v>762</v>
      </c>
      <c r="B1829" s="2" t="s">
        <v>50</v>
      </c>
      <c r="C1829" s="2" t="s">
        <v>1379</v>
      </c>
      <c r="D1829" s="2" t="s">
        <v>44</v>
      </c>
      <c r="E1829" s="2" t="s">
        <v>19</v>
      </c>
      <c r="F1829" s="2">
        <v>9.835302256E9</v>
      </c>
    </row>
    <row r="1830" ht="15.75" customHeight="1">
      <c r="A1830" s="2" t="s">
        <v>2014</v>
      </c>
      <c r="B1830" s="2" t="s">
        <v>2015</v>
      </c>
      <c r="C1830" s="2" t="s">
        <v>556</v>
      </c>
      <c r="D1830" s="2" t="s">
        <v>26</v>
      </c>
      <c r="E1830" s="2" t="s">
        <v>255</v>
      </c>
      <c r="F1830" s="2">
        <v>7.070360821E9</v>
      </c>
    </row>
    <row r="1831" ht="15.75" customHeight="1">
      <c r="A1831" s="2" t="s">
        <v>435</v>
      </c>
      <c r="B1831" s="2" t="s">
        <v>1362</v>
      </c>
      <c r="C1831" s="2" t="s">
        <v>34</v>
      </c>
      <c r="D1831" s="2" t="s">
        <v>56</v>
      </c>
      <c r="E1831" s="2" t="s">
        <v>23</v>
      </c>
      <c r="F1831" s="2">
        <v>8.08456566E9</v>
      </c>
    </row>
    <row r="1832" ht="15.75" customHeight="1">
      <c r="A1832" s="2" t="s">
        <v>131</v>
      </c>
      <c r="B1832" s="2" t="s">
        <v>312</v>
      </c>
      <c r="C1832" s="2" t="s">
        <v>655</v>
      </c>
      <c r="D1832" s="2" t="s">
        <v>26</v>
      </c>
      <c r="E1832" s="2" t="s">
        <v>19</v>
      </c>
      <c r="F1832" s="2">
        <v>9.006066521E9</v>
      </c>
    </row>
    <row r="1833" ht="15.75" customHeight="1">
      <c r="A1833" s="2" t="s">
        <v>2016</v>
      </c>
      <c r="B1833" s="2" t="s">
        <v>150</v>
      </c>
      <c r="C1833" s="2" t="s">
        <v>305</v>
      </c>
      <c r="D1833" s="2" t="s">
        <v>26</v>
      </c>
      <c r="E1833" s="2" t="s">
        <v>19</v>
      </c>
      <c r="F1833" s="2">
        <v>6.20467888E9</v>
      </c>
    </row>
    <row r="1834" ht="15.75" customHeight="1">
      <c r="A1834" s="2" t="s">
        <v>178</v>
      </c>
      <c r="B1834" s="2" t="s">
        <v>2017</v>
      </c>
      <c r="C1834" s="2" t="s">
        <v>235</v>
      </c>
      <c r="D1834" s="2" t="s">
        <v>26</v>
      </c>
      <c r="E1834" s="2" t="s">
        <v>19</v>
      </c>
      <c r="F1834" s="2">
        <v>8.092409712E9</v>
      </c>
    </row>
    <row r="1835" ht="15.75" customHeight="1">
      <c r="A1835" s="2" t="s">
        <v>2018</v>
      </c>
      <c r="B1835" s="2" t="s">
        <v>212</v>
      </c>
      <c r="C1835" s="2" t="s">
        <v>61</v>
      </c>
      <c r="D1835" s="2" t="s">
        <v>26</v>
      </c>
      <c r="E1835" s="2" t="s">
        <v>19</v>
      </c>
      <c r="F1835" s="2">
        <v>8.102134515E9</v>
      </c>
    </row>
    <row r="1836" ht="15.75" customHeight="1">
      <c r="A1836" s="2" t="s">
        <v>869</v>
      </c>
      <c r="B1836" s="2" t="s">
        <v>909</v>
      </c>
      <c r="C1836" s="2" t="s">
        <v>543</v>
      </c>
      <c r="D1836" s="2" t="s">
        <v>9</v>
      </c>
      <c r="E1836" s="2" t="s">
        <v>23</v>
      </c>
      <c r="F1836" s="2">
        <v>9.800871151E9</v>
      </c>
    </row>
    <row r="1837" ht="15.75" customHeight="1">
      <c r="A1837" s="2" t="s">
        <v>272</v>
      </c>
      <c r="B1837" s="2" t="s">
        <v>63</v>
      </c>
      <c r="C1837" s="2" t="s">
        <v>171</v>
      </c>
      <c r="D1837" s="2" t="s">
        <v>56</v>
      </c>
      <c r="E1837" s="2" t="s">
        <v>19</v>
      </c>
      <c r="F1837" s="2">
        <v>9.835191932E9</v>
      </c>
    </row>
    <row r="1838" ht="15.75" customHeight="1">
      <c r="A1838" s="2" t="s">
        <v>2019</v>
      </c>
      <c r="B1838" s="2" t="s">
        <v>389</v>
      </c>
      <c r="C1838" s="2" t="s">
        <v>1305</v>
      </c>
      <c r="D1838" s="2" t="s">
        <v>26</v>
      </c>
      <c r="E1838" s="2" t="s">
        <v>282</v>
      </c>
      <c r="F1838" s="2">
        <v>9.413637703E9</v>
      </c>
    </row>
    <row r="1839" ht="15.75" customHeight="1">
      <c r="A1839" s="2" t="s">
        <v>858</v>
      </c>
      <c r="B1839" s="2" t="s">
        <v>2020</v>
      </c>
      <c r="C1839" s="2" t="s">
        <v>330</v>
      </c>
      <c r="D1839" s="2" t="s">
        <v>56</v>
      </c>
      <c r="E1839" s="2" t="s">
        <v>19</v>
      </c>
      <c r="F1839" s="2">
        <v>9.835522686E9</v>
      </c>
    </row>
    <row r="1840" ht="15.75" customHeight="1">
      <c r="A1840" s="2" t="s">
        <v>2021</v>
      </c>
      <c r="B1840" s="2" t="s">
        <v>801</v>
      </c>
      <c r="C1840" s="2" t="s">
        <v>254</v>
      </c>
      <c r="D1840" s="2" t="s">
        <v>9</v>
      </c>
      <c r="E1840" s="2" t="s">
        <v>255</v>
      </c>
      <c r="F1840" s="2">
        <v>9.905444856E9</v>
      </c>
    </row>
    <row r="1841" ht="15.75" customHeight="1">
      <c r="A1841" s="2" t="s">
        <v>636</v>
      </c>
      <c r="B1841" s="2" t="s">
        <v>50</v>
      </c>
      <c r="C1841" s="2" t="s">
        <v>2022</v>
      </c>
      <c r="D1841" s="2" t="s">
        <v>102</v>
      </c>
      <c r="E1841" s="2" t="s">
        <v>19</v>
      </c>
      <c r="F1841" s="2">
        <v>9.507269779E9</v>
      </c>
    </row>
    <row r="1842" ht="15.75" customHeight="1">
      <c r="A1842" s="2" t="s">
        <v>141</v>
      </c>
      <c r="B1842" s="2" t="s">
        <v>308</v>
      </c>
      <c r="C1842" s="2" t="s">
        <v>330</v>
      </c>
      <c r="D1842" s="2" t="s">
        <v>9</v>
      </c>
      <c r="E1842" s="2" t="s">
        <v>19</v>
      </c>
      <c r="F1842" s="2">
        <v>9.973025375E9</v>
      </c>
    </row>
    <row r="1843" ht="15.75" customHeight="1">
      <c r="A1843" s="2" t="s">
        <v>2023</v>
      </c>
      <c r="B1843" s="2" t="s">
        <v>1235</v>
      </c>
      <c r="C1843" s="2" t="s">
        <v>2024</v>
      </c>
      <c r="D1843" s="2" t="s">
        <v>26</v>
      </c>
      <c r="E1843" s="2" t="s">
        <v>2025</v>
      </c>
      <c r="F1843" s="2">
        <v>9.19319130448E11</v>
      </c>
    </row>
    <row r="1844" ht="15.75" customHeight="1">
      <c r="A1844" s="2" t="s">
        <v>1387</v>
      </c>
      <c r="B1844" s="2" t="s">
        <v>65</v>
      </c>
      <c r="C1844" s="2" t="s">
        <v>1379</v>
      </c>
      <c r="D1844" s="2" t="s">
        <v>26</v>
      </c>
      <c r="E1844" s="2" t="s">
        <v>19</v>
      </c>
      <c r="F1844" s="2">
        <v>7.488010293E9</v>
      </c>
    </row>
    <row r="1845" ht="15.75" customHeight="1">
      <c r="A1845" s="2" t="s">
        <v>721</v>
      </c>
      <c r="B1845" s="2" t="s">
        <v>50</v>
      </c>
      <c r="C1845" s="2" t="s">
        <v>58</v>
      </c>
      <c r="D1845" s="2" t="s">
        <v>14</v>
      </c>
      <c r="E1845" s="2" t="s">
        <v>19</v>
      </c>
      <c r="F1845" s="2">
        <v>9.006133189E9</v>
      </c>
    </row>
    <row r="1846" ht="15.75" customHeight="1">
      <c r="A1846" s="2" t="s">
        <v>2026</v>
      </c>
      <c r="B1846" s="2" t="s">
        <v>2027</v>
      </c>
      <c r="C1846" s="2" t="s">
        <v>2028</v>
      </c>
      <c r="D1846" s="2" t="s">
        <v>9</v>
      </c>
      <c r="E1846" s="2" t="s">
        <v>23</v>
      </c>
      <c r="F1846" s="2">
        <v>8.405881526E9</v>
      </c>
    </row>
    <row r="1847" ht="15.75" customHeight="1">
      <c r="A1847" s="2" t="s">
        <v>524</v>
      </c>
      <c r="B1847" s="2" t="s">
        <v>2029</v>
      </c>
      <c r="C1847" s="2" t="s">
        <v>1098</v>
      </c>
      <c r="D1847" s="2" t="s">
        <v>9</v>
      </c>
      <c r="E1847" s="2" t="s">
        <v>19</v>
      </c>
      <c r="F1847" s="2">
        <v>8.406960792E9</v>
      </c>
    </row>
    <row r="1848" ht="15.75" customHeight="1">
      <c r="A1848" s="2" t="s">
        <v>1138</v>
      </c>
      <c r="B1848" s="2" t="s">
        <v>119</v>
      </c>
      <c r="C1848" s="2" t="s">
        <v>235</v>
      </c>
      <c r="D1848" s="2" t="s">
        <v>56</v>
      </c>
      <c r="E1848" s="2" t="s">
        <v>19</v>
      </c>
      <c r="F1848" s="2">
        <v>8.102751116E9</v>
      </c>
    </row>
    <row r="1849" ht="15.75" customHeight="1">
      <c r="A1849" s="2" t="s">
        <v>186</v>
      </c>
      <c r="B1849" s="2" t="s">
        <v>746</v>
      </c>
      <c r="C1849" s="2" t="s">
        <v>2030</v>
      </c>
      <c r="D1849" s="2" t="s">
        <v>26</v>
      </c>
      <c r="E1849" s="2" t="s">
        <v>23</v>
      </c>
      <c r="F1849" s="2">
        <v>9.479671388E9</v>
      </c>
    </row>
    <row r="1850" ht="15.75" customHeight="1">
      <c r="A1850" s="2" t="s">
        <v>1450</v>
      </c>
      <c r="B1850" s="2" t="s">
        <v>440</v>
      </c>
      <c r="C1850" s="2" t="s">
        <v>1382</v>
      </c>
      <c r="D1850" s="2" t="s">
        <v>29</v>
      </c>
      <c r="E1850" s="2" t="s">
        <v>19</v>
      </c>
      <c r="F1850" s="2">
        <v>7.654065791E9</v>
      </c>
    </row>
    <row r="1851" ht="15.75" customHeight="1">
      <c r="A1851" s="2" t="s">
        <v>273</v>
      </c>
      <c r="B1851" s="2" t="s">
        <v>55</v>
      </c>
      <c r="C1851" s="2" t="s">
        <v>237</v>
      </c>
      <c r="D1851" s="2" t="s">
        <v>26</v>
      </c>
      <c r="E1851" s="2" t="s">
        <v>255</v>
      </c>
      <c r="F1851" s="2">
        <v>7.482893798E9</v>
      </c>
    </row>
    <row r="1852" ht="15.75" customHeight="1">
      <c r="A1852" s="2" t="s">
        <v>2031</v>
      </c>
      <c r="B1852" s="2" t="s">
        <v>303</v>
      </c>
      <c r="C1852" s="2" t="s">
        <v>453</v>
      </c>
      <c r="D1852" s="2" t="s">
        <v>26</v>
      </c>
      <c r="E1852" s="2" t="s">
        <v>19</v>
      </c>
      <c r="F1852" s="2">
        <v>9.065236084E9</v>
      </c>
    </row>
    <row r="1853" ht="15.75" customHeight="1">
      <c r="A1853" s="2" t="s">
        <v>1612</v>
      </c>
      <c r="B1853" s="2" t="s">
        <v>119</v>
      </c>
      <c r="C1853" s="2" t="s">
        <v>1010</v>
      </c>
      <c r="D1853" s="2" t="s">
        <v>26</v>
      </c>
      <c r="E1853" s="2" t="s">
        <v>19</v>
      </c>
      <c r="F1853" s="2">
        <v>8.084340391E9</v>
      </c>
    </row>
    <row r="1854" ht="15.75" customHeight="1">
      <c r="A1854" s="2" t="s">
        <v>2032</v>
      </c>
      <c r="B1854" s="2" t="s">
        <v>276</v>
      </c>
      <c r="C1854" s="2" t="s">
        <v>1004</v>
      </c>
      <c r="D1854" s="2" t="s">
        <v>44</v>
      </c>
      <c r="E1854" s="2" t="s">
        <v>19</v>
      </c>
      <c r="F1854" s="2">
        <v>9.589706658E9</v>
      </c>
    </row>
    <row r="1855" ht="15.75" customHeight="1">
      <c r="A1855" s="2" t="s">
        <v>903</v>
      </c>
      <c r="B1855" s="2" t="s">
        <v>1764</v>
      </c>
      <c r="C1855" s="2" t="s">
        <v>1416</v>
      </c>
      <c r="D1855" s="2" t="s">
        <v>26</v>
      </c>
      <c r="E1855" s="2" t="s">
        <v>23</v>
      </c>
      <c r="F1855" s="2">
        <v>7.004327995E9</v>
      </c>
    </row>
    <row r="1856" ht="15.75" customHeight="1">
      <c r="A1856" s="2" t="s">
        <v>2033</v>
      </c>
      <c r="B1856" s="2" t="s">
        <v>50</v>
      </c>
      <c r="C1856" s="2" t="s">
        <v>627</v>
      </c>
      <c r="D1856" s="2" t="s">
        <v>26</v>
      </c>
      <c r="E1856" s="2" t="s">
        <v>19</v>
      </c>
      <c r="F1856" s="2">
        <v>9.234274103E9</v>
      </c>
    </row>
    <row r="1857" ht="15.75" customHeight="1">
      <c r="A1857" s="2" t="s">
        <v>735</v>
      </c>
      <c r="B1857" s="2" t="s">
        <v>2034</v>
      </c>
      <c r="C1857" s="2" t="s">
        <v>1935</v>
      </c>
      <c r="D1857" s="2" t="s">
        <v>14</v>
      </c>
      <c r="E1857" s="2" t="s">
        <v>282</v>
      </c>
      <c r="F1857" s="2">
        <v>9.898249292E9</v>
      </c>
    </row>
    <row r="1858" ht="15.75" customHeight="1">
      <c r="A1858" s="2" t="s">
        <v>2035</v>
      </c>
      <c r="B1858" s="2" t="s">
        <v>522</v>
      </c>
      <c r="C1858" s="2" t="s">
        <v>500</v>
      </c>
      <c r="D1858" s="2" t="s">
        <v>26</v>
      </c>
      <c r="E1858" s="2" t="s">
        <v>19</v>
      </c>
      <c r="F1858" s="2">
        <v>6.20090811E9</v>
      </c>
    </row>
    <row r="1859" ht="15.75" customHeight="1">
      <c r="A1859" s="2" t="s">
        <v>226</v>
      </c>
      <c r="B1859" s="2" t="s">
        <v>55</v>
      </c>
      <c r="C1859" s="2" t="s">
        <v>228</v>
      </c>
      <c r="D1859" s="2" t="s">
        <v>9</v>
      </c>
      <c r="E1859" s="2" t="s">
        <v>23</v>
      </c>
      <c r="F1859" s="2">
        <v>9.801924575E9</v>
      </c>
    </row>
    <row r="1860" ht="15.75" customHeight="1">
      <c r="A1860" s="2" t="s">
        <v>2036</v>
      </c>
      <c r="B1860" s="2" t="s">
        <v>2037</v>
      </c>
      <c r="C1860" s="2" t="s">
        <v>812</v>
      </c>
      <c r="D1860" s="2" t="s">
        <v>26</v>
      </c>
      <c r="E1860" s="2" t="s">
        <v>255</v>
      </c>
      <c r="F1860" s="2">
        <v>6.309939216E9</v>
      </c>
    </row>
    <row r="1861" ht="15.75" customHeight="1">
      <c r="A1861" s="2" t="s">
        <v>680</v>
      </c>
      <c r="B1861" s="2" t="s">
        <v>50</v>
      </c>
      <c r="C1861" s="2" t="s">
        <v>2038</v>
      </c>
      <c r="D1861" s="2" t="s">
        <v>26</v>
      </c>
      <c r="E1861" s="2" t="s">
        <v>19</v>
      </c>
      <c r="F1861" s="2">
        <v>9.798593853E9</v>
      </c>
    </row>
    <row r="1862" ht="15.75" customHeight="1">
      <c r="A1862" s="2" t="s">
        <v>2039</v>
      </c>
      <c r="B1862" s="2" t="s">
        <v>382</v>
      </c>
      <c r="C1862" s="2" t="s">
        <v>230</v>
      </c>
      <c r="D1862" s="2" t="s">
        <v>26</v>
      </c>
      <c r="E1862" s="2" t="s">
        <v>19</v>
      </c>
      <c r="F1862" s="2">
        <v>9.572310437E9</v>
      </c>
    </row>
    <row r="1863" ht="15.75" customHeight="1">
      <c r="A1863" s="2" t="s">
        <v>2040</v>
      </c>
      <c r="B1863" s="2" t="s">
        <v>2041</v>
      </c>
      <c r="C1863" s="2" t="s">
        <v>2042</v>
      </c>
      <c r="D1863" s="2" t="s">
        <v>14</v>
      </c>
      <c r="E1863" s="2" t="s">
        <v>282</v>
      </c>
      <c r="F1863" s="2">
        <v>8.452907883E9</v>
      </c>
    </row>
    <row r="1864" ht="15.75" customHeight="1">
      <c r="A1864" s="2" t="s">
        <v>129</v>
      </c>
      <c r="B1864" s="2" t="s">
        <v>50</v>
      </c>
      <c r="C1864" s="2" t="s">
        <v>1379</v>
      </c>
      <c r="D1864" s="2" t="s">
        <v>26</v>
      </c>
      <c r="E1864" s="2" t="s">
        <v>19</v>
      </c>
      <c r="F1864" s="2">
        <v>9.934072568E9</v>
      </c>
    </row>
    <row r="1865" ht="15.75" customHeight="1">
      <c r="A1865" s="2" t="s">
        <v>2009</v>
      </c>
      <c r="B1865" s="2" t="s">
        <v>332</v>
      </c>
      <c r="C1865" s="2" t="s">
        <v>809</v>
      </c>
      <c r="D1865" s="2" t="s">
        <v>26</v>
      </c>
      <c r="E1865" s="2" t="s">
        <v>23</v>
      </c>
      <c r="F1865" s="2">
        <v>8.092612896E9</v>
      </c>
    </row>
    <row r="1866" ht="15.75" customHeight="1">
      <c r="A1866" s="2" t="s">
        <v>1453</v>
      </c>
      <c r="B1866" s="2" t="s">
        <v>1574</v>
      </c>
      <c r="C1866" s="2" t="s">
        <v>200</v>
      </c>
      <c r="D1866" s="2" t="s">
        <v>26</v>
      </c>
      <c r="E1866" s="2" t="s">
        <v>19</v>
      </c>
      <c r="F1866" s="2">
        <v>6.20069076E9</v>
      </c>
    </row>
    <row r="1867" ht="15.75" customHeight="1">
      <c r="A1867" s="2" t="s">
        <v>657</v>
      </c>
      <c r="B1867" s="2" t="s">
        <v>1514</v>
      </c>
      <c r="C1867" s="2" t="s">
        <v>441</v>
      </c>
      <c r="D1867" s="2" t="s">
        <v>44</v>
      </c>
      <c r="E1867" s="2" t="s">
        <v>19</v>
      </c>
      <c r="F1867" s="2">
        <v>9.833227736E9</v>
      </c>
    </row>
    <row r="1868" ht="15.75" customHeight="1">
      <c r="A1868" s="2" t="s">
        <v>1470</v>
      </c>
      <c r="B1868" s="2" t="s">
        <v>50</v>
      </c>
      <c r="C1868" s="2" t="s">
        <v>58</v>
      </c>
      <c r="D1868" s="2" t="s">
        <v>44</v>
      </c>
      <c r="E1868" s="2" t="s">
        <v>19</v>
      </c>
      <c r="F1868" s="2">
        <v>9.162155406E9</v>
      </c>
    </row>
    <row r="1869" ht="15.75" customHeight="1">
      <c r="A1869" s="2" t="s">
        <v>2043</v>
      </c>
      <c r="B1869" s="2" t="s">
        <v>78</v>
      </c>
      <c r="C1869" s="2" t="s">
        <v>2044</v>
      </c>
      <c r="D1869" s="2" t="s">
        <v>56</v>
      </c>
      <c r="E1869" s="2" t="s">
        <v>282</v>
      </c>
      <c r="F1869" s="2">
        <v>9.104029232E9</v>
      </c>
    </row>
    <row r="1870" ht="15.75" customHeight="1">
      <c r="A1870" s="2" t="s">
        <v>122</v>
      </c>
      <c r="B1870" s="2" t="s">
        <v>63</v>
      </c>
      <c r="C1870" s="2" t="s">
        <v>970</v>
      </c>
      <c r="D1870" s="2" t="s">
        <v>26</v>
      </c>
      <c r="E1870" s="2" t="s">
        <v>19</v>
      </c>
      <c r="F1870" s="2">
        <v>9.897643168E9</v>
      </c>
    </row>
    <row r="1871" ht="15.75" customHeight="1">
      <c r="A1871" s="2" t="s">
        <v>1092</v>
      </c>
      <c r="B1871" s="2" t="s">
        <v>119</v>
      </c>
      <c r="C1871" s="2" t="s">
        <v>1906</v>
      </c>
      <c r="D1871" s="2" t="s">
        <v>29</v>
      </c>
      <c r="E1871" s="2" t="s">
        <v>19</v>
      </c>
      <c r="F1871" s="2">
        <v>9.931629176E9</v>
      </c>
    </row>
    <row r="1872" ht="15.75" customHeight="1">
      <c r="A1872" s="2" t="s">
        <v>1607</v>
      </c>
      <c r="B1872" s="2" t="s">
        <v>199</v>
      </c>
      <c r="C1872" s="2" t="s">
        <v>836</v>
      </c>
      <c r="D1872" s="2" t="s">
        <v>26</v>
      </c>
      <c r="E1872" s="2" t="s">
        <v>255</v>
      </c>
      <c r="F1872" s="2">
        <v>8.092850907E9</v>
      </c>
    </row>
    <row r="1873" ht="15.75" customHeight="1">
      <c r="A1873" s="2" t="s">
        <v>484</v>
      </c>
      <c r="B1873" s="2" t="s">
        <v>50</v>
      </c>
      <c r="C1873" s="2" t="s">
        <v>235</v>
      </c>
      <c r="D1873" s="2" t="s">
        <v>26</v>
      </c>
      <c r="E1873" s="2" t="s">
        <v>19</v>
      </c>
      <c r="F1873" s="2">
        <v>6.204130418E9</v>
      </c>
    </row>
    <row r="1874" ht="15.75" customHeight="1">
      <c r="A1874" s="2" t="s">
        <v>764</v>
      </c>
      <c r="B1874" s="2" t="s">
        <v>65</v>
      </c>
      <c r="C1874" s="2" t="s">
        <v>34</v>
      </c>
      <c r="D1874" s="2" t="s">
        <v>44</v>
      </c>
      <c r="E1874" s="2" t="s">
        <v>23</v>
      </c>
      <c r="F1874" s="2">
        <v>9.771956181E9</v>
      </c>
    </row>
    <row r="1875" ht="15.75" customHeight="1">
      <c r="A1875" s="2" t="s">
        <v>2045</v>
      </c>
      <c r="B1875" s="2" t="s">
        <v>1912</v>
      </c>
      <c r="C1875" s="2" t="s">
        <v>330</v>
      </c>
      <c r="D1875" s="2" t="s">
        <v>26</v>
      </c>
      <c r="E1875" s="2" t="s">
        <v>19</v>
      </c>
      <c r="F1875" s="2">
        <v>8.051188706E9</v>
      </c>
    </row>
    <row r="1876" ht="15.75" customHeight="1">
      <c r="A1876" s="2" t="s">
        <v>2046</v>
      </c>
      <c r="B1876" s="2" t="s">
        <v>2047</v>
      </c>
      <c r="C1876" s="2" t="s">
        <v>2048</v>
      </c>
      <c r="D1876" s="2" t="s">
        <v>56</v>
      </c>
      <c r="E1876" s="2" t="s">
        <v>282</v>
      </c>
      <c r="F1876" s="2">
        <v>9.879412622E9</v>
      </c>
    </row>
    <row r="1877" ht="15.75" customHeight="1">
      <c r="A1877" s="2" t="s">
        <v>971</v>
      </c>
      <c r="B1877" s="2" t="s">
        <v>212</v>
      </c>
      <c r="C1877" s="2" t="s">
        <v>2049</v>
      </c>
      <c r="D1877" s="2" t="s">
        <v>56</v>
      </c>
      <c r="E1877" s="2" t="s">
        <v>19</v>
      </c>
      <c r="F1877" s="2">
        <v>9.470500914E9</v>
      </c>
    </row>
    <row r="1878" ht="15.75" customHeight="1">
      <c r="A1878" s="2" t="s">
        <v>80</v>
      </c>
      <c r="B1878" s="2" t="s">
        <v>150</v>
      </c>
      <c r="C1878" s="2" t="s">
        <v>2050</v>
      </c>
      <c r="D1878" s="2" t="s">
        <v>56</v>
      </c>
      <c r="E1878" s="2" t="s">
        <v>19</v>
      </c>
      <c r="F1878" s="2">
        <v>6.203571955E9</v>
      </c>
    </row>
    <row r="1879" ht="15.75" customHeight="1">
      <c r="A1879" s="2" t="s">
        <v>1517</v>
      </c>
      <c r="B1879" s="2" t="s">
        <v>50</v>
      </c>
      <c r="C1879" s="2" t="s">
        <v>1420</v>
      </c>
      <c r="D1879" s="2" t="s">
        <v>56</v>
      </c>
      <c r="E1879" s="2" t="s">
        <v>19</v>
      </c>
      <c r="F1879" s="2">
        <v>7.218120446E9</v>
      </c>
    </row>
    <row r="1880" ht="15.75" customHeight="1">
      <c r="A1880" s="2" t="s">
        <v>2051</v>
      </c>
      <c r="B1880" s="2" t="s">
        <v>78</v>
      </c>
      <c r="C1880" s="2" t="s">
        <v>2044</v>
      </c>
      <c r="D1880" s="2" t="s">
        <v>29</v>
      </c>
      <c r="E1880" s="2" t="s">
        <v>282</v>
      </c>
      <c r="F1880" s="2">
        <v>7.874140543E9</v>
      </c>
    </row>
    <row r="1881" ht="15.75" customHeight="1">
      <c r="A1881" s="2" t="s">
        <v>1386</v>
      </c>
      <c r="B1881" s="2" t="s">
        <v>65</v>
      </c>
      <c r="C1881" s="2" t="s">
        <v>729</v>
      </c>
      <c r="D1881" s="2" t="s">
        <v>56</v>
      </c>
      <c r="E1881" s="2" t="s">
        <v>19</v>
      </c>
      <c r="F1881" s="2">
        <v>7.903640237E9</v>
      </c>
    </row>
    <row r="1882" ht="15.75" customHeight="1">
      <c r="A1882" s="2" t="s">
        <v>1423</v>
      </c>
      <c r="B1882" s="2" t="s">
        <v>2052</v>
      </c>
      <c r="C1882" s="2" t="s">
        <v>1310</v>
      </c>
      <c r="D1882" s="2" t="s">
        <v>14</v>
      </c>
      <c r="E1882" s="2" t="s">
        <v>19</v>
      </c>
      <c r="F1882" s="2">
        <v>9.006974649E9</v>
      </c>
    </row>
    <row r="1883" ht="15.75" customHeight="1">
      <c r="A1883" s="2" t="s">
        <v>1435</v>
      </c>
      <c r="B1883" s="2" t="s">
        <v>2053</v>
      </c>
      <c r="C1883" s="2" t="s">
        <v>252</v>
      </c>
      <c r="D1883" s="2" t="s">
        <v>44</v>
      </c>
      <c r="E1883" s="2" t="s">
        <v>19</v>
      </c>
      <c r="F1883" s="2">
        <v>8.252185869E9</v>
      </c>
    </row>
    <row r="1884" ht="15.75" customHeight="1">
      <c r="A1884" s="2" t="s">
        <v>2054</v>
      </c>
      <c r="B1884" s="2" t="s">
        <v>2055</v>
      </c>
      <c r="C1884" s="2" t="s">
        <v>274</v>
      </c>
      <c r="D1884" s="2" t="s">
        <v>26</v>
      </c>
      <c r="E1884" s="2" t="s">
        <v>23</v>
      </c>
      <c r="F1884" s="2">
        <v>9.83530784E9</v>
      </c>
    </row>
    <row r="1885" ht="15.75" customHeight="1">
      <c r="A1885" s="2" t="s">
        <v>67</v>
      </c>
      <c r="B1885" s="2" t="s">
        <v>50</v>
      </c>
      <c r="C1885" s="2" t="s">
        <v>34</v>
      </c>
      <c r="D1885" s="2" t="s">
        <v>56</v>
      </c>
      <c r="E1885" s="2" t="s">
        <v>23</v>
      </c>
      <c r="F1885" s="2">
        <v>8.252527035E9</v>
      </c>
    </row>
    <row r="1886" ht="15.75" customHeight="1">
      <c r="A1886" s="2" t="s">
        <v>2056</v>
      </c>
      <c r="B1886" s="2" t="s">
        <v>50</v>
      </c>
      <c r="C1886" s="2" t="s">
        <v>305</v>
      </c>
      <c r="D1886" s="2" t="s">
        <v>56</v>
      </c>
      <c r="E1886" s="2" t="s">
        <v>19</v>
      </c>
      <c r="F1886" s="2">
        <v>7.909021105E9</v>
      </c>
    </row>
    <row r="1887" ht="15.75" customHeight="1">
      <c r="A1887" s="2" t="s">
        <v>1704</v>
      </c>
      <c r="B1887" s="2" t="s">
        <v>1509</v>
      </c>
      <c r="C1887" s="2" t="s">
        <v>310</v>
      </c>
      <c r="D1887" s="2" t="s">
        <v>9</v>
      </c>
      <c r="E1887" s="2" t="s">
        <v>19</v>
      </c>
      <c r="F1887" s="2">
        <v>8.987997001E9</v>
      </c>
    </row>
    <row r="1888" ht="15.75" customHeight="1">
      <c r="A1888" s="2" t="s">
        <v>2057</v>
      </c>
      <c r="B1888" s="2" t="s">
        <v>2058</v>
      </c>
      <c r="C1888" s="2" t="s">
        <v>2059</v>
      </c>
      <c r="D1888" s="2" t="s">
        <v>26</v>
      </c>
      <c r="E1888" s="2" t="s">
        <v>255</v>
      </c>
      <c r="F1888" s="2">
        <v>8.092850906E9</v>
      </c>
    </row>
    <row r="1889" ht="15.75" customHeight="1">
      <c r="A1889" s="2" t="s">
        <v>2060</v>
      </c>
      <c r="B1889" s="2" t="s">
        <v>212</v>
      </c>
      <c r="C1889" s="2" t="s">
        <v>576</v>
      </c>
      <c r="D1889" s="2" t="s">
        <v>56</v>
      </c>
      <c r="E1889" s="2" t="s">
        <v>19</v>
      </c>
      <c r="F1889" s="2">
        <v>7.99242253E9</v>
      </c>
    </row>
    <row r="1890" ht="15.75" customHeight="1">
      <c r="A1890" s="2" t="s">
        <v>125</v>
      </c>
      <c r="B1890" s="2" t="s">
        <v>50</v>
      </c>
      <c r="C1890" s="2" t="s">
        <v>1379</v>
      </c>
      <c r="D1890" s="2" t="s">
        <v>56</v>
      </c>
      <c r="E1890" s="2" t="s">
        <v>19</v>
      </c>
      <c r="F1890" s="2">
        <v>8.825145696E9</v>
      </c>
    </row>
    <row r="1891" ht="15.75" customHeight="1">
      <c r="A1891" s="2" t="s">
        <v>2061</v>
      </c>
      <c r="B1891" s="2" t="s">
        <v>2062</v>
      </c>
      <c r="C1891" s="2" t="s">
        <v>210</v>
      </c>
      <c r="D1891" s="2" t="s">
        <v>29</v>
      </c>
      <c r="E1891" s="2" t="s">
        <v>23</v>
      </c>
      <c r="F1891" s="2">
        <v>6.20442514E9</v>
      </c>
    </row>
    <row r="1892" ht="15.75" customHeight="1">
      <c r="A1892" s="2" t="s">
        <v>2063</v>
      </c>
      <c r="B1892" s="2" t="s">
        <v>50</v>
      </c>
      <c r="C1892" s="2" t="s">
        <v>343</v>
      </c>
      <c r="D1892" s="2" t="s">
        <v>29</v>
      </c>
      <c r="E1892" s="2" t="s">
        <v>19</v>
      </c>
      <c r="F1892" s="2">
        <v>7.021120511E9</v>
      </c>
    </row>
    <row r="1893" ht="15.75" customHeight="1">
      <c r="A1893" s="2" t="s">
        <v>49</v>
      </c>
      <c r="B1893" s="2" t="s">
        <v>2064</v>
      </c>
      <c r="C1893" s="2" t="s">
        <v>1792</v>
      </c>
      <c r="D1893" s="2" t="s">
        <v>29</v>
      </c>
      <c r="E1893" s="2" t="s">
        <v>19</v>
      </c>
      <c r="F1893" s="2">
        <v>7.520280407E9</v>
      </c>
    </row>
    <row r="1894" ht="15.75" customHeight="1">
      <c r="A1894" s="2" t="s">
        <v>748</v>
      </c>
      <c r="B1894" s="2" t="s">
        <v>50</v>
      </c>
      <c r="C1894" s="2" t="s">
        <v>330</v>
      </c>
      <c r="D1894" s="2" t="s">
        <v>9</v>
      </c>
      <c r="E1894" s="2" t="s">
        <v>19</v>
      </c>
      <c r="F1894" s="2">
        <v>9.304767636E9</v>
      </c>
    </row>
    <row r="1895" ht="15.75" customHeight="1">
      <c r="A1895" s="2" t="s">
        <v>94</v>
      </c>
      <c r="B1895" s="2" t="s">
        <v>65</v>
      </c>
      <c r="C1895" s="2" t="s">
        <v>729</v>
      </c>
      <c r="D1895" s="2" t="s">
        <v>26</v>
      </c>
      <c r="E1895" s="2" t="s">
        <v>19</v>
      </c>
      <c r="F1895" s="2">
        <v>7.00468651E9</v>
      </c>
    </row>
    <row r="1896" ht="15.75" customHeight="1">
      <c r="A1896" s="2" t="s">
        <v>2065</v>
      </c>
      <c r="B1896" s="2" t="s">
        <v>2066</v>
      </c>
      <c r="C1896" s="2" t="s">
        <v>133</v>
      </c>
      <c r="D1896" s="2" t="s">
        <v>26</v>
      </c>
      <c r="E1896" s="2" t="s">
        <v>19</v>
      </c>
      <c r="F1896" s="2">
        <v>7.003467274E9</v>
      </c>
    </row>
    <row r="1897" ht="15.75" customHeight="1">
      <c r="A1897" s="2" t="s">
        <v>2067</v>
      </c>
      <c r="B1897" s="2" t="s">
        <v>50</v>
      </c>
      <c r="C1897" s="2" t="s">
        <v>343</v>
      </c>
      <c r="D1897" s="2" t="s">
        <v>9</v>
      </c>
      <c r="E1897" s="2" t="s">
        <v>19</v>
      </c>
      <c r="F1897" s="2">
        <v>6.202602718E9</v>
      </c>
    </row>
    <row r="1898" ht="15.75" customHeight="1">
      <c r="A1898" s="2" t="s">
        <v>2068</v>
      </c>
      <c r="B1898" s="2" t="s">
        <v>2012</v>
      </c>
      <c r="C1898" s="2" t="s">
        <v>1818</v>
      </c>
      <c r="D1898" s="2" t="s">
        <v>56</v>
      </c>
      <c r="E1898" s="2" t="s">
        <v>19</v>
      </c>
      <c r="F1898" s="2">
        <v>6.202302613E9</v>
      </c>
    </row>
    <row r="1899" ht="15.75" customHeight="1">
      <c r="A1899" s="2" t="s">
        <v>1364</v>
      </c>
      <c r="B1899" s="2" t="s">
        <v>2069</v>
      </c>
      <c r="C1899" s="2" t="s">
        <v>310</v>
      </c>
      <c r="D1899" s="2" t="s">
        <v>14</v>
      </c>
      <c r="E1899" s="2" t="s">
        <v>19</v>
      </c>
      <c r="F1899" s="2">
        <v>7.250359557E9</v>
      </c>
    </row>
    <row r="1900" ht="15.75" customHeight="1">
      <c r="A1900" s="2" t="s">
        <v>538</v>
      </c>
      <c r="B1900" s="2" t="s">
        <v>63</v>
      </c>
      <c r="C1900" s="2" t="s">
        <v>2070</v>
      </c>
      <c r="D1900" s="2" t="s">
        <v>26</v>
      </c>
      <c r="E1900" s="2" t="s">
        <v>19</v>
      </c>
      <c r="F1900" s="2">
        <v>8.75775378E9</v>
      </c>
    </row>
    <row r="1901" ht="15.75" customHeight="1">
      <c r="A1901" s="2" t="s">
        <v>2071</v>
      </c>
      <c r="B1901" s="2" t="s">
        <v>50</v>
      </c>
      <c r="C1901" s="2" t="s">
        <v>1379</v>
      </c>
      <c r="D1901" s="2" t="s">
        <v>44</v>
      </c>
      <c r="E1901" s="2" t="s">
        <v>19</v>
      </c>
      <c r="F1901" s="2">
        <v>9.835558838E9</v>
      </c>
    </row>
    <row r="1902" ht="15.75" customHeight="1">
      <c r="A1902" s="2" t="s">
        <v>2072</v>
      </c>
      <c r="B1902" s="2" t="s">
        <v>21</v>
      </c>
      <c r="C1902" s="2" t="s">
        <v>543</v>
      </c>
      <c r="D1902" s="2" t="s">
        <v>9</v>
      </c>
      <c r="E1902" s="2" t="s">
        <v>23</v>
      </c>
      <c r="F1902" s="2">
        <v>7.759048573E9</v>
      </c>
    </row>
    <row r="1903" ht="15.75" customHeight="1">
      <c r="A1903" s="2" t="s">
        <v>2073</v>
      </c>
      <c r="B1903" s="2" t="s">
        <v>112</v>
      </c>
      <c r="C1903" s="2" t="s">
        <v>228</v>
      </c>
      <c r="D1903" s="2" t="s">
        <v>29</v>
      </c>
      <c r="E1903" s="2" t="s">
        <v>19</v>
      </c>
      <c r="F1903" s="2">
        <v>9.609088357E9</v>
      </c>
    </row>
    <row r="1904" ht="15.75" customHeight="1">
      <c r="A1904" s="2" t="s">
        <v>2074</v>
      </c>
      <c r="B1904" s="2" t="s">
        <v>21</v>
      </c>
      <c r="C1904" s="2" t="s">
        <v>58</v>
      </c>
      <c r="D1904" s="2" t="s">
        <v>14</v>
      </c>
      <c r="E1904" s="2" t="s">
        <v>19</v>
      </c>
      <c r="F1904" s="2">
        <v>9.199544878E9</v>
      </c>
    </row>
    <row r="1905" ht="15.75" customHeight="1">
      <c r="A1905" s="2" t="s">
        <v>1575</v>
      </c>
      <c r="B1905" s="2" t="s">
        <v>125</v>
      </c>
      <c r="C1905" s="2" t="s">
        <v>305</v>
      </c>
      <c r="D1905" s="2" t="s">
        <v>26</v>
      </c>
      <c r="E1905" s="2" t="s">
        <v>19</v>
      </c>
      <c r="F1905" s="2">
        <v>9.470972422E9</v>
      </c>
    </row>
    <row r="1906" ht="15.75" customHeight="1">
      <c r="A1906" s="2" t="s">
        <v>1581</v>
      </c>
      <c r="B1906" s="2" t="s">
        <v>797</v>
      </c>
      <c r="C1906" s="2" t="s">
        <v>61</v>
      </c>
      <c r="D1906" s="2" t="s">
        <v>56</v>
      </c>
      <c r="E1906" s="2" t="s">
        <v>23</v>
      </c>
      <c r="F1906" s="2">
        <v>8.270238612E9</v>
      </c>
    </row>
    <row r="1907" ht="15.75" customHeight="1">
      <c r="A1907" s="2" t="s">
        <v>579</v>
      </c>
      <c r="B1907" s="2" t="s">
        <v>50</v>
      </c>
      <c r="C1907" s="2" t="s">
        <v>1379</v>
      </c>
      <c r="D1907" s="2" t="s">
        <v>14</v>
      </c>
      <c r="E1907" s="2" t="s">
        <v>19</v>
      </c>
      <c r="F1907" s="2">
        <v>9.931662148E9</v>
      </c>
    </row>
    <row r="1908" ht="15.75" customHeight="1">
      <c r="A1908" s="2" t="s">
        <v>2075</v>
      </c>
      <c r="B1908" s="2" t="s">
        <v>63</v>
      </c>
      <c r="C1908" s="2" t="s">
        <v>58</v>
      </c>
      <c r="D1908" s="2" t="s">
        <v>26</v>
      </c>
      <c r="E1908" s="2" t="s">
        <v>19</v>
      </c>
      <c r="F1908" s="2">
        <v>7.033175024E9</v>
      </c>
    </row>
    <row r="1909" ht="15.75" customHeight="1">
      <c r="A1909" s="2" t="s">
        <v>96</v>
      </c>
      <c r="B1909" s="2" t="s">
        <v>63</v>
      </c>
      <c r="C1909" s="2" t="s">
        <v>200</v>
      </c>
      <c r="D1909" s="2" t="s">
        <v>26</v>
      </c>
      <c r="E1909" s="2" t="s">
        <v>19</v>
      </c>
      <c r="F1909" s="2">
        <v>7.004429339E9</v>
      </c>
    </row>
    <row r="1910" ht="15.75" customHeight="1">
      <c r="A1910" s="2" t="s">
        <v>2076</v>
      </c>
      <c r="B1910" s="2" t="s">
        <v>21</v>
      </c>
      <c r="C1910" s="2" t="s">
        <v>83</v>
      </c>
      <c r="D1910" s="2" t="s">
        <v>29</v>
      </c>
      <c r="E1910" s="2" t="s">
        <v>23</v>
      </c>
      <c r="F1910" s="2">
        <v>9.835750423E9</v>
      </c>
    </row>
    <row r="1911" ht="15.75" customHeight="1">
      <c r="A1911" s="2" t="s">
        <v>1813</v>
      </c>
      <c r="B1911" s="2" t="s">
        <v>50</v>
      </c>
      <c r="C1911" s="2" t="s">
        <v>1588</v>
      </c>
      <c r="D1911" s="2" t="s">
        <v>26</v>
      </c>
      <c r="E1911" s="2" t="s">
        <v>19</v>
      </c>
      <c r="F1911" s="2">
        <v>8.986852413E9</v>
      </c>
    </row>
    <row r="1912" ht="15.75" customHeight="1">
      <c r="A1912" s="2" t="s">
        <v>2077</v>
      </c>
      <c r="B1912" s="2" t="s">
        <v>88</v>
      </c>
      <c r="C1912" s="2" t="s">
        <v>453</v>
      </c>
      <c r="D1912" s="2" t="s">
        <v>26</v>
      </c>
      <c r="E1912" s="2" t="s">
        <v>19</v>
      </c>
      <c r="F1912" s="2">
        <v>8.292946987E9</v>
      </c>
    </row>
    <row r="1913" ht="15.75" customHeight="1">
      <c r="A1913" s="2" t="s">
        <v>707</v>
      </c>
      <c r="B1913" s="2" t="s">
        <v>512</v>
      </c>
      <c r="C1913" s="2" t="s">
        <v>2078</v>
      </c>
      <c r="D1913" s="2" t="s">
        <v>26</v>
      </c>
      <c r="E1913" s="2" t="s">
        <v>19</v>
      </c>
      <c r="F1913" s="2">
        <v>9.939157E9</v>
      </c>
    </row>
    <row r="1914" ht="15.75" customHeight="1">
      <c r="A1914" s="2" t="s">
        <v>748</v>
      </c>
      <c r="B1914" s="2" t="s">
        <v>328</v>
      </c>
      <c r="C1914" s="2" t="s">
        <v>1567</v>
      </c>
      <c r="D1914" s="2" t="s">
        <v>26</v>
      </c>
      <c r="E1914" s="2" t="s">
        <v>23</v>
      </c>
      <c r="F1914" s="2">
        <v>9.771797097E9</v>
      </c>
    </row>
    <row r="1915" ht="15.75" customHeight="1">
      <c r="A1915" s="2" t="s">
        <v>96</v>
      </c>
      <c r="B1915" s="2" t="s">
        <v>108</v>
      </c>
      <c r="C1915" s="2" t="s">
        <v>2079</v>
      </c>
      <c r="D1915" s="2" t="s">
        <v>44</v>
      </c>
      <c r="E1915" s="2" t="s">
        <v>19</v>
      </c>
      <c r="F1915" s="2">
        <v>7.323094644E9</v>
      </c>
    </row>
    <row r="1916" ht="15.75" customHeight="1">
      <c r="A1916" s="2" t="s">
        <v>405</v>
      </c>
      <c r="B1916" s="2" t="s">
        <v>55</v>
      </c>
      <c r="C1916" s="2" t="s">
        <v>53</v>
      </c>
      <c r="D1916" s="2" t="s">
        <v>29</v>
      </c>
      <c r="E1916" s="2" t="s">
        <v>19</v>
      </c>
      <c r="F1916" s="2">
        <v>7.762086394E9</v>
      </c>
    </row>
    <row r="1917" ht="15.75" customHeight="1">
      <c r="A1917" s="2" t="s">
        <v>1822</v>
      </c>
      <c r="B1917" s="2" t="s">
        <v>1540</v>
      </c>
      <c r="C1917" s="2" t="s">
        <v>235</v>
      </c>
      <c r="D1917" s="2" t="s">
        <v>26</v>
      </c>
      <c r="E1917" s="2" t="s">
        <v>19</v>
      </c>
      <c r="F1917" s="2">
        <v>9.430384318E9</v>
      </c>
    </row>
    <row r="1918" ht="15.75" customHeight="1">
      <c r="A1918" s="2" t="s">
        <v>2080</v>
      </c>
      <c r="B1918" s="2" t="s">
        <v>50</v>
      </c>
      <c r="C1918" s="2" t="s">
        <v>34</v>
      </c>
      <c r="D1918" s="2" t="s">
        <v>56</v>
      </c>
      <c r="E1918" s="2" t="s">
        <v>23</v>
      </c>
      <c r="F1918" s="2">
        <v>8.340558274E9</v>
      </c>
    </row>
    <row r="1919" ht="15.75" customHeight="1">
      <c r="A1919" s="2" t="s">
        <v>2081</v>
      </c>
      <c r="B1919" s="2" t="s">
        <v>50</v>
      </c>
      <c r="C1919" s="2" t="s">
        <v>1300</v>
      </c>
      <c r="D1919" s="2" t="s">
        <v>44</v>
      </c>
      <c r="E1919" s="2" t="s">
        <v>19</v>
      </c>
      <c r="F1919" s="2">
        <v>7.970786556E9</v>
      </c>
    </row>
    <row r="1920" ht="15.75" customHeight="1">
      <c r="A1920" s="2" t="s">
        <v>2082</v>
      </c>
      <c r="B1920" s="2" t="s">
        <v>139</v>
      </c>
      <c r="C1920" s="2" t="s">
        <v>2083</v>
      </c>
      <c r="D1920" s="2" t="s">
        <v>26</v>
      </c>
      <c r="E1920" s="2" t="s">
        <v>19</v>
      </c>
      <c r="F1920" s="2">
        <v>8.252415033E9</v>
      </c>
    </row>
    <row r="1921" ht="15.75" customHeight="1">
      <c r="A1921" s="2" t="s">
        <v>762</v>
      </c>
      <c r="B1921" s="2" t="s">
        <v>55</v>
      </c>
      <c r="C1921" s="2" t="s">
        <v>83</v>
      </c>
      <c r="D1921" s="2" t="s">
        <v>29</v>
      </c>
      <c r="E1921" s="2" t="s">
        <v>23</v>
      </c>
      <c r="F1921" s="2">
        <v>9.199301682E9</v>
      </c>
    </row>
    <row r="1922" ht="15.75" customHeight="1">
      <c r="A1922" s="2" t="s">
        <v>2084</v>
      </c>
      <c r="B1922" s="2" t="s">
        <v>398</v>
      </c>
      <c r="C1922" s="2" t="s">
        <v>1307</v>
      </c>
      <c r="D1922" s="2" t="s">
        <v>9</v>
      </c>
      <c r="E1922" s="2" t="s">
        <v>23</v>
      </c>
      <c r="F1922" s="2">
        <v>9.634216003E9</v>
      </c>
    </row>
    <row r="1923" ht="15.75" customHeight="1">
      <c r="A1923" s="2" t="s">
        <v>219</v>
      </c>
      <c r="B1923" s="2" t="s">
        <v>1988</v>
      </c>
      <c r="C1923" s="2" t="s">
        <v>1818</v>
      </c>
      <c r="D1923" s="2" t="s">
        <v>26</v>
      </c>
      <c r="E1923" s="2" t="s">
        <v>19</v>
      </c>
      <c r="F1923" s="2">
        <v>8.541834099E9</v>
      </c>
    </row>
    <row r="1924" ht="15.75" customHeight="1">
      <c r="A1924" s="2" t="s">
        <v>2085</v>
      </c>
      <c r="B1924" s="2" t="s">
        <v>398</v>
      </c>
      <c r="C1924" s="2" t="s">
        <v>1141</v>
      </c>
      <c r="D1924" s="2" t="s">
        <v>26</v>
      </c>
      <c r="E1924" s="2" t="s">
        <v>23</v>
      </c>
      <c r="F1924" s="2">
        <v>9.304801934E9</v>
      </c>
    </row>
    <row r="1925" ht="15.75" customHeight="1">
      <c r="A1925" s="2" t="s">
        <v>2086</v>
      </c>
      <c r="B1925" s="2" t="s">
        <v>2087</v>
      </c>
      <c r="C1925" s="2" t="s">
        <v>246</v>
      </c>
      <c r="D1925" s="2" t="s">
        <v>26</v>
      </c>
      <c r="E1925" s="2" t="s">
        <v>255</v>
      </c>
      <c r="F1925" s="2">
        <v>6.303148554E9</v>
      </c>
    </row>
    <row r="1926" ht="15.75" customHeight="1">
      <c r="A1926" s="2" t="s">
        <v>2088</v>
      </c>
      <c r="B1926" s="2" t="s">
        <v>869</v>
      </c>
      <c r="C1926" s="2" t="s">
        <v>2089</v>
      </c>
      <c r="D1926" s="2" t="s">
        <v>44</v>
      </c>
      <c r="E1926" s="2" t="s">
        <v>23</v>
      </c>
      <c r="F1926" s="2">
        <v>9.602545712E9</v>
      </c>
    </row>
    <row r="1927" ht="15.75" customHeight="1">
      <c r="A1927" s="2" t="s">
        <v>1695</v>
      </c>
      <c r="B1927" s="2" t="s">
        <v>125</v>
      </c>
      <c r="C1927" s="2" t="s">
        <v>1504</v>
      </c>
      <c r="D1927" s="2" t="s">
        <v>26</v>
      </c>
      <c r="E1927" s="2" t="s">
        <v>19</v>
      </c>
      <c r="F1927" s="2">
        <v>9.931384407E9</v>
      </c>
    </row>
    <row r="1928" ht="15.75" customHeight="1">
      <c r="A1928" s="2" t="s">
        <v>2090</v>
      </c>
      <c r="B1928" s="2" t="s">
        <v>52</v>
      </c>
      <c r="C1928" s="2" t="s">
        <v>1034</v>
      </c>
      <c r="D1928" s="2" t="s">
        <v>102</v>
      </c>
      <c r="E1928" s="2" t="s">
        <v>23</v>
      </c>
      <c r="F1928" s="2">
        <v>7.870358208E9</v>
      </c>
    </row>
    <row r="1929" ht="15.75" customHeight="1">
      <c r="A1929" s="2" t="s">
        <v>406</v>
      </c>
      <c r="B1929" s="2" t="s">
        <v>1850</v>
      </c>
      <c r="C1929" s="2" t="s">
        <v>1405</v>
      </c>
      <c r="D1929" s="2" t="s">
        <v>26</v>
      </c>
      <c r="E1929" s="2" t="s">
        <v>19</v>
      </c>
      <c r="F1929" s="2">
        <v>7.021090818E9</v>
      </c>
    </row>
    <row r="1930" ht="15.75" customHeight="1">
      <c r="A1930" s="2" t="s">
        <v>2091</v>
      </c>
      <c r="B1930" s="2" t="s">
        <v>50</v>
      </c>
      <c r="C1930" s="2" t="s">
        <v>1408</v>
      </c>
      <c r="D1930" s="2" t="s">
        <v>26</v>
      </c>
      <c r="E1930" s="2" t="s">
        <v>19</v>
      </c>
      <c r="F1930" s="2">
        <v>7.992388987E9</v>
      </c>
    </row>
    <row r="1931" ht="15.75" customHeight="1">
      <c r="A1931" s="2" t="s">
        <v>164</v>
      </c>
      <c r="B1931" s="2" t="s">
        <v>332</v>
      </c>
      <c r="C1931" s="2" t="s">
        <v>867</v>
      </c>
      <c r="D1931" s="2" t="s">
        <v>26</v>
      </c>
      <c r="E1931" s="2" t="s">
        <v>255</v>
      </c>
      <c r="F1931" s="2">
        <v>9.175095102E9</v>
      </c>
    </row>
    <row r="1932" ht="15.75" customHeight="1">
      <c r="A1932" s="2" t="s">
        <v>2092</v>
      </c>
      <c r="B1932" s="2" t="s">
        <v>55</v>
      </c>
      <c r="C1932" s="2" t="s">
        <v>274</v>
      </c>
      <c r="D1932" s="2" t="s">
        <v>9</v>
      </c>
      <c r="E1932" s="2" t="s">
        <v>23</v>
      </c>
      <c r="F1932" s="2">
        <v>9.546098243E9</v>
      </c>
    </row>
    <row r="1933" ht="15.75" customHeight="1">
      <c r="A1933" s="2" t="s">
        <v>525</v>
      </c>
      <c r="B1933" s="2" t="s">
        <v>1084</v>
      </c>
      <c r="C1933" s="2" t="s">
        <v>230</v>
      </c>
      <c r="D1933" s="2" t="s">
        <v>29</v>
      </c>
      <c r="E1933" s="2" t="s">
        <v>19</v>
      </c>
      <c r="F1933" s="2">
        <v>9.006238751E9</v>
      </c>
    </row>
    <row r="1934" ht="15.75" customHeight="1">
      <c r="A1934" s="2" t="s">
        <v>1607</v>
      </c>
      <c r="B1934" s="2" t="s">
        <v>2036</v>
      </c>
      <c r="C1934" s="2" t="s">
        <v>914</v>
      </c>
      <c r="D1934" s="2" t="s">
        <v>26</v>
      </c>
      <c r="E1934" s="2" t="s">
        <v>255</v>
      </c>
      <c r="F1934" s="2">
        <v>9.2790181E9</v>
      </c>
    </row>
    <row r="1935" ht="15.75" customHeight="1">
      <c r="A1935" s="2" t="s">
        <v>1960</v>
      </c>
      <c r="B1935" s="2" t="s">
        <v>1724</v>
      </c>
      <c r="C1935" s="2" t="s">
        <v>1012</v>
      </c>
      <c r="D1935" s="2" t="s">
        <v>9</v>
      </c>
      <c r="E1935" s="2" t="s">
        <v>19</v>
      </c>
      <c r="F1935" s="2">
        <v>7.00468651E9</v>
      </c>
    </row>
    <row r="1936" ht="15.75" customHeight="1">
      <c r="A1936" s="2" t="s">
        <v>1153</v>
      </c>
      <c r="B1936" s="2" t="s">
        <v>1480</v>
      </c>
      <c r="C1936" s="2" t="s">
        <v>1416</v>
      </c>
      <c r="D1936" s="2" t="s">
        <v>44</v>
      </c>
      <c r="E1936" s="2" t="s">
        <v>23</v>
      </c>
      <c r="F1936" s="2">
        <v>7.050146593E9</v>
      </c>
    </row>
    <row r="1937" ht="15.75" customHeight="1">
      <c r="A1937" s="2" t="s">
        <v>657</v>
      </c>
      <c r="B1937" s="2" t="s">
        <v>312</v>
      </c>
      <c r="C1937" s="2" t="s">
        <v>133</v>
      </c>
      <c r="D1937" s="2" t="s">
        <v>26</v>
      </c>
      <c r="E1937" s="2" t="s">
        <v>19</v>
      </c>
      <c r="F1937" s="2">
        <v>9.006849598E9</v>
      </c>
    </row>
    <row r="1938" ht="15.75" customHeight="1">
      <c r="A1938" s="2" t="s">
        <v>219</v>
      </c>
      <c r="B1938" s="2" t="s">
        <v>257</v>
      </c>
      <c r="C1938" s="2" t="s">
        <v>729</v>
      </c>
      <c r="D1938" s="2" t="s">
        <v>14</v>
      </c>
      <c r="E1938" s="2" t="s">
        <v>19</v>
      </c>
      <c r="F1938" s="2">
        <v>9.11376101E9</v>
      </c>
    </row>
    <row r="1939" ht="15.75" customHeight="1">
      <c r="A1939" s="2" t="s">
        <v>1180</v>
      </c>
      <c r="B1939" s="2" t="s">
        <v>55</v>
      </c>
      <c r="C1939" s="2" t="s">
        <v>2093</v>
      </c>
      <c r="D1939" s="2" t="s">
        <v>26</v>
      </c>
      <c r="E1939" s="2" t="s">
        <v>255</v>
      </c>
      <c r="F1939" s="2">
        <v>9.835085988E9</v>
      </c>
    </row>
    <row r="1940" ht="15.75" customHeight="1">
      <c r="A1940" s="2" t="s">
        <v>1752</v>
      </c>
      <c r="B1940" s="2" t="s">
        <v>2094</v>
      </c>
      <c r="C1940" s="2" t="s">
        <v>305</v>
      </c>
      <c r="D1940" s="2" t="s">
        <v>102</v>
      </c>
      <c r="E1940" s="2" t="s">
        <v>19</v>
      </c>
      <c r="F1940" s="2">
        <v>8.05115116E9</v>
      </c>
    </row>
    <row r="1941" ht="15.75" customHeight="1">
      <c r="A1941" s="2" t="s">
        <v>2095</v>
      </c>
      <c r="B1941" s="2" t="s">
        <v>594</v>
      </c>
      <c r="C1941" s="2" t="s">
        <v>2096</v>
      </c>
      <c r="D1941" s="2" t="s">
        <v>9</v>
      </c>
      <c r="E1941" s="2" t="s">
        <v>23</v>
      </c>
      <c r="F1941" s="2">
        <v>7.856896286E9</v>
      </c>
    </row>
    <row r="1942" ht="15.75" customHeight="1">
      <c r="A1942" s="2" t="s">
        <v>219</v>
      </c>
      <c r="B1942" s="2" t="s">
        <v>55</v>
      </c>
      <c r="C1942" s="2" t="s">
        <v>2097</v>
      </c>
      <c r="D1942" s="2" t="s">
        <v>56</v>
      </c>
      <c r="E1942" s="2" t="s">
        <v>19</v>
      </c>
      <c r="F1942" s="2">
        <v>7.004265418E9</v>
      </c>
    </row>
    <row r="1943" ht="15.75" customHeight="1">
      <c r="A1943" s="2" t="s">
        <v>2098</v>
      </c>
      <c r="B1943" s="2" t="s">
        <v>50</v>
      </c>
      <c r="C1943" s="2" t="s">
        <v>235</v>
      </c>
      <c r="D1943" s="2" t="s">
        <v>26</v>
      </c>
      <c r="E1943" s="2" t="s">
        <v>19</v>
      </c>
      <c r="F1943" s="2">
        <v>8.797581016E9</v>
      </c>
    </row>
    <row r="1944" ht="15.75" customHeight="1">
      <c r="A1944" s="2" t="s">
        <v>555</v>
      </c>
      <c r="B1944" s="2" t="s">
        <v>982</v>
      </c>
      <c r="C1944" s="2" t="s">
        <v>2099</v>
      </c>
      <c r="D1944" s="2" t="s">
        <v>14</v>
      </c>
      <c r="E1944" s="2" t="s">
        <v>23</v>
      </c>
      <c r="F1944" s="2">
        <v>6.704621519E9</v>
      </c>
    </row>
    <row r="1945" ht="15.75" customHeight="1">
      <c r="A1945" s="2" t="s">
        <v>2100</v>
      </c>
      <c r="B1945" s="2" t="s">
        <v>212</v>
      </c>
      <c r="C1945" s="2" t="s">
        <v>237</v>
      </c>
      <c r="D1945" s="2" t="s">
        <v>26</v>
      </c>
      <c r="E1945" s="2" t="s">
        <v>255</v>
      </c>
      <c r="F1945" s="2">
        <v>6.200738611E9</v>
      </c>
    </row>
    <row r="1946" ht="15.75" customHeight="1">
      <c r="A1946" s="2" t="s">
        <v>2101</v>
      </c>
      <c r="B1946" s="2" t="s">
        <v>153</v>
      </c>
      <c r="C1946" s="2" t="s">
        <v>1326</v>
      </c>
      <c r="D1946" s="2" t="s">
        <v>14</v>
      </c>
      <c r="E1946" s="2" t="s">
        <v>23</v>
      </c>
      <c r="F1946" s="2">
        <v>9.939411258E9</v>
      </c>
    </row>
    <row r="1947" ht="15.75" customHeight="1">
      <c r="A1947" s="2" t="s">
        <v>1468</v>
      </c>
      <c r="B1947" s="2" t="s">
        <v>1290</v>
      </c>
      <c r="C1947" s="2" t="s">
        <v>58</v>
      </c>
      <c r="D1947" s="2" t="s">
        <v>56</v>
      </c>
      <c r="E1947" s="2" t="s">
        <v>19</v>
      </c>
      <c r="F1947" s="2">
        <v>7.974778186E9</v>
      </c>
    </row>
    <row r="1948" ht="15.75" customHeight="1">
      <c r="A1948" s="2" t="s">
        <v>219</v>
      </c>
      <c r="B1948" s="2" t="s">
        <v>552</v>
      </c>
      <c r="C1948" s="2" t="s">
        <v>729</v>
      </c>
      <c r="D1948" s="2" t="s">
        <v>26</v>
      </c>
      <c r="E1948" s="2" t="s">
        <v>19</v>
      </c>
      <c r="F1948" s="2">
        <v>9.11096004E9</v>
      </c>
    </row>
    <row r="1949" ht="15.75" customHeight="1">
      <c r="A1949" s="2" t="s">
        <v>670</v>
      </c>
      <c r="B1949" s="2" t="s">
        <v>63</v>
      </c>
      <c r="C1949" s="2" t="s">
        <v>2102</v>
      </c>
      <c r="D1949" s="2" t="s">
        <v>56</v>
      </c>
      <c r="E1949" s="2" t="s">
        <v>19</v>
      </c>
      <c r="F1949" s="2">
        <v>8.385551891E9</v>
      </c>
    </row>
    <row r="1950" ht="15.75" customHeight="1">
      <c r="A1950" s="2" t="s">
        <v>2103</v>
      </c>
      <c r="B1950" s="2" t="s">
        <v>153</v>
      </c>
      <c r="C1950" s="2" t="s">
        <v>399</v>
      </c>
      <c r="D1950" s="2" t="s">
        <v>14</v>
      </c>
      <c r="E1950" s="2" t="s">
        <v>23</v>
      </c>
      <c r="F1950" s="2">
        <v>8.969645191E9</v>
      </c>
    </row>
    <row r="1951" ht="15.75" customHeight="1">
      <c r="A1951" s="2" t="s">
        <v>2104</v>
      </c>
      <c r="B1951" s="2" t="s">
        <v>1812</v>
      </c>
      <c r="C1951" s="2" t="s">
        <v>648</v>
      </c>
      <c r="D1951" s="2" t="s">
        <v>56</v>
      </c>
      <c r="E1951" s="2" t="s">
        <v>23</v>
      </c>
      <c r="F1951" s="2">
        <v>8.092896545E9</v>
      </c>
    </row>
    <row r="1952" ht="15.75" customHeight="1">
      <c r="A1952" s="2" t="s">
        <v>1970</v>
      </c>
      <c r="B1952" s="2" t="s">
        <v>63</v>
      </c>
      <c r="C1952" s="2" t="s">
        <v>289</v>
      </c>
      <c r="D1952" s="2" t="s">
        <v>44</v>
      </c>
      <c r="E1952" s="2" t="s">
        <v>19</v>
      </c>
      <c r="F1952" s="2">
        <v>6.202266575E9</v>
      </c>
    </row>
    <row r="1953" ht="15.75" customHeight="1">
      <c r="A1953" s="2" t="s">
        <v>2105</v>
      </c>
      <c r="B1953" s="2" t="s">
        <v>2105</v>
      </c>
      <c r="C1953" s="2" t="s">
        <v>648</v>
      </c>
      <c r="D1953" s="2" t="s">
        <v>44</v>
      </c>
      <c r="E1953" s="2" t="s">
        <v>23</v>
      </c>
      <c r="F1953" s="2">
        <v>9.23474939E9</v>
      </c>
    </row>
    <row r="1954" ht="15.75" customHeight="1">
      <c r="A1954" s="2" t="s">
        <v>2106</v>
      </c>
      <c r="B1954" s="2" t="s">
        <v>55</v>
      </c>
      <c r="C1954" s="2" t="s">
        <v>237</v>
      </c>
      <c r="D1954" s="2" t="s">
        <v>26</v>
      </c>
      <c r="E1954" s="2" t="s">
        <v>255</v>
      </c>
      <c r="F1954" s="2">
        <v>7.856893541E9</v>
      </c>
    </row>
    <row r="1955" ht="15.75" customHeight="1">
      <c r="A1955" s="2" t="s">
        <v>1209</v>
      </c>
      <c r="B1955" s="2" t="s">
        <v>212</v>
      </c>
      <c r="C1955" s="2" t="s">
        <v>171</v>
      </c>
      <c r="D1955" s="2" t="s">
        <v>29</v>
      </c>
      <c r="E1955" s="2" t="s">
        <v>19</v>
      </c>
      <c r="F1955" s="2">
        <v>9.93455664E9</v>
      </c>
    </row>
    <row r="1956" ht="15.75" customHeight="1">
      <c r="A1956" s="2" t="s">
        <v>670</v>
      </c>
      <c r="B1956" s="2" t="s">
        <v>960</v>
      </c>
      <c r="C1956" s="2" t="s">
        <v>2107</v>
      </c>
      <c r="D1956" s="2" t="s">
        <v>44</v>
      </c>
      <c r="E1956" s="2" t="s">
        <v>19</v>
      </c>
      <c r="F1956" s="2">
        <v>6.202761776E9</v>
      </c>
    </row>
    <row r="1957" ht="15.75" customHeight="1">
      <c r="A1957" s="2" t="s">
        <v>1097</v>
      </c>
      <c r="B1957" s="2" t="s">
        <v>2108</v>
      </c>
      <c r="C1957" s="2" t="s">
        <v>648</v>
      </c>
      <c r="D1957" s="2" t="s">
        <v>26</v>
      </c>
      <c r="E1957" s="2" t="s">
        <v>23</v>
      </c>
      <c r="F1957" s="2">
        <v>7.488097648E9</v>
      </c>
    </row>
    <row r="1958" ht="15.75" customHeight="1">
      <c r="A1958" s="2" t="s">
        <v>2109</v>
      </c>
      <c r="B1958" s="2" t="s">
        <v>75</v>
      </c>
      <c r="C1958" s="2" t="s">
        <v>181</v>
      </c>
      <c r="D1958" s="2" t="s">
        <v>26</v>
      </c>
      <c r="E1958" s="2" t="s">
        <v>19</v>
      </c>
      <c r="F1958" s="2">
        <v>7.782819001E9</v>
      </c>
    </row>
    <row r="1959" ht="15.75" customHeight="1">
      <c r="A1959" s="2" t="s">
        <v>2110</v>
      </c>
      <c r="B1959" s="2" t="s">
        <v>248</v>
      </c>
      <c r="C1959" s="2" t="s">
        <v>1004</v>
      </c>
      <c r="D1959" s="2" t="s">
        <v>44</v>
      </c>
      <c r="E1959" s="2" t="s">
        <v>23</v>
      </c>
      <c r="F1959" s="2">
        <v>7.371083587E9</v>
      </c>
    </row>
    <row r="1960" ht="15.75" customHeight="1">
      <c r="A1960" s="2" t="s">
        <v>2111</v>
      </c>
      <c r="B1960" s="2" t="s">
        <v>743</v>
      </c>
      <c r="C1960" s="2" t="s">
        <v>970</v>
      </c>
      <c r="D1960" s="2" t="s">
        <v>26</v>
      </c>
      <c r="E1960" s="2" t="s">
        <v>19</v>
      </c>
      <c r="F1960" s="2">
        <v>6.203286255E9</v>
      </c>
    </row>
    <row r="1961" ht="15.75" customHeight="1">
      <c r="A1961" s="2" t="s">
        <v>2112</v>
      </c>
      <c r="B1961" s="2" t="s">
        <v>2113</v>
      </c>
      <c r="C1961" s="2" t="s">
        <v>2114</v>
      </c>
      <c r="D1961" s="2" t="s">
        <v>9</v>
      </c>
      <c r="E1961" s="2" t="s">
        <v>2115</v>
      </c>
      <c r="F1961" s="2">
        <v>9.883212793E9</v>
      </c>
    </row>
    <row r="1962" ht="15.75" customHeight="1">
      <c r="A1962" s="2" t="s">
        <v>898</v>
      </c>
      <c r="B1962" s="2" t="s">
        <v>191</v>
      </c>
      <c r="C1962" s="2" t="s">
        <v>2116</v>
      </c>
      <c r="D1962" s="2" t="s">
        <v>26</v>
      </c>
      <c r="E1962" s="2" t="s">
        <v>23</v>
      </c>
      <c r="F1962" s="2">
        <v>9.263934452E9</v>
      </c>
    </row>
    <row r="1963" ht="15.75" customHeight="1">
      <c r="A1963" s="2" t="s">
        <v>2117</v>
      </c>
      <c r="B1963" s="2" t="s">
        <v>68</v>
      </c>
      <c r="C1963" s="2" t="s">
        <v>2118</v>
      </c>
      <c r="D1963" s="2" t="s">
        <v>56</v>
      </c>
      <c r="E1963" s="2" t="s">
        <v>434</v>
      </c>
      <c r="F1963" s="2">
        <v>9.821433799E9</v>
      </c>
    </row>
    <row r="1964" ht="15.75" customHeight="1">
      <c r="A1964" s="2" t="s">
        <v>1092</v>
      </c>
      <c r="B1964" s="2" t="s">
        <v>63</v>
      </c>
      <c r="C1964" s="2" t="s">
        <v>729</v>
      </c>
      <c r="D1964" s="2" t="s">
        <v>26</v>
      </c>
      <c r="E1964" s="2" t="s">
        <v>19</v>
      </c>
      <c r="F1964" s="2">
        <v>7.362848077E9</v>
      </c>
    </row>
    <row r="1965" ht="15.75" customHeight="1">
      <c r="A1965" s="2" t="s">
        <v>2036</v>
      </c>
      <c r="B1965" s="2" t="s">
        <v>152</v>
      </c>
      <c r="C1965" s="2" t="s">
        <v>2119</v>
      </c>
      <c r="D1965" s="2" t="s">
        <v>26</v>
      </c>
      <c r="E1965" s="2" t="s">
        <v>23</v>
      </c>
      <c r="F1965" s="2">
        <v>9.970508896E9</v>
      </c>
    </row>
    <row r="1966" ht="15.75" customHeight="1">
      <c r="A1966" s="2" t="s">
        <v>272</v>
      </c>
      <c r="B1966" s="2" t="s">
        <v>2120</v>
      </c>
      <c r="C1966" s="2" t="s">
        <v>235</v>
      </c>
      <c r="D1966" s="2" t="s">
        <v>26</v>
      </c>
      <c r="E1966" s="2" t="s">
        <v>19</v>
      </c>
      <c r="F1966" s="2">
        <v>7.481824027E9</v>
      </c>
    </row>
    <row r="1967" ht="15.75" customHeight="1">
      <c r="A1967" s="2" t="s">
        <v>1221</v>
      </c>
      <c r="B1967" s="2" t="s">
        <v>2121</v>
      </c>
      <c r="C1967" s="2" t="s">
        <v>2122</v>
      </c>
      <c r="D1967" s="2" t="s">
        <v>26</v>
      </c>
      <c r="E1967" s="2" t="s">
        <v>19</v>
      </c>
      <c r="F1967" s="2">
        <v>8.789690671E9</v>
      </c>
    </row>
    <row r="1968" ht="15.75" customHeight="1">
      <c r="A1968" s="2" t="s">
        <v>898</v>
      </c>
      <c r="B1968" s="2" t="s">
        <v>898</v>
      </c>
      <c r="C1968" s="2" t="s">
        <v>2123</v>
      </c>
      <c r="D1968" s="2" t="s">
        <v>26</v>
      </c>
      <c r="E1968" s="2" t="s">
        <v>23</v>
      </c>
      <c r="F1968" s="2">
        <v>9.120530155E9</v>
      </c>
    </row>
    <row r="1969" ht="15.75" customHeight="1">
      <c r="A1969" s="2" t="s">
        <v>2124</v>
      </c>
      <c r="B1969" s="2" t="s">
        <v>522</v>
      </c>
      <c r="C1969" s="2" t="s">
        <v>181</v>
      </c>
      <c r="D1969" s="2" t="s">
        <v>56</v>
      </c>
      <c r="E1969" s="2" t="s">
        <v>19</v>
      </c>
      <c r="F1969" s="2">
        <v>7.319959943E9</v>
      </c>
    </row>
    <row r="1970" ht="15.75" customHeight="1">
      <c r="A1970" s="2" t="s">
        <v>2125</v>
      </c>
      <c r="B1970" s="2" t="s">
        <v>55</v>
      </c>
      <c r="C1970" s="2" t="s">
        <v>1001</v>
      </c>
      <c r="D1970" s="2" t="s">
        <v>26</v>
      </c>
      <c r="E1970" s="2" t="s">
        <v>23</v>
      </c>
      <c r="F1970" s="2">
        <v>9.905535286E9</v>
      </c>
    </row>
    <row r="1971" ht="15.75" customHeight="1">
      <c r="A1971" s="2" t="s">
        <v>2036</v>
      </c>
      <c r="B1971" s="2" t="s">
        <v>152</v>
      </c>
      <c r="C1971" s="2" t="s">
        <v>1001</v>
      </c>
      <c r="D1971" s="2" t="s">
        <v>56</v>
      </c>
      <c r="E1971" s="2" t="s">
        <v>23</v>
      </c>
      <c r="F1971" s="2">
        <v>6.207434341E9</v>
      </c>
    </row>
    <row r="1972" ht="15.75" customHeight="1">
      <c r="A1972" s="2" t="s">
        <v>1221</v>
      </c>
      <c r="B1972" s="2" t="s">
        <v>119</v>
      </c>
      <c r="C1972" s="2" t="s">
        <v>867</v>
      </c>
      <c r="D1972" s="2" t="s">
        <v>56</v>
      </c>
      <c r="E1972" s="2" t="s">
        <v>19</v>
      </c>
      <c r="F1972" s="2">
        <v>6.706162718E9</v>
      </c>
    </row>
    <row r="1973" ht="15.75" customHeight="1">
      <c r="A1973" s="2" t="s">
        <v>2126</v>
      </c>
      <c r="B1973" s="2" t="s">
        <v>55</v>
      </c>
      <c r="C1973" s="2" t="s">
        <v>2127</v>
      </c>
      <c r="D1973" s="2" t="s">
        <v>26</v>
      </c>
      <c r="E1973" s="2" t="s">
        <v>255</v>
      </c>
      <c r="F1973" s="2">
        <v>9.304643622E9</v>
      </c>
    </row>
    <row r="1974" ht="15.75" customHeight="1">
      <c r="A1974" s="2" t="s">
        <v>413</v>
      </c>
      <c r="B1974" s="2" t="s">
        <v>50</v>
      </c>
      <c r="C1974" s="2" t="s">
        <v>729</v>
      </c>
      <c r="D1974" s="2" t="s">
        <v>102</v>
      </c>
      <c r="E1974" s="2" t="s">
        <v>19</v>
      </c>
      <c r="F1974" s="2">
        <v>9.892761493E9</v>
      </c>
    </row>
    <row r="1975" ht="15.75" customHeight="1">
      <c r="A1975" s="2" t="s">
        <v>927</v>
      </c>
      <c r="B1975" s="2" t="s">
        <v>153</v>
      </c>
      <c r="C1975" s="2" t="s">
        <v>2128</v>
      </c>
      <c r="D1975" s="2" t="s">
        <v>26</v>
      </c>
      <c r="E1975" s="2" t="s">
        <v>23</v>
      </c>
      <c r="F1975" s="2">
        <v>8.434275518E9</v>
      </c>
    </row>
    <row r="1976" ht="15.75" customHeight="1">
      <c r="A1976" s="2" t="s">
        <v>2092</v>
      </c>
      <c r="B1976" s="2" t="s">
        <v>55</v>
      </c>
      <c r="C1976" s="2" t="s">
        <v>289</v>
      </c>
      <c r="D1976" s="2" t="s">
        <v>56</v>
      </c>
      <c r="E1976" s="2" t="s">
        <v>19</v>
      </c>
      <c r="F1976" s="2">
        <v>9.693630782E9</v>
      </c>
    </row>
    <row r="1977" ht="15.75" customHeight="1">
      <c r="A1977" s="2" t="s">
        <v>892</v>
      </c>
      <c r="B1977" s="2" t="s">
        <v>52</v>
      </c>
      <c r="C1977" s="2" t="s">
        <v>809</v>
      </c>
      <c r="D1977" s="2" t="s">
        <v>9</v>
      </c>
      <c r="E1977" s="2" t="s">
        <v>23</v>
      </c>
      <c r="F1977" s="2">
        <v>6.299981939E9</v>
      </c>
    </row>
    <row r="1978" ht="15.75" customHeight="1">
      <c r="A1978" s="2" t="s">
        <v>1940</v>
      </c>
      <c r="B1978" s="2" t="s">
        <v>1939</v>
      </c>
      <c r="C1978" s="2" t="s">
        <v>1039</v>
      </c>
      <c r="D1978" s="2" t="s">
        <v>26</v>
      </c>
      <c r="E1978" s="2" t="s">
        <v>19</v>
      </c>
      <c r="F1978" s="2">
        <v>9.279299594E9</v>
      </c>
    </row>
    <row r="1979" ht="15.75" customHeight="1">
      <c r="A1979" s="2" t="s">
        <v>2129</v>
      </c>
      <c r="B1979" s="2" t="s">
        <v>614</v>
      </c>
      <c r="C1979" s="2" t="s">
        <v>792</v>
      </c>
      <c r="D1979" s="2" t="s">
        <v>26</v>
      </c>
      <c r="E1979" s="2" t="s">
        <v>23</v>
      </c>
      <c r="F1979" s="2">
        <v>9.970508896E9</v>
      </c>
    </row>
    <row r="1980" ht="15.75" customHeight="1">
      <c r="A1980" s="2" t="s">
        <v>707</v>
      </c>
      <c r="B1980" s="2" t="s">
        <v>1663</v>
      </c>
      <c r="C1980" s="2" t="s">
        <v>1355</v>
      </c>
      <c r="D1980" s="2" t="s">
        <v>26</v>
      </c>
      <c r="E1980" s="2" t="s">
        <v>19</v>
      </c>
      <c r="F1980" s="2">
        <v>8.126707212E9</v>
      </c>
    </row>
    <row r="1981" ht="15.75" customHeight="1">
      <c r="A1981" s="2" t="s">
        <v>2130</v>
      </c>
      <c r="B1981" s="2" t="s">
        <v>2131</v>
      </c>
      <c r="C1981" s="2" t="s">
        <v>325</v>
      </c>
      <c r="D1981" s="2" t="s">
        <v>56</v>
      </c>
      <c r="E1981" s="2" t="s">
        <v>255</v>
      </c>
      <c r="F1981" s="2">
        <v>6.209852484E9</v>
      </c>
    </row>
    <row r="1982" ht="15.75" customHeight="1">
      <c r="A1982" s="2" t="s">
        <v>927</v>
      </c>
      <c r="B1982" s="2" t="s">
        <v>191</v>
      </c>
      <c r="C1982" s="2" t="s">
        <v>2123</v>
      </c>
      <c r="D1982" s="2" t="s">
        <v>14</v>
      </c>
      <c r="E1982" s="2" t="s">
        <v>23</v>
      </c>
      <c r="F1982" s="2">
        <v>7.061674821E9</v>
      </c>
    </row>
    <row r="1983" ht="15.75" customHeight="1">
      <c r="A1983" s="2" t="s">
        <v>2132</v>
      </c>
      <c r="B1983" s="2" t="s">
        <v>2133</v>
      </c>
      <c r="C1983" s="2" t="s">
        <v>181</v>
      </c>
      <c r="D1983" s="2" t="s">
        <v>26</v>
      </c>
      <c r="E1983" s="2" t="s">
        <v>19</v>
      </c>
      <c r="F1983" s="2">
        <v>8.210603126E9</v>
      </c>
    </row>
    <row r="1984" ht="15.75" customHeight="1">
      <c r="A1984" s="2" t="s">
        <v>2134</v>
      </c>
      <c r="B1984" s="2" t="s">
        <v>276</v>
      </c>
      <c r="C1984" s="2" t="s">
        <v>1185</v>
      </c>
      <c r="D1984" s="2" t="s">
        <v>26</v>
      </c>
      <c r="E1984" s="2" t="s">
        <v>23</v>
      </c>
      <c r="F1984" s="2">
        <v>7.909094656E9</v>
      </c>
    </row>
    <row r="1985" ht="15.75" customHeight="1">
      <c r="A1985" s="2" t="s">
        <v>707</v>
      </c>
      <c r="B1985" s="2" t="s">
        <v>279</v>
      </c>
      <c r="C1985" s="2" t="s">
        <v>662</v>
      </c>
      <c r="D1985" s="2" t="s">
        <v>26</v>
      </c>
      <c r="E1985" s="2" t="s">
        <v>19</v>
      </c>
      <c r="F1985" s="2">
        <v>7.025512264E9</v>
      </c>
    </row>
    <row r="1986" ht="15.75" customHeight="1">
      <c r="A1986" s="2" t="s">
        <v>113</v>
      </c>
      <c r="B1986" s="2" t="s">
        <v>131</v>
      </c>
      <c r="C1986" s="2" t="s">
        <v>2135</v>
      </c>
      <c r="D1986" s="2" t="s">
        <v>102</v>
      </c>
      <c r="E1986" s="2" t="s">
        <v>19</v>
      </c>
      <c r="F1986" s="2">
        <v>8.102366446E9</v>
      </c>
    </row>
    <row r="1987" ht="15.75" customHeight="1">
      <c r="A1987" s="2" t="s">
        <v>2136</v>
      </c>
      <c r="B1987" s="2" t="s">
        <v>815</v>
      </c>
      <c r="C1987" s="2" t="s">
        <v>204</v>
      </c>
      <c r="D1987" s="2" t="s">
        <v>102</v>
      </c>
      <c r="E1987" s="2" t="s">
        <v>255</v>
      </c>
      <c r="F1987" s="2">
        <v>7.464089622E9</v>
      </c>
    </row>
    <row r="1988" ht="15.75" customHeight="1">
      <c r="A1988" s="2" t="s">
        <v>2137</v>
      </c>
      <c r="B1988" s="2" t="s">
        <v>55</v>
      </c>
      <c r="C1988" s="2" t="s">
        <v>1004</v>
      </c>
      <c r="D1988" s="2" t="s">
        <v>56</v>
      </c>
      <c r="E1988" s="2" t="s">
        <v>23</v>
      </c>
      <c r="F1988" s="2">
        <v>8.789723056E9</v>
      </c>
    </row>
    <row r="1989" ht="15.75" customHeight="1">
      <c r="A1989" s="2" t="s">
        <v>707</v>
      </c>
      <c r="B1989" s="2" t="s">
        <v>960</v>
      </c>
      <c r="C1989" s="2" t="s">
        <v>1653</v>
      </c>
      <c r="D1989" s="2" t="s">
        <v>44</v>
      </c>
      <c r="E1989" s="2" t="s">
        <v>19</v>
      </c>
      <c r="F1989" s="2">
        <v>9.118083969E9</v>
      </c>
    </row>
    <row r="1990" ht="15.75" customHeight="1">
      <c r="A1990" s="2" t="s">
        <v>107</v>
      </c>
      <c r="B1990" s="2" t="s">
        <v>119</v>
      </c>
      <c r="C1990" s="2" t="s">
        <v>200</v>
      </c>
      <c r="D1990" s="2" t="s">
        <v>44</v>
      </c>
      <c r="E1990" s="2" t="s">
        <v>19</v>
      </c>
      <c r="F1990" s="2">
        <v>7.36795309E9</v>
      </c>
    </row>
    <row r="1991" ht="15.75" customHeight="1">
      <c r="A1991" s="2" t="s">
        <v>1011</v>
      </c>
      <c r="B1991" s="2" t="s">
        <v>873</v>
      </c>
      <c r="C1991" s="2" t="s">
        <v>553</v>
      </c>
      <c r="D1991" s="2" t="s">
        <v>9</v>
      </c>
      <c r="E1991" s="2" t="s">
        <v>23</v>
      </c>
      <c r="F1991" s="2">
        <v>6.202940551E9</v>
      </c>
    </row>
    <row r="1992" ht="15.75" customHeight="1">
      <c r="A1992" s="2" t="s">
        <v>2138</v>
      </c>
      <c r="B1992" s="2" t="s">
        <v>225</v>
      </c>
      <c r="C1992" s="2" t="s">
        <v>2070</v>
      </c>
      <c r="D1992" s="2" t="s">
        <v>26</v>
      </c>
      <c r="E1992" s="2" t="s">
        <v>19</v>
      </c>
      <c r="F1992" s="2">
        <v>9.508791464E9</v>
      </c>
    </row>
    <row r="1993" ht="15.75" customHeight="1">
      <c r="A1993" s="2" t="s">
        <v>2139</v>
      </c>
      <c r="B1993" s="2" t="s">
        <v>1177</v>
      </c>
      <c r="C1993" s="2" t="s">
        <v>133</v>
      </c>
      <c r="D1993" s="2" t="s">
        <v>44</v>
      </c>
      <c r="E1993" s="2" t="s">
        <v>23</v>
      </c>
      <c r="F1993" s="2">
        <v>6.717036811E9</v>
      </c>
    </row>
    <row r="1994" ht="15.75" customHeight="1">
      <c r="A1994" s="2" t="s">
        <v>1011</v>
      </c>
      <c r="B1994" s="2" t="s">
        <v>52</v>
      </c>
      <c r="C1994" s="2" t="s">
        <v>595</v>
      </c>
      <c r="D1994" s="2" t="s">
        <v>44</v>
      </c>
      <c r="E1994" s="2" t="s">
        <v>255</v>
      </c>
      <c r="F1994" s="2">
        <v>8.088701347E9</v>
      </c>
    </row>
    <row r="1995" ht="15.75" customHeight="1">
      <c r="A1995" s="2" t="s">
        <v>2140</v>
      </c>
      <c r="B1995" s="2" t="s">
        <v>119</v>
      </c>
      <c r="C1995" s="2" t="s">
        <v>1139</v>
      </c>
      <c r="D1995" s="2" t="s">
        <v>26</v>
      </c>
      <c r="E1995" s="2" t="s">
        <v>19</v>
      </c>
      <c r="F1995" s="2">
        <v>7.07098621E9</v>
      </c>
    </row>
    <row r="1996" ht="15.75" customHeight="1">
      <c r="A1996" s="2" t="s">
        <v>2137</v>
      </c>
      <c r="B1996" s="2" t="s">
        <v>191</v>
      </c>
      <c r="C1996" s="2" t="s">
        <v>1001</v>
      </c>
      <c r="D1996" s="2" t="s">
        <v>56</v>
      </c>
      <c r="E1996" s="2" t="s">
        <v>23</v>
      </c>
      <c r="F1996" s="2">
        <v>8.210038574E9</v>
      </c>
    </row>
    <row r="1997" ht="15.75" customHeight="1">
      <c r="A1997" s="2" t="s">
        <v>856</v>
      </c>
      <c r="B1997" s="2" t="s">
        <v>1839</v>
      </c>
      <c r="C1997" s="2" t="s">
        <v>729</v>
      </c>
      <c r="D1997" s="2" t="s">
        <v>26</v>
      </c>
      <c r="E1997" s="2" t="s">
        <v>19</v>
      </c>
      <c r="F1997" s="2">
        <v>7.76105724E9</v>
      </c>
    </row>
    <row r="1998" ht="15.75" customHeight="1">
      <c r="A1998" s="2" t="s">
        <v>1325</v>
      </c>
      <c r="B1998" s="2" t="s">
        <v>55</v>
      </c>
      <c r="C1998" s="2" t="s">
        <v>240</v>
      </c>
      <c r="D1998" s="2" t="s">
        <v>9</v>
      </c>
      <c r="E1998" s="2" t="s">
        <v>19</v>
      </c>
      <c r="F1998" s="2">
        <v>9.304000283E9</v>
      </c>
    </row>
    <row r="1999" ht="15.75" customHeight="1">
      <c r="A1999" s="2" t="s">
        <v>1011</v>
      </c>
      <c r="B1999" s="2" t="s">
        <v>303</v>
      </c>
      <c r="C1999" s="2" t="s">
        <v>399</v>
      </c>
      <c r="D1999" s="2" t="s">
        <v>56</v>
      </c>
      <c r="E1999" s="2" t="s">
        <v>23</v>
      </c>
      <c r="F1999" s="2">
        <v>9.852741318E9</v>
      </c>
    </row>
    <row r="2000" ht="15.75" customHeight="1">
      <c r="A2000" s="2" t="s">
        <v>2141</v>
      </c>
      <c r="B2000" s="2" t="s">
        <v>909</v>
      </c>
      <c r="C2000" s="2" t="s">
        <v>2142</v>
      </c>
      <c r="D2000" s="2" t="s">
        <v>26</v>
      </c>
      <c r="E2000" s="2" t="s">
        <v>23</v>
      </c>
      <c r="F2000" s="2">
        <v>7.870073008E9</v>
      </c>
    </row>
    <row r="2001" ht="15.75" customHeight="1">
      <c r="A2001" s="2" t="s">
        <v>364</v>
      </c>
      <c r="B2001" s="2" t="s">
        <v>2143</v>
      </c>
      <c r="C2001" s="2" t="s">
        <v>455</v>
      </c>
      <c r="D2001" s="2" t="s">
        <v>26</v>
      </c>
      <c r="E2001" s="2" t="s">
        <v>19</v>
      </c>
      <c r="F2001" s="2">
        <v>7.979044592E9</v>
      </c>
    </row>
    <row r="2002" ht="15.75" customHeight="1">
      <c r="A2002" s="2" t="s">
        <v>2144</v>
      </c>
      <c r="B2002" s="2" t="s">
        <v>50</v>
      </c>
      <c r="C2002" s="2" t="s">
        <v>133</v>
      </c>
      <c r="D2002" s="2" t="s">
        <v>26</v>
      </c>
      <c r="E2002" s="2" t="s">
        <v>19</v>
      </c>
      <c r="F2002" s="2">
        <v>7.29296123E9</v>
      </c>
    </row>
    <row r="2003" ht="15.75" customHeight="1">
      <c r="A2003" s="2" t="s">
        <v>2145</v>
      </c>
      <c r="B2003" s="2" t="s">
        <v>344</v>
      </c>
      <c r="C2003" s="2" t="s">
        <v>305</v>
      </c>
      <c r="D2003" s="2" t="s">
        <v>26</v>
      </c>
      <c r="E2003" s="2" t="s">
        <v>19</v>
      </c>
      <c r="F2003" s="2">
        <v>9.508295716E9</v>
      </c>
    </row>
    <row r="2004" ht="15.75" customHeight="1">
      <c r="A2004" s="2" t="s">
        <v>1011</v>
      </c>
      <c r="B2004" s="2" t="s">
        <v>1306</v>
      </c>
      <c r="C2004" s="2" t="s">
        <v>556</v>
      </c>
      <c r="D2004" s="2" t="s">
        <v>29</v>
      </c>
      <c r="E2004" s="2" t="s">
        <v>255</v>
      </c>
      <c r="F2004" s="2">
        <v>9.716543201E9</v>
      </c>
    </row>
    <row r="2005" ht="15.75" customHeight="1">
      <c r="A2005" s="2" t="s">
        <v>2146</v>
      </c>
      <c r="B2005" s="2" t="s">
        <v>2147</v>
      </c>
      <c r="C2005" s="2" t="s">
        <v>1326</v>
      </c>
      <c r="D2005" s="2" t="s">
        <v>26</v>
      </c>
      <c r="E2005" s="2" t="s">
        <v>23</v>
      </c>
      <c r="F2005" s="2">
        <v>9.201264373E9</v>
      </c>
    </row>
    <row r="2006" ht="15.75" customHeight="1">
      <c r="A2006" s="2" t="s">
        <v>1194</v>
      </c>
      <c r="B2006" s="2" t="s">
        <v>113</v>
      </c>
      <c r="C2006" s="2" t="s">
        <v>1473</v>
      </c>
      <c r="D2006" s="2" t="s">
        <v>56</v>
      </c>
      <c r="E2006" s="2" t="s">
        <v>19</v>
      </c>
      <c r="F2006" s="2">
        <v>7.63495309E9</v>
      </c>
    </row>
    <row r="2007" ht="15.75" customHeight="1">
      <c r="A2007" s="2" t="s">
        <v>364</v>
      </c>
      <c r="B2007" s="2" t="s">
        <v>922</v>
      </c>
      <c r="C2007" s="2" t="s">
        <v>2148</v>
      </c>
      <c r="D2007" s="2" t="s">
        <v>56</v>
      </c>
      <c r="E2007" s="2" t="s">
        <v>19</v>
      </c>
      <c r="F2007" s="2">
        <v>8.39891198E9</v>
      </c>
    </row>
    <row r="2008" ht="15.75" customHeight="1">
      <c r="A2008" s="2" t="s">
        <v>1011</v>
      </c>
      <c r="B2008" s="2" t="s">
        <v>1306</v>
      </c>
      <c r="C2008" s="2" t="s">
        <v>399</v>
      </c>
      <c r="D2008" s="2" t="s">
        <v>26</v>
      </c>
      <c r="E2008" s="2" t="s">
        <v>23</v>
      </c>
      <c r="F2008" s="2">
        <v>6.204392042E9</v>
      </c>
    </row>
    <row r="2009" ht="15.75" customHeight="1">
      <c r="A2009" s="2" t="s">
        <v>2149</v>
      </c>
      <c r="B2009" s="2" t="s">
        <v>1724</v>
      </c>
      <c r="C2009" s="2" t="s">
        <v>330</v>
      </c>
      <c r="D2009" s="2" t="s">
        <v>9</v>
      </c>
      <c r="E2009" s="2" t="s">
        <v>19</v>
      </c>
      <c r="F2009" s="2">
        <v>9.234444015E9</v>
      </c>
    </row>
    <row r="2010" ht="15.75" customHeight="1">
      <c r="A2010" s="2" t="s">
        <v>2150</v>
      </c>
      <c r="B2010" s="2" t="s">
        <v>746</v>
      </c>
      <c r="C2010" s="2" t="s">
        <v>2093</v>
      </c>
      <c r="D2010" s="2" t="s">
        <v>14</v>
      </c>
      <c r="E2010" s="2" t="s">
        <v>23</v>
      </c>
      <c r="F2010" s="2">
        <v>9.630303106E9</v>
      </c>
    </row>
    <row r="2011" ht="15.75" customHeight="1">
      <c r="A2011" s="2" t="s">
        <v>2151</v>
      </c>
      <c r="B2011" s="2" t="s">
        <v>63</v>
      </c>
      <c r="C2011" s="2" t="s">
        <v>627</v>
      </c>
      <c r="D2011" s="2" t="s">
        <v>44</v>
      </c>
      <c r="E2011" s="2" t="s">
        <v>19</v>
      </c>
      <c r="F2011" s="2">
        <v>6.206658128E9</v>
      </c>
    </row>
    <row r="2012" ht="15.75" customHeight="1">
      <c r="A2012" s="2" t="s">
        <v>2152</v>
      </c>
      <c r="B2012" s="2" t="s">
        <v>65</v>
      </c>
      <c r="C2012" s="2" t="s">
        <v>221</v>
      </c>
      <c r="D2012" s="2" t="s">
        <v>56</v>
      </c>
      <c r="E2012" s="2" t="s">
        <v>19</v>
      </c>
      <c r="F2012" s="2">
        <v>8.271396633E9</v>
      </c>
    </row>
    <row r="2013" ht="15.75" customHeight="1">
      <c r="A2013" s="2" t="s">
        <v>364</v>
      </c>
      <c r="B2013" s="2" t="s">
        <v>50</v>
      </c>
      <c r="C2013" s="2" t="s">
        <v>305</v>
      </c>
      <c r="D2013" s="2" t="s">
        <v>26</v>
      </c>
      <c r="E2013" s="2" t="s">
        <v>19</v>
      </c>
      <c r="F2013" s="2">
        <v>9.166241963E9</v>
      </c>
    </row>
    <row r="2014" ht="15.75" customHeight="1">
      <c r="A2014" s="2" t="s">
        <v>1011</v>
      </c>
      <c r="B2014" s="2" t="s">
        <v>55</v>
      </c>
      <c r="C2014" s="2" t="s">
        <v>821</v>
      </c>
      <c r="D2014" s="2" t="s">
        <v>56</v>
      </c>
      <c r="E2014" s="2" t="s">
        <v>255</v>
      </c>
      <c r="F2014" s="2">
        <v>8.541830499E9</v>
      </c>
    </row>
    <row r="2015" ht="15.75" customHeight="1">
      <c r="A2015" s="2" t="s">
        <v>2153</v>
      </c>
      <c r="B2015" s="2" t="s">
        <v>2105</v>
      </c>
      <c r="C2015" s="2" t="s">
        <v>1001</v>
      </c>
      <c r="D2015" s="2" t="s">
        <v>14</v>
      </c>
      <c r="E2015" s="2" t="s">
        <v>23</v>
      </c>
      <c r="F2015" s="2">
        <v>6.299930993E9</v>
      </c>
    </row>
    <row r="2016" ht="15.75" customHeight="1">
      <c r="A2016" s="2" t="s">
        <v>642</v>
      </c>
      <c r="B2016" s="2" t="s">
        <v>2154</v>
      </c>
      <c r="C2016" s="2" t="s">
        <v>1416</v>
      </c>
      <c r="D2016" s="2" t="s">
        <v>14</v>
      </c>
      <c r="E2016" s="2" t="s">
        <v>23</v>
      </c>
      <c r="F2016" s="2">
        <v>9.70725322E9</v>
      </c>
    </row>
    <row r="2017" ht="15.75" customHeight="1">
      <c r="A2017" s="2" t="s">
        <v>1011</v>
      </c>
      <c r="B2017" s="2" t="s">
        <v>2155</v>
      </c>
      <c r="C2017" s="2" t="s">
        <v>274</v>
      </c>
      <c r="D2017" s="2" t="s">
        <v>44</v>
      </c>
      <c r="E2017" s="2" t="s">
        <v>23</v>
      </c>
      <c r="F2017" s="2">
        <v>6.203005482E9</v>
      </c>
    </row>
    <row r="2018" ht="15.75" customHeight="1">
      <c r="A2018" s="2" t="s">
        <v>2156</v>
      </c>
      <c r="B2018" s="2" t="s">
        <v>618</v>
      </c>
      <c r="C2018" s="2" t="s">
        <v>235</v>
      </c>
      <c r="D2018" s="2" t="s">
        <v>26</v>
      </c>
      <c r="E2018" s="2" t="s">
        <v>19</v>
      </c>
      <c r="F2018" s="2">
        <v>8.210460504E9</v>
      </c>
    </row>
    <row r="2019" ht="15.75" customHeight="1">
      <c r="A2019" s="2" t="s">
        <v>364</v>
      </c>
      <c r="B2019" s="2" t="s">
        <v>50</v>
      </c>
      <c r="C2019" s="2" t="s">
        <v>1113</v>
      </c>
      <c r="D2019" s="2" t="s">
        <v>56</v>
      </c>
      <c r="E2019" s="2" t="s">
        <v>19</v>
      </c>
      <c r="F2019" s="2">
        <v>7.480044407E9</v>
      </c>
    </row>
    <row r="2020" ht="15.75" customHeight="1">
      <c r="A2020" s="2" t="s">
        <v>2157</v>
      </c>
      <c r="B2020" s="2" t="s">
        <v>2158</v>
      </c>
      <c r="C2020" s="3" t="s">
        <v>2159</v>
      </c>
      <c r="D2020" s="2" t="s">
        <v>26</v>
      </c>
      <c r="E2020" s="2" t="s">
        <v>19</v>
      </c>
      <c r="F2020" s="2">
        <v>8.434684917E9</v>
      </c>
    </row>
    <row r="2021" ht="15.75" customHeight="1">
      <c r="A2021" s="2" t="s">
        <v>642</v>
      </c>
      <c r="B2021" s="2" t="s">
        <v>328</v>
      </c>
      <c r="C2021" s="2" t="s">
        <v>1004</v>
      </c>
      <c r="D2021" s="2" t="s">
        <v>56</v>
      </c>
      <c r="E2021" s="2" t="s">
        <v>23</v>
      </c>
      <c r="F2021" s="2">
        <v>9.234267191E9</v>
      </c>
    </row>
    <row r="2022" ht="15.75" customHeight="1">
      <c r="A2022" s="2" t="s">
        <v>1483</v>
      </c>
      <c r="B2022" s="2" t="s">
        <v>65</v>
      </c>
      <c r="C2022" s="2" t="s">
        <v>2160</v>
      </c>
      <c r="D2022" s="2" t="s">
        <v>26</v>
      </c>
      <c r="E2022" s="2" t="s">
        <v>19</v>
      </c>
      <c r="F2022" s="2">
        <v>9.709125644E9</v>
      </c>
    </row>
    <row r="2023" ht="15.75" customHeight="1">
      <c r="A2023" s="2" t="s">
        <v>945</v>
      </c>
      <c r="B2023" s="2" t="s">
        <v>1397</v>
      </c>
      <c r="C2023" s="2" t="s">
        <v>2089</v>
      </c>
      <c r="D2023" s="2" t="s">
        <v>56</v>
      </c>
      <c r="E2023" s="2" t="s">
        <v>23</v>
      </c>
      <c r="F2023" s="2">
        <v>6.204212304E9</v>
      </c>
    </row>
    <row r="2024" ht="15.75" customHeight="1">
      <c r="A2024" s="2" t="s">
        <v>364</v>
      </c>
      <c r="B2024" s="2" t="s">
        <v>1147</v>
      </c>
      <c r="C2024" s="2" t="s">
        <v>309</v>
      </c>
      <c r="D2024" s="2" t="s">
        <v>26</v>
      </c>
      <c r="E2024" s="2" t="s">
        <v>19</v>
      </c>
      <c r="F2024" s="2">
        <v>9.798189464E9</v>
      </c>
    </row>
    <row r="2025" ht="15.75" customHeight="1">
      <c r="A2025" s="2" t="s">
        <v>2161</v>
      </c>
      <c r="B2025" s="2" t="s">
        <v>55</v>
      </c>
      <c r="C2025" s="2" t="s">
        <v>592</v>
      </c>
      <c r="D2025" s="2" t="s">
        <v>56</v>
      </c>
      <c r="E2025" s="2" t="s">
        <v>255</v>
      </c>
      <c r="F2025" s="2">
        <v>7.360093615E9</v>
      </c>
    </row>
    <row r="2026" ht="15.75" customHeight="1">
      <c r="A2026" s="2" t="s">
        <v>2162</v>
      </c>
      <c r="B2026" s="2" t="s">
        <v>55</v>
      </c>
      <c r="C2026" s="2" t="s">
        <v>133</v>
      </c>
      <c r="D2026" s="2" t="s">
        <v>102</v>
      </c>
      <c r="E2026" s="2" t="s">
        <v>19</v>
      </c>
      <c r="F2026" s="2">
        <v>8.102666682E9</v>
      </c>
    </row>
    <row r="2027" ht="15.75" customHeight="1">
      <c r="A2027" s="2" t="s">
        <v>1153</v>
      </c>
      <c r="B2027" s="2" t="s">
        <v>2163</v>
      </c>
      <c r="C2027" s="2" t="s">
        <v>216</v>
      </c>
      <c r="D2027" s="2" t="s">
        <v>26</v>
      </c>
      <c r="E2027" s="2" t="s">
        <v>23</v>
      </c>
      <c r="F2027" s="2">
        <v>9.835682951E9</v>
      </c>
    </row>
    <row r="2028" ht="15.75" customHeight="1">
      <c r="A2028" s="2" t="s">
        <v>385</v>
      </c>
      <c r="B2028" s="2" t="s">
        <v>2164</v>
      </c>
      <c r="C2028" s="2" t="s">
        <v>412</v>
      </c>
      <c r="D2028" s="2" t="s">
        <v>26</v>
      </c>
      <c r="E2028" s="2" t="s">
        <v>19</v>
      </c>
      <c r="F2028" s="2">
        <v>8.709422215E9</v>
      </c>
    </row>
    <row r="2029" ht="15.75" customHeight="1">
      <c r="A2029" s="2" t="s">
        <v>642</v>
      </c>
      <c r="B2029" s="2" t="s">
        <v>191</v>
      </c>
      <c r="C2029" s="2" t="s">
        <v>686</v>
      </c>
      <c r="D2029" s="2" t="s">
        <v>26</v>
      </c>
      <c r="E2029" s="2" t="s">
        <v>23</v>
      </c>
      <c r="F2029" s="2">
        <v>8.210268225E9</v>
      </c>
    </row>
    <row r="2030" ht="15.75" customHeight="1">
      <c r="A2030" s="2" t="s">
        <v>364</v>
      </c>
      <c r="B2030" s="2" t="s">
        <v>2165</v>
      </c>
      <c r="C2030" s="2" t="s">
        <v>1113</v>
      </c>
      <c r="D2030" s="2" t="s">
        <v>26</v>
      </c>
      <c r="E2030" s="2" t="s">
        <v>19</v>
      </c>
      <c r="F2030" s="2">
        <v>7.54912575E9</v>
      </c>
    </row>
    <row r="2031" ht="15.75" customHeight="1">
      <c r="A2031" s="2" t="s">
        <v>1153</v>
      </c>
      <c r="B2031" s="2" t="s">
        <v>153</v>
      </c>
      <c r="C2031" s="2" t="s">
        <v>325</v>
      </c>
      <c r="D2031" s="2" t="s">
        <v>26</v>
      </c>
      <c r="E2031" s="2" t="s">
        <v>255</v>
      </c>
      <c r="F2031" s="2">
        <v>9.234573822E9</v>
      </c>
    </row>
    <row r="2032" ht="15.75" customHeight="1">
      <c r="A2032" s="2" t="s">
        <v>1522</v>
      </c>
      <c r="B2032" s="2" t="s">
        <v>1522</v>
      </c>
      <c r="C2032" s="2" t="s">
        <v>2166</v>
      </c>
      <c r="D2032" s="2" t="s">
        <v>29</v>
      </c>
      <c r="E2032" s="2" t="s">
        <v>19</v>
      </c>
      <c r="F2032" s="2">
        <v>8.102508708E9</v>
      </c>
    </row>
    <row r="2033" ht="15.75" customHeight="1">
      <c r="A2033" s="2" t="s">
        <v>535</v>
      </c>
      <c r="B2033" s="2" t="s">
        <v>2167</v>
      </c>
      <c r="C2033" s="2" t="s">
        <v>2168</v>
      </c>
      <c r="D2033" s="2" t="s">
        <v>56</v>
      </c>
      <c r="E2033" s="2" t="s">
        <v>19</v>
      </c>
      <c r="F2033" s="2">
        <v>7.004875363E9</v>
      </c>
    </row>
    <row r="2034" ht="15.75" customHeight="1">
      <c r="A2034" s="2" t="s">
        <v>945</v>
      </c>
      <c r="B2034" s="2" t="s">
        <v>2169</v>
      </c>
      <c r="C2034" s="2" t="s">
        <v>1004</v>
      </c>
      <c r="D2034" s="2" t="s">
        <v>29</v>
      </c>
      <c r="E2034" s="2" t="s">
        <v>23</v>
      </c>
      <c r="F2034" s="2">
        <v>7.033357103E9</v>
      </c>
    </row>
    <row r="2035" ht="15.75" customHeight="1">
      <c r="A2035" s="2" t="s">
        <v>1851</v>
      </c>
      <c r="B2035" s="2" t="s">
        <v>1732</v>
      </c>
      <c r="C2035" s="2" t="s">
        <v>200</v>
      </c>
      <c r="D2035" s="2" t="s">
        <v>26</v>
      </c>
      <c r="E2035" s="2" t="s">
        <v>19</v>
      </c>
      <c r="F2035" s="2">
        <v>8.084166286E9</v>
      </c>
    </row>
    <row r="2036" ht="15.75" customHeight="1">
      <c r="A2036" s="2" t="s">
        <v>94</v>
      </c>
      <c r="B2036" s="2" t="s">
        <v>50</v>
      </c>
      <c r="C2036" s="2" t="s">
        <v>412</v>
      </c>
      <c r="D2036" s="2" t="s">
        <v>9</v>
      </c>
      <c r="E2036" s="2" t="s">
        <v>19</v>
      </c>
      <c r="F2036" s="2">
        <v>9.162658369E9</v>
      </c>
    </row>
    <row r="2037" ht="15.75" customHeight="1">
      <c r="A2037" s="2" t="s">
        <v>1153</v>
      </c>
      <c r="B2037" s="2" t="s">
        <v>212</v>
      </c>
      <c r="C2037" s="2" t="s">
        <v>295</v>
      </c>
      <c r="D2037" s="2" t="s">
        <v>26</v>
      </c>
      <c r="E2037" s="2" t="s">
        <v>23</v>
      </c>
      <c r="F2037" s="2">
        <v>9.608479607E9</v>
      </c>
    </row>
    <row r="2038" ht="15.75" customHeight="1">
      <c r="A2038" s="2" t="s">
        <v>642</v>
      </c>
      <c r="B2038" s="2" t="s">
        <v>2170</v>
      </c>
      <c r="C2038" s="2" t="s">
        <v>1326</v>
      </c>
      <c r="D2038" s="2" t="s">
        <v>56</v>
      </c>
      <c r="E2038" s="2" t="s">
        <v>23</v>
      </c>
      <c r="F2038" s="2">
        <v>6.202786784E9</v>
      </c>
    </row>
    <row r="2039" ht="15.75" customHeight="1">
      <c r="A2039" s="2" t="s">
        <v>2171</v>
      </c>
      <c r="B2039" s="2" t="s">
        <v>960</v>
      </c>
      <c r="C2039" s="2" t="s">
        <v>455</v>
      </c>
      <c r="D2039" s="2" t="s">
        <v>44</v>
      </c>
      <c r="E2039" s="2" t="s">
        <v>19</v>
      </c>
      <c r="F2039" s="2">
        <v>9.142597814E9</v>
      </c>
    </row>
    <row r="2040" ht="15.75" customHeight="1">
      <c r="A2040" s="2" t="s">
        <v>2172</v>
      </c>
      <c r="B2040" s="2" t="s">
        <v>960</v>
      </c>
      <c r="C2040" s="2" t="s">
        <v>1024</v>
      </c>
      <c r="D2040" s="2" t="s">
        <v>14</v>
      </c>
      <c r="E2040" s="2" t="s">
        <v>19</v>
      </c>
      <c r="F2040" s="2">
        <v>9.931689599E9</v>
      </c>
    </row>
    <row r="2041" ht="15.75" customHeight="1">
      <c r="A2041" s="2" t="s">
        <v>1153</v>
      </c>
      <c r="B2041" s="2" t="s">
        <v>2155</v>
      </c>
      <c r="C2041" s="2" t="s">
        <v>274</v>
      </c>
      <c r="D2041" s="2" t="s">
        <v>44</v>
      </c>
      <c r="E2041" s="2" t="s">
        <v>255</v>
      </c>
      <c r="F2041" s="2">
        <v>9.709176026E9</v>
      </c>
    </row>
    <row r="2042" ht="15.75" customHeight="1">
      <c r="A2042" s="2" t="s">
        <v>1386</v>
      </c>
      <c r="B2042" s="2" t="s">
        <v>50</v>
      </c>
      <c r="C2042" s="2" t="s">
        <v>181</v>
      </c>
      <c r="D2042" s="2" t="s">
        <v>26</v>
      </c>
      <c r="E2042" s="2" t="s">
        <v>19</v>
      </c>
      <c r="F2042" s="2">
        <v>7.869014026E9</v>
      </c>
    </row>
    <row r="2043" ht="15.75" customHeight="1">
      <c r="A2043" s="2" t="s">
        <v>2173</v>
      </c>
      <c r="B2043" s="2" t="s">
        <v>2174</v>
      </c>
      <c r="C2043" s="2" t="s">
        <v>2175</v>
      </c>
      <c r="D2043" s="2" t="s">
        <v>56</v>
      </c>
      <c r="E2043" s="2" t="s">
        <v>23</v>
      </c>
      <c r="F2043" s="2">
        <v>9.572831508E9</v>
      </c>
    </row>
    <row r="2044" ht="15.75" customHeight="1">
      <c r="A2044" s="2" t="s">
        <v>2176</v>
      </c>
      <c r="B2044" s="2" t="s">
        <v>654</v>
      </c>
      <c r="C2044" s="2" t="s">
        <v>1113</v>
      </c>
      <c r="D2044" s="2" t="s">
        <v>9</v>
      </c>
      <c r="E2044" s="2" t="s">
        <v>19</v>
      </c>
      <c r="F2044" s="2">
        <v>9.110072184E9</v>
      </c>
    </row>
    <row r="2045" ht="15.75" customHeight="1">
      <c r="A2045" s="2" t="s">
        <v>1153</v>
      </c>
      <c r="B2045" s="2" t="s">
        <v>559</v>
      </c>
      <c r="C2045" s="2" t="s">
        <v>1034</v>
      </c>
      <c r="D2045" s="2" t="s">
        <v>26</v>
      </c>
      <c r="E2045" s="2" t="s">
        <v>23</v>
      </c>
      <c r="F2045" s="2">
        <v>9.991579887E9</v>
      </c>
    </row>
    <row r="2046" ht="15.75" customHeight="1">
      <c r="A2046" s="2" t="s">
        <v>2177</v>
      </c>
      <c r="B2046" s="2" t="s">
        <v>65</v>
      </c>
      <c r="C2046" s="2" t="s">
        <v>235</v>
      </c>
      <c r="D2046" s="2" t="s">
        <v>26</v>
      </c>
      <c r="E2046" s="2" t="s">
        <v>19</v>
      </c>
      <c r="F2046" s="2">
        <v>8.271519181E9</v>
      </c>
    </row>
    <row r="2047" ht="15.75" customHeight="1">
      <c r="A2047" s="2" t="s">
        <v>642</v>
      </c>
      <c r="B2047" s="2" t="s">
        <v>642</v>
      </c>
      <c r="C2047" s="2" t="s">
        <v>1326</v>
      </c>
      <c r="D2047" s="2" t="s">
        <v>56</v>
      </c>
      <c r="E2047" s="2" t="s">
        <v>23</v>
      </c>
      <c r="F2047" s="2">
        <v>7.923344001E9</v>
      </c>
    </row>
    <row r="2048" ht="15.75" customHeight="1">
      <c r="A2048" s="2" t="s">
        <v>1711</v>
      </c>
      <c r="B2048" s="2" t="s">
        <v>63</v>
      </c>
      <c r="C2048" s="2" t="s">
        <v>1458</v>
      </c>
      <c r="D2048" s="2" t="s">
        <v>29</v>
      </c>
      <c r="E2048" s="2" t="s">
        <v>19</v>
      </c>
      <c r="F2048" s="2">
        <v>7.604294314E9</v>
      </c>
    </row>
    <row r="2049" ht="15.75" customHeight="1">
      <c r="A2049" s="2" t="s">
        <v>2178</v>
      </c>
      <c r="B2049" s="2" t="s">
        <v>212</v>
      </c>
      <c r="C2049" s="2" t="s">
        <v>237</v>
      </c>
      <c r="D2049" s="2" t="s">
        <v>56</v>
      </c>
      <c r="E2049" s="2" t="s">
        <v>255</v>
      </c>
      <c r="F2049" s="2">
        <v>9.939120603E9</v>
      </c>
    </row>
    <row r="2050" ht="15.75" customHeight="1">
      <c r="A2050" s="2" t="s">
        <v>2176</v>
      </c>
      <c r="B2050" s="2" t="s">
        <v>78</v>
      </c>
      <c r="C2050" s="2" t="s">
        <v>309</v>
      </c>
      <c r="D2050" s="2" t="s">
        <v>9</v>
      </c>
      <c r="E2050" s="2" t="s">
        <v>19</v>
      </c>
      <c r="F2050" s="2">
        <v>9.431325926E9</v>
      </c>
    </row>
    <row r="2051" ht="15.75" customHeight="1">
      <c r="A2051" s="2" t="s">
        <v>2098</v>
      </c>
      <c r="B2051" s="2" t="s">
        <v>65</v>
      </c>
      <c r="C2051" s="2" t="s">
        <v>235</v>
      </c>
      <c r="D2051" s="2" t="s">
        <v>26</v>
      </c>
      <c r="E2051" s="2" t="s">
        <v>19</v>
      </c>
      <c r="F2051" s="2">
        <v>8.108259991E9</v>
      </c>
    </row>
    <row r="2052" ht="15.75" customHeight="1">
      <c r="A2052" s="2" t="s">
        <v>2179</v>
      </c>
      <c r="B2052" s="2" t="s">
        <v>55</v>
      </c>
      <c r="C2052" s="2" t="s">
        <v>2096</v>
      </c>
      <c r="D2052" s="2" t="s">
        <v>26</v>
      </c>
      <c r="E2052" s="2" t="s">
        <v>23</v>
      </c>
      <c r="F2052" s="2">
        <v>8.969968397E9</v>
      </c>
    </row>
    <row r="2053" ht="15.75" customHeight="1">
      <c r="A2053" s="2" t="s">
        <v>2180</v>
      </c>
      <c r="B2053" s="2" t="s">
        <v>1480</v>
      </c>
      <c r="C2053" s="2" t="s">
        <v>1001</v>
      </c>
      <c r="D2053" s="2" t="s">
        <v>56</v>
      </c>
      <c r="E2053" s="2" t="s">
        <v>23</v>
      </c>
      <c r="F2053" s="2">
        <v>9.234761725E9</v>
      </c>
    </row>
    <row r="2054" ht="15.75" customHeight="1">
      <c r="A2054" s="2" t="s">
        <v>298</v>
      </c>
      <c r="B2054" s="2" t="s">
        <v>50</v>
      </c>
      <c r="C2054" s="2" t="s">
        <v>1408</v>
      </c>
      <c r="D2054" s="2" t="s">
        <v>56</v>
      </c>
      <c r="E2054" s="2" t="s">
        <v>19</v>
      </c>
      <c r="F2054" s="2">
        <v>9.598680812E9</v>
      </c>
    </row>
    <row r="2055" ht="15.75" customHeight="1">
      <c r="A2055" s="2" t="s">
        <v>1766</v>
      </c>
      <c r="B2055" s="2" t="s">
        <v>55</v>
      </c>
      <c r="C2055" s="2" t="s">
        <v>821</v>
      </c>
      <c r="D2055" s="2" t="s">
        <v>26</v>
      </c>
      <c r="E2055" s="2" t="s">
        <v>255</v>
      </c>
      <c r="F2055" s="2">
        <v>8.709461785E9</v>
      </c>
    </row>
    <row r="2056" ht="15.75" customHeight="1">
      <c r="A2056" s="2" t="s">
        <v>186</v>
      </c>
      <c r="B2056" s="2" t="s">
        <v>2181</v>
      </c>
      <c r="C2056" s="2" t="s">
        <v>305</v>
      </c>
      <c r="D2056" s="2" t="s">
        <v>29</v>
      </c>
      <c r="E2056" s="2" t="s">
        <v>19</v>
      </c>
      <c r="F2056" s="2">
        <v>9.905880027E9</v>
      </c>
    </row>
    <row r="2057" ht="15.75" customHeight="1">
      <c r="A2057" s="2" t="s">
        <v>2182</v>
      </c>
      <c r="B2057" s="2" t="s">
        <v>212</v>
      </c>
      <c r="C2057" s="2" t="s">
        <v>2183</v>
      </c>
      <c r="D2057" s="2" t="s">
        <v>29</v>
      </c>
      <c r="E2057" s="2" t="s">
        <v>23</v>
      </c>
      <c r="F2057" s="2">
        <v>7.654065791E9</v>
      </c>
    </row>
    <row r="2058" ht="15.75" customHeight="1">
      <c r="A2058" s="2" t="s">
        <v>2176</v>
      </c>
      <c r="B2058" s="2" t="s">
        <v>382</v>
      </c>
      <c r="C2058" s="2" t="s">
        <v>1113</v>
      </c>
      <c r="D2058" s="2" t="s">
        <v>26</v>
      </c>
      <c r="E2058" s="2" t="s">
        <v>19</v>
      </c>
      <c r="F2058" s="2">
        <v>9.835719336E9</v>
      </c>
    </row>
    <row r="2059" ht="15.75" customHeight="1">
      <c r="A2059" s="2" t="s">
        <v>1031</v>
      </c>
      <c r="B2059" s="2" t="s">
        <v>55</v>
      </c>
      <c r="C2059" s="2" t="s">
        <v>354</v>
      </c>
      <c r="D2059" s="2" t="s">
        <v>26</v>
      </c>
      <c r="E2059" s="2" t="s">
        <v>19</v>
      </c>
      <c r="F2059" s="2">
        <v>9.470947695E9</v>
      </c>
    </row>
    <row r="2060" ht="15.75" customHeight="1">
      <c r="A2060" s="2" t="s">
        <v>1766</v>
      </c>
      <c r="B2060" s="2" t="s">
        <v>2184</v>
      </c>
      <c r="C2060" s="2" t="s">
        <v>210</v>
      </c>
      <c r="D2060" s="2" t="s">
        <v>102</v>
      </c>
      <c r="E2060" s="2" t="s">
        <v>23</v>
      </c>
      <c r="F2060" s="2">
        <v>9.03217632E9</v>
      </c>
    </row>
    <row r="2061" ht="15.75" customHeight="1">
      <c r="A2061" s="2" t="s">
        <v>991</v>
      </c>
      <c r="B2061" s="2" t="s">
        <v>1658</v>
      </c>
      <c r="C2061" s="2" t="s">
        <v>305</v>
      </c>
      <c r="D2061" s="2" t="s">
        <v>44</v>
      </c>
      <c r="E2061" s="2" t="s">
        <v>19</v>
      </c>
      <c r="F2061" s="2">
        <v>7.061266378E9</v>
      </c>
    </row>
    <row r="2062" ht="15.75" customHeight="1">
      <c r="A2062" s="2" t="s">
        <v>1766</v>
      </c>
      <c r="B2062" s="2" t="s">
        <v>389</v>
      </c>
      <c r="C2062" s="2" t="s">
        <v>914</v>
      </c>
      <c r="D2062" s="2" t="s">
        <v>44</v>
      </c>
      <c r="E2062" s="2" t="s">
        <v>255</v>
      </c>
      <c r="F2062" s="2">
        <v>7.004205428E9</v>
      </c>
    </row>
    <row r="2063" ht="15.75" customHeight="1">
      <c r="A2063" s="2" t="s">
        <v>2185</v>
      </c>
      <c r="B2063" s="2" t="s">
        <v>1912</v>
      </c>
      <c r="C2063" s="2" t="s">
        <v>1292</v>
      </c>
      <c r="D2063" s="2" t="s">
        <v>56</v>
      </c>
      <c r="E2063" s="2" t="s">
        <v>19</v>
      </c>
      <c r="F2063" s="2">
        <v>7.97871645E9</v>
      </c>
    </row>
    <row r="2064" ht="15.75" customHeight="1">
      <c r="A2064" s="2" t="s">
        <v>98</v>
      </c>
      <c r="B2064" s="2" t="s">
        <v>50</v>
      </c>
      <c r="C2064" s="2" t="s">
        <v>650</v>
      </c>
      <c r="D2064" s="2" t="s">
        <v>29</v>
      </c>
      <c r="E2064" s="2" t="s">
        <v>19</v>
      </c>
      <c r="F2064" s="2">
        <v>7.488108699E9</v>
      </c>
    </row>
    <row r="2065" ht="15.75" customHeight="1">
      <c r="A2065" s="2" t="s">
        <v>2186</v>
      </c>
      <c r="B2065" s="2" t="s">
        <v>2187</v>
      </c>
      <c r="C2065" s="2" t="s">
        <v>713</v>
      </c>
      <c r="D2065" s="2" t="s">
        <v>56</v>
      </c>
      <c r="E2065" s="2" t="s">
        <v>23</v>
      </c>
      <c r="F2065" s="2">
        <v>9.431382614E9</v>
      </c>
    </row>
    <row r="2066" ht="15.75" customHeight="1">
      <c r="A2066" s="2" t="s">
        <v>2188</v>
      </c>
      <c r="B2066" s="2" t="s">
        <v>55</v>
      </c>
      <c r="C2066" s="2" t="s">
        <v>543</v>
      </c>
      <c r="D2066" s="2" t="s">
        <v>29</v>
      </c>
      <c r="E2066" s="2" t="s">
        <v>23</v>
      </c>
      <c r="F2066" s="2">
        <v>9.920523512E9</v>
      </c>
    </row>
    <row r="2067" ht="15.75" customHeight="1">
      <c r="A2067" s="2" t="s">
        <v>2189</v>
      </c>
      <c r="B2067" s="2" t="s">
        <v>2046</v>
      </c>
      <c r="C2067" s="2" t="s">
        <v>230</v>
      </c>
      <c r="D2067" s="2" t="s">
        <v>56</v>
      </c>
      <c r="E2067" s="2" t="s">
        <v>19</v>
      </c>
      <c r="F2067" s="2">
        <v>9.855128877E9</v>
      </c>
    </row>
    <row r="2068" ht="15.75" customHeight="1">
      <c r="A2068" s="2" t="s">
        <v>241</v>
      </c>
      <c r="B2068" s="2" t="s">
        <v>212</v>
      </c>
      <c r="C2068" s="2" t="s">
        <v>2190</v>
      </c>
      <c r="D2068" s="2" t="s">
        <v>44</v>
      </c>
      <c r="E2068" s="2" t="s">
        <v>23</v>
      </c>
      <c r="F2068" s="2">
        <v>6.721464398E9</v>
      </c>
    </row>
    <row r="2069" ht="15.75" customHeight="1">
      <c r="A2069" s="2" t="s">
        <v>2191</v>
      </c>
      <c r="B2069" s="2" t="s">
        <v>65</v>
      </c>
      <c r="C2069" s="2" t="s">
        <v>235</v>
      </c>
      <c r="D2069" s="2" t="s">
        <v>26</v>
      </c>
      <c r="E2069" s="2" t="s">
        <v>19</v>
      </c>
      <c r="F2069" s="2">
        <v>8.210471929E9</v>
      </c>
    </row>
    <row r="2070" ht="15.75" customHeight="1">
      <c r="A2070" s="2" t="s">
        <v>2192</v>
      </c>
      <c r="B2070" s="2" t="s">
        <v>2192</v>
      </c>
      <c r="C2070" s="2" t="s">
        <v>1066</v>
      </c>
      <c r="D2070" s="2" t="s">
        <v>9</v>
      </c>
      <c r="E2070" s="2" t="s">
        <v>19</v>
      </c>
      <c r="F2070" s="2">
        <v>7.677052157E9</v>
      </c>
    </row>
    <row r="2071" ht="15.75" customHeight="1">
      <c r="A2071" s="2" t="s">
        <v>2193</v>
      </c>
      <c r="B2071" s="2" t="s">
        <v>2194</v>
      </c>
      <c r="C2071" s="2" t="s">
        <v>246</v>
      </c>
      <c r="D2071" s="2" t="s">
        <v>56</v>
      </c>
      <c r="E2071" s="2" t="s">
        <v>255</v>
      </c>
      <c r="F2071" s="2">
        <v>8.092237496E9</v>
      </c>
    </row>
    <row r="2072" ht="15.75" customHeight="1">
      <c r="A2072" s="2" t="s">
        <v>186</v>
      </c>
      <c r="B2072" s="2" t="s">
        <v>50</v>
      </c>
      <c r="C2072" s="2" t="s">
        <v>1024</v>
      </c>
      <c r="D2072" s="2" t="s">
        <v>26</v>
      </c>
      <c r="E2072" s="2" t="s">
        <v>19</v>
      </c>
      <c r="F2072" s="2">
        <v>9.155380465E9</v>
      </c>
    </row>
    <row r="2073" ht="15.75" customHeight="1">
      <c r="A2073" s="2" t="s">
        <v>1624</v>
      </c>
      <c r="B2073" s="2" t="s">
        <v>2195</v>
      </c>
      <c r="C2073" s="2" t="s">
        <v>58</v>
      </c>
      <c r="D2073" s="2" t="s">
        <v>44</v>
      </c>
      <c r="E2073" s="2" t="s">
        <v>19</v>
      </c>
      <c r="F2073" s="2">
        <v>9.379761743E9</v>
      </c>
    </row>
    <row r="2074" ht="15.75" customHeight="1">
      <c r="A2074" s="2" t="s">
        <v>2196</v>
      </c>
      <c r="B2074" s="2" t="s">
        <v>212</v>
      </c>
      <c r="C2074" s="2" t="s">
        <v>1001</v>
      </c>
      <c r="D2074" s="2" t="s">
        <v>14</v>
      </c>
      <c r="E2074" s="2" t="s">
        <v>23</v>
      </c>
      <c r="F2074" s="2">
        <v>9.400193774E9</v>
      </c>
    </row>
    <row r="2075" ht="15.75" customHeight="1">
      <c r="A2075" s="2" t="s">
        <v>2197</v>
      </c>
      <c r="B2075" s="2" t="s">
        <v>2198</v>
      </c>
      <c r="C2075" s="2" t="s">
        <v>330</v>
      </c>
      <c r="D2075" s="2" t="s">
        <v>56</v>
      </c>
      <c r="E2075" s="2" t="s">
        <v>19</v>
      </c>
      <c r="F2075" s="2">
        <v>9.504097032E9</v>
      </c>
    </row>
    <row r="2076" ht="15.75" customHeight="1">
      <c r="A2076" s="2" t="s">
        <v>2199</v>
      </c>
      <c r="B2076" s="2" t="s">
        <v>1032</v>
      </c>
      <c r="C2076" s="2" t="s">
        <v>1004</v>
      </c>
      <c r="D2076" s="2" t="s">
        <v>56</v>
      </c>
      <c r="E2076" s="2" t="s">
        <v>23</v>
      </c>
      <c r="F2076" s="2">
        <v>9.85236376E9</v>
      </c>
    </row>
    <row r="2077" ht="15.75" customHeight="1">
      <c r="A2077" s="2" t="s">
        <v>2200</v>
      </c>
      <c r="B2077" s="2" t="s">
        <v>1508</v>
      </c>
      <c r="C2077" s="2" t="s">
        <v>1001</v>
      </c>
      <c r="D2077" s="2" t="s">
        <v>26</v>
      </c>
      <c r="E2077" s="2" t="s">
        <v>23</v>
      </c>
      <c r="F2077" s="2">
        <v>8.9698948E9</v>
      </c>
    </row>
    <row r="2078" ht="15.75" customHeight="1">
      <c r="A2078" s="2" t="s">
        <v>241</v>
      </c>
      <c r="B2078" s="2" t="s">
        <v>552</v>
      </c>
      <c r="C2078" s="2" t="s">
        <v>1004</v>
      </c>
      <c r="D2078" s="2" t="s">
        <v>56</v>
      </c>
      <c r="E2078" s="2" t="s">
        <v>23</v>
      </c>
      <c r="F2078" s="2">
        <v>9.135880132E9</v>
      </c>
    </row>
    <row r="2079" ht="15.75" customHeight="1">
      <c r="A2079" s="2" t="s">
        <v>272</v>
      </c>
      <c r="B2079" s="2" t="s">
        <v>2201</v>
      </c>
      <c r="C2079" s="2" t="s">
        <v>230</v>
      </c>
      <c r="D2079" s="2" t="s">
        <v>44</v>
      </c>
      <c r="E2079" s="2" t="s">
        <v>19</v>
      </c>
      <c r="F2079" s="2">
        <v>9.430751607E9</v>
      </c>
    </row>
    <row r="2080" ht="15.75" customHeight="1">
      <c r="A2080" s="2" t="s">
        <v>98</v>
      </c>
      <c r="B2080" s="2" t="s">
        <v>50</v>
      </c>
      <c r="C2080" s="2" t="s">
        <v>1139</v>
      </c>
      <c r="D2080" s="2" t="s">
        <v>26</v>
      </c>
      <c r="E2080" s="2" t="s">
        <v>19</v>
      </c>
      <c r="F2080" s="2">
        <v>8.083815585E9</v>
      </c>
    </row>
    <row r="2081" ht="15.75" customHeight="1">
      <c r="A2081" s="2" t="s">
        <v>2200</v>
      </c>
      <c r="B2081" s="2" t="s">
        <v>1508</v>
      </c>
      <c r="C2081" s="2" t="s">
        <v>254</v>
      </c>
      <c r="D2081" s="2" t="s">
        <v>26</v>
      </c>
      <c r="E2081" s="2" t="s">
        <v>255</v>
      </c>
      <c r="F2081" s="2">
        <v>6.201264373E9</v>
      </c>
    </row>
    <row r="2082" ht="15.75" customHeight="1">
      <c r="A2082" s="2" t="s">
        <v>1708</v>
      </c>
      <c r="B2082" s="2" t="s">
        <v>55</v>
      </c>
      <c r="C2082" s="2" t="s">
        <v>53</v>
      </c>
      <c r="D2082" s="2" t="s">
        <v>9</v>
      </c>
      <c r="E2082" s="2" t="s">
        <v>19</v>
      </c>
      <c r="F2082" s="2">
        <v>9.835135065E9</v>
      </c>
    </row>
    <row r="2083" ht="15.75" customHeight="1">
      <c r="A2083" s="2" t="s">
        <v>2202</v>
      </c>
      <c r="B2083" s="2" t="s">
        <v>50</v>
      </c>
      <c r="C2083" s="2" t="s">
        <v>235</v>
      </c>
      <c r="D2083" s="2" t="s">
        <v>26</v>
      </c>
      <c r="E2083" s="2" t="s">
        <v>19</v>
      </c>
      <c r="F2083" s="2">
        <v>6.204728091E9</v>
      </c>
    </row>
    <row r="2084" ht="15.75" customHeight="1">
      <c r="A2084" s="2" t="s">
        <v>244</v>
      </c>
      <c r="B2084" s="2" t="s">
        <v>63</v>
      </c>
      <c r="C2084" s="2" t="s">
        <v>330</v>
      </c>
      <c r="D2084" s="2" t="s">
        <v>26</v>
      </c>
      <c r="E2084" s="2" t="s">
        <v>19</v>
      </c>
      <c r="F2084" s="2">
        <v>6.201783917E9</v>
      </c>
    </row>
    <row r="2085" ht="15.75" customHeight="1">
      <c r="A2085" s="2" t="s">
        <v>666</v>
      </c>
      <c r="B2085" s="2" t="s">
        <v>2203</v>
      </c>
      <c r="C2085" s="2" t="s">
        <v>806</v>
      </c>
      <c r="D2085" s="2" t="s">
        <v>29</v>
      </c>
      <c r="E2085" s="2" t="s">
        <v>23</v>
      </c>
      <c r="F2085" s="2">
        <v>9.304792328E9</v>
      </c>
    </row>
    <row r="2086" ht="15.75" customHeight="1">
      <c r="A2086" s="2" t="s">
        <v>2200</v>
      </c>
      <c r="B2086" s="2" t="s">
        <v>212</v>
      </c>
      <c r="C2086" s="2" t="s">
        <v>2204</v>
      </c>
      <c r="D2086" s="2" t="s">
        <v>56</v>
      </c>
      <c r="E2086" s="2" t="s">
        <v>23</v>
      </c>
      <c r="F2086" s="2">
        <v>6.236179291E9</v>
      </c>
    </row>
    <row r="2087" ht="15.75" customHeight="1">
      <c r="A2087" s="2" t="s">
        <v>1855</v>
      </c>
      <c r="B2087" s="2" t="s">
        <v>63</v>
      </c>
      <c r="C2087" s="2" t="s">
        <v>34</v>
      </c>
      <c r="D2087" s="2" t="s">
        <v>44</v>
      </c>
      <c r="E2087" s="2" t="s">
        <v>23</v>
      </c>
      <c r="F2087" s="2">
        <v>9.981767394E9</v>
      </c>
    </row>
    <row r="2088" ht="15.75" customHeight="1">
      <c r="A2088" s="2" t="s">
        <v>772</v>
      </c>
      <c r="B2088" s="2" t="s">
        <v>2205</v>
      </c>
      <c r="C2088" s="2" t="s">
        <v>230</v>
      </c>
      <c r="D2088" s="2" t="s">
        <v>14</v>
      </c>
      <c r="E2088" s="2" t="s">
        <v>19</v>
      </c>
      <c r="F2088" s="2">
        <v>9.470134076E9</v>
      </c>
    </row>
    <row r="2089" ht="15.75" customHeight="1">
      <c r="A2089" s="2" t="s">
        <v>98</v>
      </c>
      <c r="B2089" s="2" t="s">
        <v>50</v>
      </c>
      <c r="C2089" s="2" t="s">
        <v>662</v>
      </c>
      <c r="D2089" s="2" t="s">
        <v>26</v>
      </c>
      <c r="E2089" s="2" t="s">
        <v>19</v>
      </c>
      <c r="F2089" s="2">
        <v>7.634945411E9</v>
      </c>
    </row>
    <row r="2090" ht="15.75" customHeight="1">
      <c r="A2090" s="2" t="s">
        <v>2206</v>
      </c>
      <c r="B2090" s="2" t="s">
        <v>55</v>
      </c>
      <c r="C2090" s="2" t="s">
        <v>310</v>
      </c>
      <c r="D2090" s="2" t="s">
        <v>26</v>
      </c>
      <c r="E2090" s="2" t="s">
        <v>19</v>
      </c>
      <c r="F2090" s="2">
        <v>9.85236376E9</v>
      </c>
    </row>
    <row r="2091" ht="15.75" customHeight="1">
      <c r="A2091" s="2" t="s">
        <v>1389</v>
      </c>
      <c r="B2091" s="2" t="s">
        <v>1999</v>
      </c>
      <c r="C2091" s="2" t="s">
        <v>235</v>
      </c>
      <c r="D2091" s="2" t="s">
        <v>26</v>
      </c>
      <c r="E2091" s="2" t="s">
        <v>19</v>
      </c>
      <c r="F2091" s="2">
        <v>8.210481166E9</v>
      </c>
    </row>
    <row r="2092" ht="15.75" customHeight="1">
      <c r="A2092" s="2" t="s">
        <v>2200</v>
      </c>
      <c r="B2092" s="2" t="s">
        <v>153</v>
      </c>
      <c r="C2092" s="2" t="s">
        <v>83</v>
      </c>
      <c r="D2092" s="2" t="s">
        <v>9</v>
      </c>
      <c r="E2092" s="2" t="s">
        <v>255</v>
      </c>
      <c r="F2092" s="2">
        <v>9.063027482E9</v>
      </c>
    </row>
    <row r="2093" ht="15.75" customHeight="1">
      <c r="A2093" s="2" t="s">
        <v>2207</v>
      </c>
      <c r="B2093" s="2" t="s">
        <v>55</v>
      </c>
      <c r="C2093" s="2" t="s">
        <v>34</v>
      </c>
      <c r="D2093" s="2" t="s">
        <v>14</v>
      </c>
      <c r="E2093" s="2" t="s">
        <v>23</v>
      </c>
      <c r="F2093" s="2">
        <v>8.083720296E9</v>
      </c>
    </row>
    <row r="2094" ht="15.75" customHeight="1">
      <c r="A2094" s="2" t="s">
        <v>1502</v>
      </c>
      <c r="B2094" s="2" t="s">
        <v>1258</v>
      </c>
      <c r="C2094" s="2" t="s">
        <v>252</v>
      </c>
      <c r="D2094" s="2" t="s">
        <v>56</v>
      </c>
      <c r="E2094" s="2" t="s">
        <v>19</v>
      </c>
      <c r="F2094" s="2">
        <v>9.231608795E9</v>
      </c>
    </row>
    <row r="2095" ht="15.75" customHeight="1">
      <c r="A2095" s="2" t="s">
        <v>2200</v>
      </c>
      <c r="B2095" s="2" t="s">
        <v>797</v>
      </c>
      <c r="C2095" s="2" t="s">
        <v>399</v>
      </c>
      <c r="D2095" s="2" t="s">
        <v>56</v>
      </c>
      <c r="E2095" s="2" t="s">
        <v>23</v>
      </c>
      <c r="F2095" s="2">
        <v>7.764836774E9</v>
      </c>
    </row>
    <row r="2096" ht="15.75" customHeight="1">
      <c r="A2096" s="2" t="s">
        <v>244</v>
      </c>
      <c r="B2096" s="2" t="s">
        <v>55</v>
      </c>
      <c r="C2096" s="2" t="s">
        <v>53</v>
      </c>
      <c r="D2096" s="2" t="s">
        <v>29</v>
      </c>
      <c r="E2096" s="2" t="s">
        <v>19</v>
      </c>
      <c r="F2096" s="2">
        <v>9.43133611E9</v>
      </c>
    </row>
    <row r="2097" ht="15.75" customHeight="1">
      <c r="A2097" s="2" t="s">
        <v>186</v>
      </c>
      <c r="B2097" s="2" t="s">
        <v>1839</v>
      </c>
      <c r="C2097" s="2" t="s">
        <v>2208</v>
      </c>
      <c r="D2097" s="2" t="s">
        <v>56</v>
      </c>
      <c r="E2097" s="2" t="s">
        <v>19</v>
      </c>
      <c r="F2097" s="2">
        <v>8.789642804E9</v>
      </c>
    </row>
    <row r="2098" ht="15.75" customHeight="1">
      <c r="A2098" s="2" t="s">
        <v>98</v>
      </c>
      <c r="B2098" s="2" t="s">
        <v>2167</v>
      </c>
      <c r="C2098" s="2" t="s">
        <v>370</v>
      </c>
      <c r="D2098" s="2" t="s">
        <v>56</v>
      </c>
      <c r="E2098" s="2" t="s">
        <v>19</v>
      </c>
      <c r="F2098" s="2">
        <v>8.555744979E9</v>
      </c>
    </row>
    <row r="2099" ht="15.75" customHeight="1">
      <c r="A2099" s="2" t="s">
        <v>2209</v>
      </c>
      <c r="B2099" s="2" t="s">
        <v>2155</v>
      </c>
      <c r="C2099" s="2" t="s">
        <v>2210</v>
      </c>
      <c r="D2099" s="2" t="s">
        <v>26</v>
      </c>
      <c r="E2099" s="2" t="s">
        <v>255</v>
      </c>
      <c r="F2099" s="2">
        <v>6.208712011E9</v>
      </c>
    </row>
    <row r="2100" ht="15.75" customHeight="1">
      <c r="A2100" s="2" t="s">
        <v>2211</v>
      </c>
      <c r="B2100" s="2" t="s">
        <v>1850</v>
      </c>
      <c r="C2100" s="2" t="s">
        <v>200</v>
      </c>
      <c r="D2100" s="2" t="s">
        <v>26</v>
      </c>
      <c r="E2100" s="2" t="s">
        <v>19</v>
      </c>
      <c r="F2100" s="2">
        <v>9.006684549E9</v>
      </c>
    </row>
    <row r="2101" ht="15.75" customHeight="1">
      <c r="A2101" s="2" t="s">
        <v>2212</v>
      </c>
      <c r="B2101" s="2" t="s">
        <v>1557</v>
      </c>
      <c r="C2101" s="2" t="s">
        <v>1567</v>
      </c>
      <c r="D2101" s="2" t="s">
        <v>56</v>
      </c>
      <c r="E2101" s="2" t="s">
        <v>23</v>
      </c>
      <c r="F2101" s="2">
        <v>9.507146851E9</v>
      </c>
    </row>
    <row r="2102" ht="15.75" customHeight="1">
      <c r="A2102" s="2" t="s">
        <v>2213</v>
      </c>
      <c r="B2102" s="2" t="s">
        <v>225</v>
      </c>
      <c r="C2102" s="2" t="s">
        <v>305</v>
      </c>
      <c r="D2102" s="2" t="s">
        <v>26</v>
      </c>
      <c r="E2102" s="2" t="s">
        <v>19</v>
      </c>
      <c r="F2102" s="2">
        <v>9.835787957E9</v>
      </c>
    </row>
    <row r="2103" ht="15.75" customHeight="1">
      <c r="A2103" s="2" t="s">
        <v>1201</v>
      </c>
      <c r="B2103" s="2" t="s">
        <v>199</v>
      </c>
      <c r="C2103" s="2" t="s">
        <v>844</v>
      </c>
      <c r="D2103" s="2" t="s">
        <v>44</v>
      </c>
      <c r="E2103" s="2" t="s">
        <v>23</v>
      </c>
      <c r="F2103" s="2">
        <v>7.004808485E9</v>
      </c>
    </row>
    <row r="2104" ht="15.75" customHeight="1">
      <c r="A2104" s="2" t="s">
        <v>1911</v>
      </c>
      <c r="B2104" s="2" t="s">
        <v>50</v>
      </c>
      <c r="C2104" s="2" t="s">
        <v>58</v>
      </c>
      <c r="D2104" s="2" t="s">
        <v>44</v>
      </c>
      <c r="E2104" s="2" t="s">
        <v>19</v>
      </c>
      <c r="F2104" s="2">
        <v>8.409380617E9</v>
      </c>
    </row>
    <row r="2105" ht="15.75" customHeight="1">
      <c r="A2105" s="2" t="s">
        <v>1470</v>
      </c>
      <c r="B2105" s="2" t="s">
        <v>47</v>
      </c>
      <c r="C2105" s="2" t="s">
        <v>235</v>
      </c>
      <c r="D2105" s="2" t="s">
        <v>26</v>
      </c>
      <c r="E2105" s="2" t="s">
        <v>19</v>
      </c>
      <c r="F2105" s="2">
        <v>8.7894166E9</v>
      </c>
    </row>
    <row r="2106" ht="15.75" customHeight="1">
      <c r="A2106" s="2" t="s">
        <v>186</v>
      </c>
      <c r="B2106" s="2" t="s">
        <v>1817</v>
      </c>
      <c r="C2106" s="2" t="s">
        <v>235</v>
      </c>
      <c r="D2106" s="2" t="s">
        <v>56</v>
      </c>
      <c r="E2106" s="2" t="s">
        <v>19</v>
      </c>
      <c r="F2106" s="2">
        <v>8.271464282E9</v>
      </c>
    </row>
    <row r="2107" ht="15.75" customHeight="1">
      <c r="A2107" s="2" t="s">
        <v>1201</v>
      </c>
      <c r="B2107" s="2" t="s">
        <v>52</v>
      </c>
      <c r="C2107" s="2" t="s">
        <v>223</v>
      </c>
      <c r="D2107" s="2" t="s">
        <v>26</v>
      </c>
      <c r="E2107" s="2" t="s">
        <v>255</v>
      </c>
      <c r="F2107" s="2">
        <v>9.966775004E9</v>
      </c>
    </row>
    <row r="2108" ht="15.75" customHeight="1">
      <c r="A2108" s="2" t="s">
        <v>535</v>
      </c>
      <c r="B2108" s="2" t="s">
        <v>1954</v>
      </c>
      <c r="C2108" s="2" t="s">
        <v>867</v>
      </c>
      <c r="D2108" s="2" t="s">
        <v>26</v>
      </c>
      <c r="E2108" s="2" t="s">
        <v>19</v>
      </c>
      <c r="F2108" s="2">
        <v>9.155241952E9</v>
      </c>
    </row>
    <row r="2109" ht="15.75" customHeight="1">
      <c r="A2109" s="2" t="s">
        <v>2214</v>
      </c>
      <c r="B2109" s="2" t="s">
        <v>55</v>
      </c>
      <c r="C2109" s="2" t="s">
        <v>79</v>
      </c>
      <c r="D2109" s="2" t="s">
        <v>9</v>
      </c>
      <c r="E2109" s="2" t="s">
        <v>23</v>
      </c>
      <c r="F2109" s="2">
        <v>8.002799126E9</v>
      </c>
    </row>
    <row r="2110" ht="15.75" customHeight="1">
      <c r="A2110" s="2" t="s">
        <v>1470</v>
      </c>
      <c r="B2110" s="2" t="s">
        <v>119</v>
      </c>
      <c r="C2110" s="2" t="s">
        <v>235</v>
      </c>
      <c r="D2110" s="2" t="s">
        <v>26</v>
      </c>
      <c r="E2110" s="2" t="s">
        <v>19</v>
      </c>
      <c r="F2110" s="2">
        <v>8.7894166E9</v>
      </c>
    </row>
    <row r="2111" ht="15.75" customHeight="1">
      <c r="A2111" s="2" t="s">
        <v>1201</v>
      </c>
      <c r="B2111" s="2" t="s">
        <v>212</v>
      </c>
      <c r="C2111" s="2" t="s">
        <v>1034</v>
      </c>
      <c r="D2111" s="2" t="s">
        <v>56</v>
      </c>
      <c r="E2111" s="2" t="s">
        <v>23</v>
      </c>
      <c r="F2111" s="2">
        <v>6.200994712E9</v>
      </c>
    </row>
    <row r="2112" ht="15.75" customHeight="1">
      <c r="A2112" s="2" t="s">
        <v>2215</v>
      </c>
      <c r="B2112" s="2" t="s">
        <v>21</v>
      </c>
      <c r="C2112" s="2" t="s">
        <v>53</v>
      </c>
      <c r="D2112" s="2" t="s">
        <v>9</v>
      </c>
      <c r="E2112" s="2" t="s">
        <v>19</v>
      </c>
      <c r="F2112" s="2">
        <v>8.582072131E9</v>
      </c>
    </row>
    <row r="2113" ht="15.75" customHeight="1">
      <c r="A2113" s="2" t="s">
        <v>1248</v>
      </c>
      <c r="B2113" s="2" t="s">
        <v>88</v>
      </c>
      <c r="C2113" s="2" t="s">
        <v>729</v>
      </c>
      <c r="D2113" s="2" t="s">
        <v>56</v>
      </c>
      <c r="E2113" s="2" t="s">
        <v>19</v>
      </c>
      <c r="F2113" s="2">
        <v>6.204528046E9</v>
      </c>
    </row>
    <row r="2114" ht="15.75" customHeight="1">
      <c r="A2114" s="2" t="s">
        <v>1201</v>
      </c>
      <c r="B2114" s="2" t="s">
        <v>55</v>
      </c>
      <c r="C2114" s="2" t="s">
        <v>2210</v>
      </c>
      <c r="D2114" s="2" t="s">
        <v>14</v>
      </c>
      <c r="E2114" s="2" t="s">
        <v>255</v>
      </c>
      <c r="F2114" s="2">
        <v>8.010192091E9</v>
      </c>
    </row>
    <row r="2115" ht="15.75" customHeight="1">
      <c r="A2115" s="2" t="s">
        <v>2216</v>
      </c>
      <c r="B2115" s="2" t="s">
        <v>2217</v>
      </c>
      <c r="C2115" s="2" t="s">
        <v>1059</v>
      </c>
      <c r="D2115" s="2" t="s">
        <v>14</v>
      </c>
      <c r="E2115" s="2" t="s">
        <v>282</v>
      </c>
      <c r="F2115" s="2">
        <v>9.558745538E9</v>
      </c>
    </row>
    <row r="2116" ht="15.75" customHeight="1">
      <c r="A2116" s="2" t="s">
        <v>878</v>
      </c>
      <c r="B2116" s="2" t="s">
        <v>112</v>
      </c>
      <c r="C2116" s="2" t="s">
        <v>655</v>
      </c>
      <c r="D2116" s="2" t="s">
        <v>26</v>
      </c>
      <c r="E2116" s="2" t="s">
        <v>19</v>
      </c>
      <c r="F2116" s="2">
        <v>9.234338018E9</v>
      </c>
    </row>
    <row r="2117" ht="15.75" customHeight="1">
      <c r="A2117" s="2" t="s">
        <v>2218</v>
      </c>
      <c r="B2117" s="2" t="s">
        <v>65</v>
      </c>
      <c r="C2117" s="2" t="s">
        <v>34</v>
      </c>
      <c r="D2117" s="2" t="s">
        <v>44</v>
      </c>
      <c r="E2117" s="2" t="s">
        <v>23</v>
      </c>
      <c r="F2117" s="2">
        <v>8.210668089E9</v>
      </c>
    </row>
    <row r="2118" ht="15.75" customHeight="1">
      <c r="A2118" s="2" t="s">
        <v>2219</v>
      </c>
      <c r="B2118" s="2" t="s">
        <v>50</v>
      </c>
      <c r="C2118" s="2" t="s">
        <v>305</v>
      </c>
      <c r="D2118" s="2" t="s">
        <v>14</v>
      </c>
      <c r="E2118" s="2" t="s">
        <v>19</v>
      </c>
      <c r="F2118" s="2">
        <v>6.201783917E9</v>
      </c>
    </row>
    <row r="2119" ht="15.75" customHeight="1">
      <c r="A2119" s="2" t="s">
        <v>525</v>
      </c>
      <c r="B2119" s="2" t="s">
        <v>525</v>
      </c>
      <c r="C2119" s="2" t="s">
        <v>2220</v>
      </c>
      <c r="D2119" s="2" t="s">
        <v>26</v>
      </c>
      <c r="E2119" s="2" t="s">
        <v>19</v>
      </c>
      <c r="F2119" s="2">
        <v>6.206658128E9</v>
      </c>
    </row>
    <row r="2120" ht="15.75" customHeight="1">
      <c r="A2120" s="2" t="s">
        <v>2221</v>
      </c>
      <c r="B2120" s="2" t="s">
        <v>1172</v>
      </c>
      <c r="C2120" s="2" t="s">
        <v>2222</v>
      </c>
      <c r="D2120" s="2" t="s">
        <v>29</v>
      </c>
      <c r="E2120" s="2" t="s">
        <v>2115</v>
      </c>
      <c r="F2120" s="2">
        <v>6.291252407E9</v>
      </c>
    </row>
    <row r="2121" ht="15.75" customHeight="1">
      <c r="A2121" s="2" t="s">
        <v>2223</v>
      </c>
      <c r="B2121" s="2" t="s">
        <v>520</v>
      </c>
      <c r="C2121" s="2" t="s">
        <v>240</v>
      </c>
      <c r="D2121" s="2" t="s">
        <v>26</v>
      </c>
      <c r="E2121" s="2" t="s">
        <v>19</v>
      </c>
      <c r="F2121" s="2">
        <v>6.200039388E9</v>
      </c>
    </row>
    <row r="2122" ht="15.75" customHeight="1">
      <c r="A2122" s="2" t="s">
        <v>2224</v>
      </c>
      <c r="B2122" s="2" t="s">
        <v>63</v>
      </c>
      <c r="C2122" s="2" t="s">
        <v>576</v>
      </c>
      <c r="D2122" s="2" t="s">
        <v>56</v>
      </c>
      <c r="E2122" s="2" t="s">
        <v>19</v>
      </c>
      <c r="F2122" s="2">
        <v>9.234961422E9</v>
      </c>
    </row>
    <row r="2123" ht="15.75" customHeight="1">
      <c r="A2123" s="2" t="s">
        <v>1201</v>
      </c>
      <c r="B2123" s="2" t="s">
        <v>2155</v>
      </c>
      <c r="C2123" s="2" t="s">
        <v>2225</v>
      </c>
      <c r="D2123" s="2" t="s">
        <v>14</v>
      </c>
      <c r="E2123" s="2" t="s">
        <v>255</v>
      </c>
      <c r="F2123" s="2">
        <v>9.204730778E9</v>
      </c>
    </row>
    <row r="2124" ht="15.75" customHeight="1">
      <c r="A2124" s="2" t="s">
        <v>2226</v>
      </c>
      <c r="B2124" s="2" t="s">
        <v>63</v>
      </c>
      <c r="C2124" s="2" t="s">
        <v>2070</v>
      </c>
      <c r="D2124" s="2" t="s">
        <v>26</v>
      </c>
      <c r="E2124" s="2" t="s">
        <v>19</v>
      </c>
      <c r="F2124" s="2">
        <v>7.481896491E9</v>
      </c>
    </row>
    <row r="2125" ht="15.75" customHeight="1">
      <c r="A2125" s="2" t="s">
        <v>202</v>
      </c>
      <c r="B2125" s="2" t="s">
        <v>212</v>
      </c>
      <c r="C2125" s="2" t="s">
        <v>844</v>
      </c>
      <c r="D2125" s="2" t="s">
        <v>26</v>
      </c>
      <c r="E2125" s="2" t="s">
        <v>23</v>
      </c>
      <c r="F2125" s="2">
        <v>9.83425052E9</v>
      </c>
    </row>
    <row r="2126" ht="15.75" customHeight="1">
      <c r="A2126" s="2" t="s">
        <v>202</v>
      </c>
      <c r="B2126" s="2" t="s">
        <v>2227</v>
      </c>
      <c r="C2126" s="2" t="s">
        <v>2225</v>
      </c>
      <c r="D2126" s="2" t="s">
        <v>26</v>
      </c>
      <c r="E2126" s="2" t="s">
        <v>255</v>
      </c>
      <c r="F2126" s="2">
        <v>8.08319362E9</v>
      </c>
    </row>
    <row r="2127" ht="15.75" customHeight="1">
      <c r="A2127" s="2" t="s">
        <v>2228</v>
      </c>
      <c r="B2127" s="2" t="s">
        <v>78</v>
      </c>
      <c r="C2127" s="2" t="s">
        <v>2229</v>
      </c>
      <c r="D2127" s="2" t="s">
        <v>14</v>
      </c>
      <c r="E2127" s="2" t="s">
        <v>282</v>
      </c>
      <c r="F2127" s="2">
        <v>9.714361857E9</v>
      </c>
    </row>
    <row r="2128" ht="15.75" customHeight="1">
      <c r="A2128" s="2" t="s">
        <v>1044</v>
      </c>
      <c r="B2128" s="2" t="s">
        <v>50</v>
      </c>
      <c r="C2128" s="2">
        <v>8.789740502E9</v>
      </c>
      <c r="D2128" s="2" t="s">
        <v>9</v>
      </c>
      <c r="E2128" s="2" t="s">
        <v>19</v>
      </c>
      <c r="F2128" s="2">
        <v>8.789740502E9</v>
      </c>
    </row>
    <row r="2129" ht="15.75" customHeight="1">
      <c r="A2129" s="2" t="s">
        <v>2230</v>
      </c>
      <c r="B2129" s="2" t="s">
        <v>862</v>
      </c>
      <c r="C2129" s="2" t="s">
        <v>1034</v>
      </c>
      <c r="D2129" s="2" t="s">
        <v>29</v>
      </c>
      <c r="E2129" s="2" t="s">
        <v>23</v>
      </c>
      <c r="F2129" s="2">
        <v>6.054320179E9</v>
      </c>
    </row>
    <row r="2130" ht="15.75" customHeight="1">
      <c r="A2130" s="2" t="s">
        <v>2231</v>
      </c>
      <c r="B2130" s="2" t="s">
        <v>212</v>
      </c>
      <c r="C2130" s="2" t="s">
        <v>576</v>
      </c>
      <c r="D2130" s="2" t="s">
        <v>56</v>
      </c>
      <c r="E2130" s="2" t="s">
        <v>255</v>
      </c>
      <c r="F2130" s="2">
        <v>8.292304918E9</v>
      </c>
    </row>
    <row r="2131" ht="15.75" customHeight="1">
      <c r="A2131" s="2" t="s">
        <v>67</v>
      </c>
      <c r="B2131" s="2" t="s">
        <v>50</v>
      </c>
      <c r="C2131" s="2" t="s">
        <v>277</v>
      </c>
      <c r="D2131" s="2" t="s">
        <v>29</v>
      </c>
      <c r="E2131" s="2" t="s">
        <v>19</v>
      </c>
      <c r="F2131" s="2">
        <v>6.203678245E9</v>
      </c>
    </row>
    <row r="2132" ht="15.75" customHeight="1">
      <c r="A2132" s="2" t="s">
        <v>2232</v>
      </c>
      <c r="B2132" s="2" t="s">
        <v>443</v>
      </c>
      <c r="C2132" s="2" t="s">
        <v>1262</v>
      </c>
      <c r="D2132" s="2" t="s">
        <v>26</v>
      </c>
      <c r="E2132" s="2" t="s">
        <v>282</v>
      </c>
      <c r="F2132" s="2">
        <v>9.898055519E9</v>
      </c>
    </row>
    <row r="2133" ht="15.75" customHeight="1">
      <c r="A2133" s="2" t="s">
        <v>2233</v>
      </c>
      <c r="B2133" s="2" t="s">
        <v>88</v>
      </c>
      <c r="C2133" s="2" t="s">
        <v>1081</v>
      </c>
      <c r="D2133" s="2" t="s">
        <v>29</v>
      </c>
      <c r="E2133" s="2" t="s">
        <v>23</v>
      </c>
      <c r="F2133" s="2">
        <v>7.7396951E9</v>
      </c>
    </row>
    <row r="2134" ht="15.75" customHeight="1">
      <c r="A2134" s="2" t="s">
        <v>1389</v>
      </c>
      <c r="B2134" s="2" t="s">
        <v>2234</v>
      </c>
      <c r="C2134" s="2" t="s">
        <v>560</v>
      </c>
      <c r="D2134" s="2" t="s">
        <v>56</v>
      </c>
      <c r="E2134" s="2" t="s">
        <v>19</v>
      </c>
      <c r="F2134" s="2">
        <v>9.771174339E9</v>
      </c>
    </row>
    <row r="2135" ht="15.75" customHeight="1">
      <c r="A2135" s="2" t="s">
        <v>2235</v>
      </c>
      <c r="B2135" s="2" t="s">
        <v>2236</v>
      </c>
      <c r="C2135" s="2" t="s">
        <v>223</v>
      </c>
      <c r="D2135" s="2" t="s">
        <v>26</v>
      </c>
      <c r="E2135" s="2" t="s">
        <v>255</v>
      </c>
      <c r="F2135" s="2">
        <v>6.202325782E9</v>
      </c>
    </row>
    <row r="2136" ht="15.75" customHeight="1">
      <c r="A2136" s="2" t="s">
        <v>2237</v>
      </c>
      <c r="B2136" s="2" t="s">
        <v>2238</v>
      </c>
      <c r="C2136" s="2" t="s">
        <v>289</v>
      </c>
      <c r="D2136" s="2" t="s">
        <v>56</v>
      </c>
      <c r="E2136" s="2" t="s">
        <v>19</v>
      </c>
      <c r="F2136" s="2">
        <v>9.162921863E9</v>
      </c>
    </row>
    <row r="2137" ht="15.75" customHeight="1">
      <c r="A2137" s="2" t="s">
        <v>2239</v>
      </c>
      <c r="B2137" s="2" t="s">
        <v>65</v>
      </c>
      <c r="C2137" s="2" t="s">
        <v>305</v>
      </c>
      <c r="D2137" s="2" t="s">
        <v>44</v>
      </c>
      <c r="E2137" s="2" t="s">
        <v>19</v>
      </c>
      <c r="F2137" s="2">
        <v>7.484904467E9</v>
      </c>
    </row>
    <row r="2138" ht="15.75" customHeight="1">
      <c r="A2138" s="2" t="s">
        <v>2240</v>
      </c>
      <c r="B2138" s="2" t="s">
        <v>78</v>
      </c>
      <c r="C2138" s="2" t="s">
        <v>662</v>
      </c>
      <c r="D2138" s="2" t="s">
        <v>56</v>
      </c>
      <c r="E2138" s="2" t="s">
        <v>19</v>
      </c>
      <c r="F2138" s="2">
        <v>9.155520162E9</v>
      </c>
    </row>
    <row r="2139" ht="15.75" customHeight="1">
      <c r="A2139" s="2" t="s">
        <v>2241</v>
      </c>
      <c r="B2139" s="2" t="s">
        <v>55</v>
      </c>
      <c r="C2139" s="2" t="s">
        <v>226</v>
      </c>
      <c r="D2139" s="2" t="s">
        <v>29</v>
      </c>
      <c r="E2139" s="2" t="s">
        <v>19</v>
      </c>
      <c r="F2139" s="2">
        <v>9.905880021E9</v>
      </c>
    </row>
    <row r="2140" ht="15.75" customHeight="1">
      <c r="A2140" s="2" t="s">
        <v>579</v>
      </c>
      <c r="B2140" s="2" t="s">
        <v>50</v>
      </c>
      <c r="C2140" s="2" t="s">
        <v>412</v>
      </c>
      <c r="D2140" s="2" t="s">
        <v>9</v>
      </c>
      <c r="E2140" s="2" t="s">
        <v>19</v>
      </c>
      <c r="F2140" s="2">
        <v>7.070105955E9</v>
      </c>
    </row>
    <row r="2141" ht="15.75" customHeight="1">
      <c r="A2141" s="2" t="s">
        <v>1045</v>
      </c>
      <c r="B2141" s="2" t="s">
        <v>65</v>
      </c>
      <c r="C2141" s="2" t="s">
        <v>360</v>
      </c>
      <c r="D2141" s="2" t="s">
        <v>26</v>
      </c>
      <c r="E2141" s="2" t="s">
        <v>19</v>
      </c>
      <c r="F2141" s="2">
        <v>9.359192428E9</v>
      </c>
    </row>
    <row r="2142" ht="15.75" customHeight="1">
      <c r="A2142" s="2" t="s">
        <v>2242</v>
      </c>
      <c r="B2142" s="2" t="s">
        <v>815</v>
      </c>
      <c r="C2142" s="2" t="s">
        <v>399</v>
      </c>
      <c r="D2142" s="2" t="s">
        <v>14</v>
      </c>
      <c r="E2142" s="2" t="s">
        <v>23</v>
      </c>
      <c r="F2142" s="2">
        <v>6.201798966E9</v>
      </c>
    </row>
    <row r="2143" ht="15.75" customHeight="1">
      <c r="A2143" s="2" t="s">
        <v>1483</v>
      </c>
      <c r="B2143" s="2" t="s">
        <v>50</v>
      </c>
      <c r="C2143" s="2" t="s">
        <v>729</v>
      </c>
      <c r="D2143" s="2" t="s">
        <v>9</v>
      </c>
      <c r="E2143" s="2" t="s">
        <v>19</v>
      </c>
      <c r="F2143" s="2">
        <v>9.304619395E9</v>
      </c>
    </row>
    <row r="2144" ht="15.75" customHeight="1">
      <c r="A2144" s="2" t="s">
        <v>2243</v>
      </c>
      <c r="B2144" s="2" t="s">
        <v>2244</v>
      </c>
      <c r="C2144" s="2" t="s">
        <v>200</v>
      </c>
      <c r="D2144" s="2" t="s">
        <v>26</v>
      </c>
      <c r="E2144" s="2" t="s">
        <v>23</v>
      </c>
      <c r="F2144" s="2">
        <v>7.091709081E9</v>
      </c>
    </row>
    <row r="2145" ht="15.75" customHeight="1">
      <c r="A2145" s="2" t="s">
        <v>466</v>
      </c>
      <c r="B2145" s="2" t="s">
        <v>65</v>
      </c>
      <c r="C2145" s="2" t="s">
        <v>83</v>
      </c>
      <c r="D2145" s="2" t="s">
        <v>29</v>
      </c>
      <c r="E2145" s="2" t="s">
        <v>282</v>
      </c>
      <c r="F2145" s="2">
        <v>9.998009896E9</v>
      </c>
    </row>
    <row r="2146" ht="15.75" customHeight="1">
      <c r="A2146" s="2" t="s">
        <v>2245</v>
      </c>
      <c r="B2146" s="2" t="s">
        <v>212</v>
      </c>
      <c r="C2146" s="2" t="s">
        <v>1582</v>
      </c>
      <c r="D2146" s="2" t="s">
        <v>56</v>
      </c>
      <c r="E2146" s="2" t="s">
        <v>19</v>
      </c>
      <c r="F2146" s="2">
        <v>8.986568303E9</v>
      </c>
    </row>
    <row r="2147" ht="15.75" customHeight="1">
      <c r="A2147" s="2" t="s">
        <v>2246</v>
      </c>
      <c r="B2147" s="2" t="s">
        <v>212</v>
      </c>
      <c r="C2147" s="2" t="s">
        <v>271</v>
      </c>
      <c r="D2147" s="2" t="s">
        <v>44</v>
      </c>
      <c r="E2147" s="2" t="s">
        <v>255</v>
      </c>
      <c r="F2147" s="2">
        <v>9.304926827E9</v>
      </c>
    </row>
    <row r="2148" ht="15.75" customHeight="1">
      <c r="A2148" s="2" t="s">
        <v>1623</v>
      </c>
      <c r="B2148" s="2" t="s">
        <v>2247</v>
      </c>
      <c r="C2148" s="2" t="s">
        <v>58</v>
      </c>
      <c r="D2148" s="2" t="s">
        <v>9</v>
      </c>
      <c r="E2148" s="2" t="s">
        <v>19</v>
      </c>
      <c r="F2148" s="2">
        <v>6.202612938E9</v>
      </c>
    </row>
    <row r="2149" ht="15.75" customHeight="1">
      <c r="A2149" s="2" t="s">
        <v>2248</v>
      </c>
      <c r="B2149" s="2" t="s">
        <v>65</v>
      </c>
      <c r="C2149" s="2" t="s">
        <v>235</v>
      </c>
      <c r="D2149" s="2" t="s">
        <v>26</v>
      </c>
      <c r="E2149" s="2" t="s">
        <v>19</v>
      </c>
      <c r="F2149" s="2">
        <v>9.110981057E9</v>
      </c>
    </row>
    <row r="2150" ht="15.75" customHeight="1">
      <c r="A2150" s="2" t="s">
        <v>2249</v>
      </c>
      <c r="B2150" s="2" t="s">
        <v>1724</v>
      </c>
      <c r="C2150" s="2" t="s">
        <v>1637</v>
      </c>
      <c r="D2150" s="2" t="s">
        <v>56</v>
      </c>
      <c r="E2150" s="2" t="s">
        <v>19</v>
      </c>
      <c r="F2150" s="2">
        <v>9.304279334E9</v>
      </c>
    </row>
    <row r="2151" ht="15.75" customHeight="1">
      <c r="A2151" s="2" t="s">
        <v>1571</v>
      </c>
      <c r="B2151" s="2" t="s">
        <v>308</v>
      </c>
      <c r="C2151" s="2" t="s">
        <v>360</v>
      </c>
      <c r="D2151" s="2" t="s">
        <v>44</v>
      </c>
      <c r="E2151" s="2" t="s">
        <v>23</v>
      </c>
      <c r="F2151" s="2">
        <v>6.200061091E9</v>
      </c>
    </row>
    <row r="2152" ht="15.75" customHeight="1">
      <c r="A2152" s="2" t="s">
        <v>122</v>
      </c>
      <c r="B2152" s="2" t="s">
        <v>122</v>
      </c>
      <c r="C2152" s="2" t="s">
        <v>2070</v>
      </c>
      <c r="D2152" s="2" t="s">
        <v>26</v>
      </c>
      <c r="E2152" s="2" t="s">
        <v>19</v>
      </c>
      <c r="F2152" s="2">
        <v>9.142541588E9</v>
      </c>
    </row>
    <row r="2153" ht="15.75" customHeight="1">
      <c r="A2153" s="2" t="s">
        <v>2250</v>
      </c>
      <c r="B2153" s="2" t="s">
        <v>2251</v>
      </c>
      <c r="C2153" s="2" t="s">
        <v>305</v>
      </c>
      <c r="D2153" s="2" t="s">
        <v>26</v>
      </c>
      <c r="E2153" s="2" t="s">
        <v>19</v>
      </c>
      <c r="F2153" s="2">
        <v>9.057417343E9</v>
      </c>
    </row>
    <row r="2154" ht="15.75" customHeight="1">
      <c r="A2154" s="2" t="s">
        <v>229</v>
      </c>
      <c r="B2154" s="2" t="s">
        <v>225</v>
      </c>
      <c r="C2154" s="2" t="s">
        <v>330</v>
      </c>
      <c r="D2154" s="2" t="s">
        <v>102</v>
      </c>
      <c r="E2154" s="2" t="s">
        <v>19</v>
      </c>
      <c r="F2154" s="2">
        <v>9.334251882E9</v>
      </c>
    </row>
    <row r="2155" ht="15.75" customHeight="1">
      <c r="A2155" s="2" t="s">
        <v>2144</v>
      </c>
      <c r="B2155" s="2" t="s">
        <v>332</v>
      </c>
      <c r="C2155" s="2" t="s">
        <v>210</v>
      </c>
      <c r="D2155" s="2" t="s">
        <v>26</v>
      </c>
      <c r="E2155" s="2" t="s">
        <v>23</v>
      </c>
      <c r="F2155" s="2">
        <v>9.955460801E9</v>
      </c>
    </row>
    <row r="2156" ht="15.75" customHeight="1">
      <c r="A2156" s="2" t="s">
        <v>1721</v>
      </c>
      <c r="B2156" s="2" t="s">
        <v>55</v>
      </c>
      <c r="C2156" s="2" t="s">
        <v>423</v>
      </c>
      <c r="D2156" s="2" t="s">
        <v>56</v>
      </c>
      <c r="E2156" s="2" t="s">
        <v>23</v>
      </c>
      <c r="F2156" s="2">
        <v>8.789541007E9</v>
      </c>
    </row>
    <row r="2157" ht="15.75" customHeight="1">
      <c r="A2157" s="2" t="s">
        <v>109</v>
      </c>
      <c r="B2157" s="2" t="s">
        <v>960</v>
      </c>
      <c r="C2157" s="2" t="s">
        <v>1036</v>
      </c>
      <c r="D2157" s="2" t="s">
        <v>56</v>
      </c>
      <c r="E2157" s="2" t="s">
        <v>19</v>
      </c>
      <c r="F2157" s="2">
        <v>9.955187749E9</v>
      </c>
    </row>
    <row r="2158" ht="15.75" customHeight="1">
      <c r="A2158" s="2" t="s">
        <v>2252</v>
      </c>
      <c r="B2158" s="2" t="s">
        <v>212</v>
      </c>
      <c r="C2158" s="2" t="s">
        <v>576</v>
      </c>
      <c r="D2158" s="2" t="s">
        <v>9</v>
      </c>
      <c r="E2158" s="2" t="s">
        <v>255</v>
      </c>
      <c r="F2158" s="2">
        <v>6.200174147E9</v>
      </c>
    </row>
    <row r="2159" ht="15.75" customHeight="1">
      <c r="A2159" s="2" t="s">
        <v>2253</v>
      </c>
      <c r="B2159" s="2" t="s">
        <v>2253</v>
      </c>
      <c r="C2159" s="2" t="s">
        <v>412</v>
      </c>
      <c r="D2159" s="2" t="s">
        <v>9</v>
      </c>
      <c r="E2159" s="2" t="s">
        <v>19</v>
      </c>
      <c r="F2159" s="2">
        <v>7.979948723E9</v>
      </c>
    </row>
    <row r="2160" ht="15.75" customHeight="1">
      <c r="A2160" s="2" t="s">
        <v>1551</v>
      </c>
      <c r="B2160" s="2" t="s">
        <v>88</v>
      </c>
      <c r="C2160" s="2" t="s">
        <v>305</v>
      </c>
      <c r="D2160" s="2" t="s">
        <v>9</v>
      </c>
      <c r="E2160" s="2" t="s">
        <v>23</v>
      </c>
      <c r="F2160" s="2">
        <v>6.204657891E9</v>
      </c>
    </row>
    <row r="2161" ht="15.75" customHeight="1">
      <c r="A2161" s="2" t="s">
        <v>2245</v>
      </c>
      <c r="B2161" s="2" t="s">
        <v>55</v>
      </c>
      <c r="C2161" s="2" t="s">
        <v>970</v>
      </c>
      <c r="D2161" s="2" t="s">
        <v>56</v>
      </c>
      <c r="E2161" s="2" t="s">
        <v>19</v>
      </c>
      <c r="F2161" s="2">
        <v>7.004252551E9</v>
      </c>
    </row>
    <row r="2162" ht="15.75" customHeight="1">
      <c r="A2162" s="2" t="s">
        <v>1290</v>
      </c>
      <c r="B2162" s="2" t="s">
        <v>800</v>
      </c>
      <c r="C2162" s="2" t="s">
        <v>1036</v>
      </c>
      <c r="D2162" s="2" t="s">
        <v>44</v>
      </c>
      <c r="E2162" s="2" t="s">
        <v>19</v>
      </c>
      <c r="F2162" s="2">
        <v>8.051096228E9</v>
      </c>
    </row>
    <row r="2163" ht="15.75" customHeight="1">
      <c r="A2163" s="2" t="s">
        <v>762</v>
      </c>
      <c r="B2163" s="2" t="s">
        <v>1658</v>
      </c>
      <c r="C2163" s="2" t="s">
        <v>289</v>
      </c>
      <c r="D2163" s="2" t="s">
        <v>26</v>
      </c>
      <c r="E2163" s="2" t="s">
        <v>19</v>
      </c>
      <c r="F2163" s="2">
        <v>8.294613066E9</v>
      </c>
    </row>
    <row r="2164" ht="15.75" customHeight="1">
      <c r="A2164" s="2" t="s">
        <v>579</v>
      </c>
      <c r="B2164" s="2" t="s">
        <v>65</v>
      </c>
      <c r="C2164" s="2" t="s">
        <v>1379</v>
      </c>
      <c r="D2164" s="2" t="s">
        <v>56</v>
      </c>
      <c r="E2164" s="2" t="s">
        <v>23</v>
      </c>
      <c r="F2164" s="2">
        <v>7.90329225E9</v>
      </c>
    </row>
    <row r="2165" ht="15.75" customHeight="1">
      <c r="A2165" s="2" t="s">
        <v>2254</v>
      </c>
      <c r="B2165" s="2" t="s">
        <v>88</v>
      </c>
      <c r="C2165" s="2" t="s">
        <v>399</v>
      </c>
      <c r="D2165" s="2" t="s">
        <v>29</v>
      </c>
      <c r="E2165" s="2" t="s">
        <v>23</v>
      </c>
      <c r="F2165" s="2">
        <v>9.162489664E9</v>
      </c>
    </row>
    <row r="2166" ht="15.75" customHeight="1">
      <c r="A2166" s="2" t="s">
        <v>2255</v>
      </c>
      <c r="B2166" s="2" t="s">
        <v>520</v>
      </c>
      <c r="C2166" s="2" t="s">
        <v>2256</v>
      </c>
      <c r="D2166" s="2" t="s">
        <v>9</v>
      </c>
      <c r="E2166" s="2" t="s">
        <v>19</v>
      </c>
      <c r="F2166" s="2">
        <v>7.004400363E9</v>
      </c>
    </row>
    <row r="2167" ht="15.75" customHeight="1">
      <c r="A2167" s="2" t="s">
        <v>2257</v>
      </c>
      <c r="B2167" s="2" t="s">
        <v>2258</v>
      </c>
      <c r="C2167" s="2" t="s">
        <v>2259</v>
      </c>
      <c r="D2167" s="2" t="s">
        <v>44</v>
      </c>
      <c r="E2167" s="2" t="s">
        <v>282</v>
      </c>
      <c r="F2167" s="2">
        <v>9.825097712E9</v>
      </c>
    </row>
    <row r="2168" ht="15.75" customHeight="1">
      <c r="A2168" s="2" t="s">
        <v>1092</v>
      </c>
      <c r="B2168" s="2" t="s">
        <v>119</v>
      </c>
      <c r="C2168" s="2" t="s">
        <v>330</v>
      </c>
      <c r="D2168" s="2" t="s">
        <v>56</v>
      </c>
      <c r="E2168" s="2" t="s">
        <v>19</v>
      </c>
      <c r="F2168" s="2">
        <v>7.488969706E9</v>
      </c>
    </row>
    <row r="2169" ht="15.75" customHeight="1">
      <c r="A2169" s="2" t="s">
        <v>2260</v>
      </c>
      <c r="B2169" s="2" t="s">
        <v>1557</v>
      </c>
      <c r="C2169" s="2" t="s">
        <v>330</v>
      </c>
      <c r="D2169" s="2" t="s">
        <v>29</v>
      </c>
      <c r="E2169" s="2" t="s">
        <v>19</v>
      </c>
      <c r="F2169" s="2">
        <v>8.78916829E9</v>
      </c>
    </row>
    <row r="2170" ht="15.75" customHeight="1">
      <c r="A2170" s="2" t="s">
        <v>2261</v>
      </c>
      <c r="B2170" s="2" t="s">
        <v>55</v>
      </c>
      <c r="C2170" s="2" t="s">
        <v>576</v>
      </c>
      <c r="D2170" s="2" t="s">
        <v>26</v>
      </c>
      <c r="E2170" s="2" t="s">
        <v>255</v>
      </c>
      <c r="F2170" s="2">
        <v>9.279178215E9</v>
      </c>
    </row>
    <row r="2171" ht="15.75" customHeight="1">
      <c r="A2171" s="2" t="s">
        <v>2262</v>
      </c>
      <c r="B2171" s="2" t="s">
        <v>21</v>
      </c>
      <c r="C2171" s="2" t="s">
        <v>360</v>
      </c>
      <c r="D2171" s="2" t="s">
        <v>56</v>
      </c>
      <c r="E2171" s="2" t="s">
        <v>23</v>
      </c>
      <c r="F2171" s="2">
        <v>7.688675645E9</v>
      </c>
    </row>
    <row r="2172" ht="15.75" customHeight="1">
      <c r="A2172" s="2" t="s">
        <v>113</v>
      </c>
      <c r="B2172" s="2" t="s">
        <v>882</v>
      </c>
      <c r="C2172" s="2" t="s">
        <v>2263</v>
      </c>
      <c r="D2172" s="2" t="s">
        <v>26</v>
      </c>
      <c r="E2172" s="2" t="s">
        <v>19</v>
      </c>
      <c r="F2172" s="2">
        <v>9.470135686E9</v>
      </c>
    </row>
    <row r="2173" ht="15.75" customHeight="1">
      <c r="A2173" s="2" t="s">
        <v>1290</v>
      </c>
      <c r="B2173" s="2" t="s">
        <v>594</v>
      </c>
      <c r="C2173" s="2" t="s">
        <v>817</v>
      </c>
      <c r="D2173" s="2" t="s">
        <v>26</v>
      </c>
      <c r="E2173" s="2" t="s">
        <v>19</v>
      </c>
      <c r="F2173" s="2">
        <v>8.877014547E9</v>
      </c>
    </row>
    <row r="2174" ht="15.75" customHeight="1">
      <c r="A2174" s="2" t="s">
        <v>1563</v>
      </c>
      <c r="B2174" s="2" t="s">
        <v>50</v>
      </c>
      <c r="C2174" s="2" t="s">
        <v>181</v>
      </c>
      <c r="D2174" s="2" t="s">
        <v>44</v>
      </c>
      <c r="E2174" s="2" t="s">
        <v>19</v>
      </c>
      <c r="F2174" s="2">
        <v>6.201376553E9</v>
      </c>
    </row>
    <row r="2175" ht="15.75" customHeight="1">
      <c r="A2175" s="2" t="s">
        <v>1921</v>
      </c>
      <c r="B2175" s="2" t="s">
        <v>88</v>
      </c>
      <c r="C2175" s="2" t="s">
        <v>504</v>
      </c>
      <c r="D2175" s="2" t="s">
        <v>26</v>
      </c>
      <c r="E2175" s="2" t="s">
        <v>19</v>
      </c>
      <c r="F2175" s="2">
        <v>9.11343292E9</v>
      </c>
    </row>
    <row r="2176" ht="15.75" customHeight="1">
      <c r="A2176" s="2" t="s">
        <v>2264</v>
      </c>
      <c r="B2176" s="2" t="s">
        <v>982</v>
      </c>
      <c r="C2176" s="2" t="s">
        <v>2265</v>
      </c>
      <c r="D2176" s="2" t="s">
        <v>9</v>
      </c>
      <c r="E2176" s="2" t="s">
        <v>23</v>
      </c>
      <c r="F2176" s="2">
        <v>8.002564012E9</v>
      </c>
    </row>
    <row r="2177" ht="15.75" customHeight="1">
      <c r="A2177" s="2" t="s">
        <v>2266</v>
      </c>
      <c r="B2177" s="2" t="s">
        <v>1599</v>
      </c>
      <c r="C2177" s="2" t="s">
        <v>580</v>
      </c>
      <c r="D2177" s="2" t="s">
        <v>9</v>
      </c>
      <c r="E2177" s="2" t="s">
        <v>23</v>
      </c>
      <c r="F2177" s="2">
        <v>6.205671428E9</v>
      </c>
    </row>
    <row r="2178" ht="15.75" customHeight="1">
      <c r="A2178" s="2" t="s">
        <v>2267</v>
      </c>
      <c r="B2178" s="2" t="s">
        <v>63</v>
      </c>
      <c r="C2178" s="2" t="s">
        <v>235</v>
      </c>
      <c r="D2178" s="2" t="s">
        <v>26</v>
      </c>
      <c r="E2178" s="2" t="s">
        <v>19</v>
      </c>
      <c r="F2178" s="2">
        <v>8.299673245E9</v>
      </c>
    </row>
    <row r="2179" ht="15.75" customHeight="1">
      <c r="A2179" s="2" t="s">
        <v>1463</v>
      </c>
      <c r="B2179" s="2" t="s">
        <v>1463</v>
      </c>
      <c r="C2179" s="2" t="s">
        <v>1010</v>
      </c>
      <c r="D2179" s="2" t="s">
        <v>26</v>
      </c>
      <c r="E2179" s="2" t="s">
        <v>19</v>
      </c>
      <c r="F2179" s="2">
        <v>8.521649106E9</v>
      </c>
    </row>
    <row r="2180" ht="15.75" customHeight="1">
      <c r="A2180" s="2" t="s">
        <v>383</v>
      </c>
      <c r="B2180" s="2" t="s">
        <v>50</v>
      </c>
      <c r="C2180" s="2" t="s">
        <v>360</v>
      </c>
      <c r="D2180" s="2" t="s">
        <v>44</v>
      </c>
      <c r="E2180" s="2" t="s">
        <v>19</v>
      </c>
      <c r="F2180" s="2">
        <v>8.210198327E9</v>
      </c>
    </row>
    <row r="2181" ht="15.75" customHeight="1">
      <c r="A2181" s="2" t="s">
        <v>2268</v>
      </c>
      <c r="B2181" s="2" t="s">
        <v>119</v>
      </c>
      <c r="C2181" s="2" t="s">
        <v>662</v>
      </c>
      <c r="D2181" s="2" t="s">
        <v>56</v>
      </c>
      <c r="E2181" s="2" t="s">
        <v>19</v>
      </c>
      <c r="F2181" s="2">
        <v>7.38223834E9</v>
      </c>
    </row>
    <row r="2182" ht="15.75" customHeight="1">
      <c r="A2182" s="2" t="s">
        <v>2269</v>
      </c>
      <c r="B2182" s="2" t="s">
        <v>398</v>
      </c>
      <c r="C2182" s="2" t="s">
        <v>556</v>
      </c>
      <c r="D2182" s="2" t="s">
        <v>9</v>
      </c>
      <c r="E2182" s="2" t="s">
        <v>255</v>
      </c>
      <c r="F2182" s="2">
        <v>7.740417796E9</v>
      </c>
    </row>
    <row r="2183" ht="15.75" customHeight="1">
      <c r="A2183" s="2" t="s">
        <v>50</v>
      </c>
      <c r="B2183" s="2" t="s">
        <v>52</v>
      </c>
      <c r="C2183" s="2" t="s">
        <v>576</v>
      </c>
      <c r="D2183" s="2" t="s">
        <v>29</v>
      </c>
      <c r="E2183" s="2" t="s">
        <v>23</v>
      </c>
      <c r="F2183" s="2">
        <v>6.203578145E9</v>
      </c>
    </row>
    <row r="2184" ht="15.75" customHeight="1">
      <c r="A2184" s="2" t="s">
        <v>1290</v>
      </c>
      <c r="B2184" s="2" t="s">
        <v>2270</v>
      </c>
      <c r="C2184" s="2" t="s">
        <v>1818</v>
      </c>
      <c r="D2184" s="2" t="s">
        <v>56</v>
      </c>
      <c r="E2184" s="2" t="s">
        <v>19</v>
      </c>
      <c r="F2184" s="2">
        <v>8.469294664E9</v>
      </c>
    </row>
    <row r="2185" ht="15.75" customHeight="1">
      <c r="A2185" s="2" t="s">
        <v>2271</v>
      </c>
      <c r="B2185" s="2" t="s">
        <v>565</v>
      </c>
      <c r="C2185" s="2" t="s">
        <v>423</v>
      </c>
      <c r="D2185" s="2" t="s">
        <v>26</v>
      </c>
      <c r="E2185" s="2" t="s">
        <v>19</v>
      </c>
      <c r="F2185" s="2">
        <v>7.762848531E9</v>
      </c>
    </row>
    <row r="2186" ht="15.75" customHeight="1">
      <c r="A2186" s="2" t="s">
        <v>450</v>
      </c>
      <c r="B2186" s="2" t="s">
        <v>145</v>
      </c>
      <c r="C2186" s="2" t="s">
        <v>970</v>
      </c>
      <c r="D2186" s="2" t="s">
        <v>26</v>
      </c>
      <c r="E2186" s="2" t="s">
        <v>19</v>
      </c>
      <c r="F2186" s="2">
        <v>7.910556207E9</v>
      </c>
    </row>
    <row r="2187" ht="15.75" customHeight="1">
      <c r="A2187" s="2" t="s">
        <v>2272</v>
      </c>
      <c r="B2187" s="2" t="s">
        <v>594</v>
      </c>
      <c r="C2187" s="2" t="s">
        <v>655</v>
      </c>
      <c r="D2187" s="2" t="s">
        <v>14</v>
      </c>
      <c r="E2187" s="2" t="s">
        <v>19</v>
      </c>
      <c r="F2187" s="2">
        <v>8.602030917E9</v>
      </c>
    </row>
    <row r="2188" ht="15.75" customHeight="1">
      <c r="A2188" s="2" t="s">
        <v>2269</v>
      </c>
      <c r="B2188" s="2" t="s">
        <v>869</v>
      </c>
      <c r="C2188" s="2" t="s">
        <v>839</v>
      </c>
      <c r="D2188" s="2" t="s">
        <v>29</v>
      </c>
      <c r="E2188" s="2" t="s">
        <v>23</v>
      </c>
      <c r="F2188" s="2">
        <v>9.1220332E9</v>
      </c>
    </row>
    <row r="2189" ht="15.75" customHeight="1">
      <c r="A2189" s="2" t="s">
        <v>1451</v>
      </c>
      <c r="B2189" s="2" t="s">
        <v>212</v>
      </c>
      <c r="C2189" s="2" t="s">
        <v>655</v>
      </c>
      <c r="D2189" s="2" t="s">
        <v>26</v>
      </c>
      <c r="E2189" s="2" t="s">
        <v>23</v>
      </c>
      <c r="F2189" s="2">
        <v>9.479738029E9</v>
      </c>
    </row>
    <row r="2190" ht="15.75" customHeight="1">
      <c r="A2190" s="2" t="s">
        <v>2218</v>
      </c>
      <c r="B2190" s="2" t="s">
        <v>65</v>
      </c>
      <c r="C2190" s="2" t="s">
        <v>412</v>
      </c>
      <c r="D2190" s="2" t="s">
        <v>9</v>
      </c>
      <c r="E2190" s="2" t="s">
        <v>19</v>
      </c>
      <c r="F2190" s="2">
        <v>8.789622808E9</v>
      </c>
    </row>
    <row r="2191" ht="15.75" customHeight="1">
      <c r="A2191" s="2" t="s">
        <v>234</v>
      </c>
      <c r="B2191" s="2" t="s">
        <v>2273</v>
      </c>
      <c r="C2191" s="2" t="s">
        <v>1408</v>
      </c>
      <c r="D2191" s="2" t="s">
        <v>26</v>
      </c>
      <c r="E2191" s="2" t="s">
        <v>19</v>
      </c>
      <c r="F2191" s="2">
        <v>7.765833205E9</v>
      </c>
    </row>
    <row r="2192" ht="15.75" customHeight="1">
      <c r="A2192" s="2" t="s">
        <v>1273</v>
      </c>
      <c r="B2192" s="2" t="s">
        <v>52</v>
      </c>
      <c r="C2192" s="2" t="s">
        <v>330</v>
      </c>
      <c r="D2192" s="2" t="s">
        <v>29</v>
      </c>
      <c r="E2192" s="2" t="s">
        <v>19</v>
      </c>
      <c r="F2192" s="2">
        <v>9.852811786E9</v>
      </c>
    </row>
    <row r="2193" ht="15.75" customHeight="1">
      <c r="A2193" s="2" t="s">
        <v>2274</v>
      </c>
      <c r="B2193" s="2" t="s">
        <v>119</v>
      </c>
      <c r="C2193" s="2" t="s">
        <v>504</v>
      </c>
      <c r="D2193" s="2" t="s">
        <v>56</v>
      </c>
      <c r="E2193" s="2" t="s">
        <v>19</v>
      </c>
      <c r="F2193" s="2">
        <v>7.488140245E9</v>
      </c>
    </row>
    <row r="2194" ht="15.75" customHeight="1">
      <c r="A2194" s="2" t="s">
        <v>2275</v>
      </c>
      <c r="B2194" s="2" t="s">
        <v>257</v>
      </c>
      <c r="C2194" s="2" t="s">
        <v>556</v>
      </c>
      <c r="D2194" s="2" t="s">
        <v>29</v>
      </c>
      <c r="E2194" s="2" t="s">
        <v>255</v>
      </c>
      <c r="F2194" s="2">
        <v>9.304905985E9</v>
      </c>
    </row>
    <row r="2195" ht="15.75" customHeight="1">
      <c r="A2195" s="2" t="s">
        <v>1290</v>
      </c>
      <c r="B2195" s="2" t="s">
        <v>65</v>
      </c>
      <c r="C2195" s="2" t="s">
        <v>1408</v>
      </c>
      <c r="D2195" s="2" t="s">
        <v>56</v>
      </c>
      <c r="E2195" s="2" t="s">
        <v>23</v>
      </c>
      <c r="F2195" s="2">
        <v>8.42484185E9</v>
      </c>
    </row>
    <row r="2196" ht="15.75" customHeight="1">
      <c r="A2196" s="2" t="s">
        <v>299</v>
      </c>
      <c r="B2196" s="2" t="s">
        <v>212</v>
      </c>
      <c r="C2196" s="2" t="s">
        <v>1903</v>
      </c>
      <c r="D2196" s="2" t="s">
        <v>26</v>
      </c>
      <c r="E2196" s="2" t="s">
        <v>19</v>
      </c>
      <c r="F2196" s="2">
        <v>7.870122923E9</v>
      </c>
    </row>
    <row r="2197" ht="15.75" customHeight="1">
      <c r="A2197" s="2" t="s">
        <v>525</v>
      </c>
      <c r="B2197" s="2" t="s">
        <v>1362</v>
      </c>
      <c r="C2197" s="2" t="s">
        <v>106</v>
      </c>
      <c r="D2197" s="2" t="s">
        <v>44</v>
      </c>
      <c r="E2197" s="2" t="s">
        <v>19</v>
      </c>
      <c r="F2197" s="2">
        <v>7.763802009E9</v>
      </c>
    </row>
    <row r="2198" ht="15.75" customHeight="1">
      <c r="A2198" s="2" t="s">
        <v>636</v>
      </c>
      <c r="B2198" s="2" t="s">
        <v>125</v>
      </c>
      <c r="C2198" s="2" t="s">
        <v>576</v>
      </c>
      <c r="D2198" s="2" t="s">
        <v>56</v>
      </c>
      <c r="E2198" s="2" t="s">
        <v>19</v>
      </c>
      <c r="F2198" s="2">
        <v>9.23485658E9</v>
      </c>
    </row>
    <row r="2199" ht="15.75" customHeight="1">
      <c r="A2199" s="2" t="s">
        <v>2276</v>
      </c>
      <c r="B2199" s="2" t="s">
        <v>2277</v>
      </c>
      <c r="C2199" s="2" t="s">
        <v>399</v>
      </c>
      <c r="D2199" s="2" t="s">
        <v>26</v>
      </c>
      <c r="E2199" s="2" t="s">
        <v>23</v>
      </c>
      <c r="F2199" s="2">
        <v>8.294264578E9</v>
      </c>
    </row>
    <row r="2200" ht="15.75" customHeight="1">
      <c r="A2200" s="2" t="s">
        <v>776</v>
      </c>
      <c r="B2200" s="2" t="s">
        <v>332</v>
      </c>
      <c r="C2200" s="2" t="s">
        <v>729</v>
      </c>
      <c r="D2200" s="2" t="s">
        <v>56</v>
      </c>
      <c r="E2200" s="2" t="s">
        <v>19</v>
      </c>
      <c r="F2200" s="2">
        <v>7.362850243E9</v>
      </c>
    </row>
    <row r="2201" ht="15.75" customHeight="1">
      <c r="A2201" s="2" t="s">
        <v>1429</v>
      </c>
      <c r="B2201" s="2" t="s">
        <v>2164</v>
      </c>
      <c r="C2201" s="2" t="s">
        <v>412</v>
      </c>
      <c r="D2201" s="2" t="s">
        <v>9</v>
      </c>
      <c r="E2201" s="2" t="s">
        <v>19</v>
      </c>
      <c r="F2201" s="2">
        <v>9.097764521E9</v>
      </c>
    </row>
    <row r="2202" ht="15.75" customHeight="1">
      <c r="A2202" s="2" t="s">
        <v>1419</v>
      </c>
      <c r="B2202" s="2" t="s">
        <v>63</v>
      </c>
      <c r="C2202" s="2" t="s">
        <v>58</v>
      </c>
      <c r="D2202" s="2" t="s">
        <v>26</v>
      </c>
      <c r="E2202" s="2" t="s">
        <v>19</v>
      </c>
      <c r="F2202" s="2">
        <v>9.334422909E9</v>
      </c>
    </row>
    <row r="2203" ht="15.75" customHeight="1">
      <c r="A2203" s="2" t="s">
        <v>1470</v>
      </c>
      <c r="B2203" s="2" t="s">
        <v>63</v>
      </c>
      <c r="C2203" s="2" t="s">
        <v>650</v>
      </c>
      <c r="D2203" s="2" t="s">
        <v>26</v>
      </c>
      <c r="E2203" s="2" t="s">
        <v>19</v>
      </c>
      <c r="F2203" s="2">
        <v>9.508088116E9</v>
      </c>
    </row>
    <row r="2204" ht="15.75" customHeight="1">
      <c r="A2204" s="2" t="s">
        <v>2276</v>
      </c>
      <c r="B2204" s="2" t="s">
        <v>2247</v>
      </c>
      <c r="C2204" s="2" t="s">
        <v>274</v>
      </c>
      <c r="D2204" s="2" t="s">
        <v>44</v>
      </c>
      <c r="E2204" s="2" t="s">
        <v>255</v>
      </c>
      <c r="F2204" s="2">
        <v>9.7718012E9</v>
      </c>
    </row>
    <row r="2205" ht="15.75" customHeight="1">
      <c r="A2205" s="2" t="s">
        <v>2278</v>
      </c>
      <c r="B2205" s="2" t="s">
        <v>664</v>
      </c>
      <c r="C2205" s="2" t="s">
        <v>310</v>
      </c>
      <c r="D2205" s="2" t="s">
        <v>9</v>
      </c>
      <c r="E2205" s="2" t="s">
        <v>23</v>
      </c>
      <c r="F2205" s="2">
        <v>7.361030112E9</v>
      </c>
    </row>
    <row r="2206" ht="15.75" customHeight="1">
      <c r="A2206" s="2" t="s">
        <v>2206</v>
      </c>
      <c r="B2206" s="2" t="s">
        <v>2206</v>
      </c>
      <c r="C2206" s="2" t="s">
        <v>277</v>
      </c>
      <c r="D2206" s="2" t="s">
        <v>26</v>
      </c>
      <c r="E2206" s="2" t="s">
        <v>19</v>
      </c>
      <c r="F2206" s="2">
        <v>6.200566468E9</v>
      </c>
    </row>
    <row r="2207" ht="15.75" customHeight="1">
      <c r="A2207" s="2" t="s">
        <v>77</v>
      </c>
      <c r="B2207" s="2" t="s">
        <v>1912</v>
      </c>
      <c r="C2207" s="2" t="s">
        <v>258</v>
      </c>
      <c r="D2207" s="2" t="s">
        <v>56</v>
      </c>
      <c r="E2207" s="2" t="s">
        <v>19</v>
      </c>
      <c r="F2207" s="2">
        <v>9.23485658E9</v>
      </c>
    </row>
    <row r="2208" ht="15.75" customHeight="1">
      <c r="A2208" s="2" t="s">
        <v>376</v>
      </c>
      <c r="B2208" s="2" t="s">
        <v>2279</v>
      </c>
      <c r="C2208" s="2" t="s">
        <v>58</v>
      </c>
      <c r="D2208" s="2" t="s">
        <v>44</v>
      </c>
      <c r="E2208" s="2" t="s">
        <v>19</v>
      </c>
      <c r="F2208" s="2">
        <v>9.479651066E9</v>
      </c>
    </row>
    <row r="2209" ht="15.75" customHeight="1">
      <c r="A2209" s="2" t="s">
        <v>1114</v>
      </c>
      <c r="B2209" s="2" t="s">
        <v>550</v>
      </c>
      <c r="C2209" s="2" t="s">
        <v>1001</v>
      </c>
      <c r="D2209" s="2" t="s">
        <v>102</v>
      </c>
      <c r="E2209" s="2" t="s">
        <v>23</v>
      </c>
      <c r="F2209" s="2">
        <v>6.299106593E9</v>
      </c>
    </row>
    <row r="2210" ht="15.75" customHeight="1">
      <c r="A2210" s="2" t="s">
        <v>776</v>
      </c>
      <c r="B2210" s="2" t="s">
        <v>2280</v>
      </c>
      <c r="C2210" s="2" t="s">
        <v>1533</v>
      </c>
      <c r="D2210" s="2" t="s">
        <v>26</v>
      </c>
      <c r="E2210" s="2" t="s">
        <v>19</v>
      </c>
      <c r="F2210" s="2">
        <v>8.292638435E9</v>
      </c>
    </row>
    <row r="2211" ht="15.75" customHeight="1">
      <c r="A2211" s="2" t="s">
        <v>525</v>
      </c>
      <c r="B2211" s="2" t="s">
        <v>50</v>
      </c>
      <c r="C2211" s="2" t="s">
        <v>1420</v>
      </c>
      <c r="D2211" s="2" t="s">
        <v>9</v>
      </c>
      <c r="E2211" s="2" t="s">
        <v>19</v>
      </c>
      <c r="F2211" s="2">
        <v>7.909042296E9</v>
      </c>
    </row>
    <row r="2212" ht="15.75" customHeight="1">
      <c r="A2212" s="2" t="s">
        <v>1079</v>
      </c>
      <c r="B2212" s="2" t="s">
        <v>52</v>
      </c>
      <c r="C2212" s="2" t="s">
        <v>58</v>
      </c>
      <c r="D2212" s="2" t="s">
        <v>29</v>
      </c>
      <c r="E2212" s="2" t="s">
        <v>23</v>
      </c>
      <c r="F2212" s="2">
        <v>8.789641262E9</v>
      </c>
    </row>
    <row r="2213" ht="15.75" customHeight="1">
      <c r="A2213" s="2" t="s">
        <v>125</v>
      </c>
      <c r="B2213" s="2" t="s">
        <v>2281</v>
      </c>
      <c r="C2213" s="2" t="s">
        <v>235</v>
      </c>
      <c r="D2213" s="2" t="s">
        <v>26</v>
      </c>
      <c r="E2213" s="2" t="s">
        <v>19</v>
      </c>
      <c r="F2213" s="2">
        <v>7.763888805E9</v>
      </c>
    </row>
    <row r="2214" ht="15.75" customHeight="1">
      <c r="A2214" s="2" t="s">
        <v>2255</v>
      </c>
      <c r="B2214" s="2" t="s">
        <v>398</v>
      </c>
      <c r="C2214" s="2" t="s">
        <v>83</v>
      </c>
      <c r="D2214" s="2" t="s">
        <v>9</v>
      </c>
      <c r="E2214" s="2" t="s">
        <v>23</v>
      </c>
      <c r="F2214" s="2">
        <v>9.835162711E9</v>
      </c>
    </row>
    <row r="2215" ht="15.75" customHeight="1">
      <c r="A2215" s="2" t="s">
        <v>861</v>
      </c>
      <c r="B2215" s="2" t="s">
        <v>55</v>
      </c>
      <c r="C2215" s="2" t="s">
        <v>2127</v>
      </c>
      <c r="D2215" s="2" t="s">
        <v>44</v>
      </c>
      <c r="E2215" s="2" t="s">
        <v>255</v>
      </c>
      <c r="F2215" s="2">
        <v>6.723345998E9</v>
      </c>
    </row>
    <row r="2216" ht="15.75" customHeight="1">
      <c r="A2216" s="2" t="s">
        <v>2282</v>
      </c>
      <c r="B2216" s="2" t="s">
        <v>328</v>
      </c>
      <c r="C2216" s="2" t="s">
        <v>1504</v>
      </c>
      <c r="D2216" s="2" t="s">
        <v>29</v>
      </c>
      <c r="E2216" s="2" t="s">
        <v>19</v>
      </c>
      <c r="F2216" s="2">
        <v>8.340266616E9</v>
      </c>
    </row>
    <row r="2217" ht="15.75" customHeight="1">
      <c r="A2217" s="2" t="s">
        <v>666</v>
      </c>
      <c r="B2217" s="2" t="s">
        <v>88</v>
      </c>
      <c r="C2217" s="2" t="s">
        <v>792</v>
      </c>
      <c r="D2217" s="2" t="s">
        <v>26</v>
      </c>
      <c r="E2217" s="2" t="s">
        <v>23</v>
      </c>
      <c r="F2217" s="2">
        <v>7.319833394E9</v>
      </c>
    </row>
    <row r="2218" ht="15.75" customHeight="1">
      <c r="A2218" s="2" t="s">
        <v>131</v>
      </c>
      <c r="B2218" s="2" t="s">
        <v>119</v>
      </c>
      <c r="C2218" s="2" t="s">
        <v>412</v>
      </c>
      <c r="D2218" s="2" t="s">
        <v>9</v>
      </c>
      <c r="E2218" s="2" t="s">
        <v>19</v>
      </c>
      <c r="F2218" s="2">
        <v>9.0443954E9</v>
      </c>
    </row>
    <row r="2219" ht="15.75" customHeight="1">
      <c r="A2219" s="2" t="s">
        <v>2283</v>
      </c>
      <c r="B2219" s="2" t="s">
        <v>827</v>
      </c>
      <c r="C2219" s="2" t="s">
        <v>226</v>
      </c>
      <c r="D2219" s="2" t="s">
        <v>26</v>
      </c>
      <c r="E2219" s="2" t="s">
        <v>19</v>
      </c>
      <c r="F2219" s="2">
        <v>9.905880028E9</v>
      </c>
    </row>
    <row r="2220" ht="15.75" customHeight="1">
      <c r="A2220" s="2" t="s">
        <v>2284</v>
      </c>
      <c r="B2220" s="2" t="s">
        <v>88</v>
      </c>
      <c r="C2220" s="2" t="s">
        <v>2183</v>
      </c>
      <c r="D2220" s="2" t="s">
        <v>29</v>
      </c>
      <c r="E2220" s="2" t="s">
        <v>23</v>
      </c>
      <c r="F2220" s="2">
        <v>9.163723959E9</v>
      </c>
    </row>
    <row r="2221" ht="15.75" customHeight="1">
      <c r="A2221" s="2" t="s">
        <v>51</v>
      </c>
      <c r="B2221" s="2" t="s">
        <v>52</v>
      </c>
      <c r="C2221" s="2" t="s">
        <v>58</v>
      </c>
      <c r="D2221" s="2" t="s">
        <v>44</v>
      </c>
      <c r="E2221" s="2" t="s">
        <v>19</v>
      </c>
      <c r="F2221" s="2">
        <v>8.235934256E9</v>
      </c>
    </row>
    <row r="2222" ht="15.75" customHeight="1">
      <c r="A2222" s="2" t="s">
        <v>59</v>
      </c>
      <c r="B2222" s="2" t="s">
        <v>1850</v>
      </c>
      <c r="C2222" s="2" t="s">
        <v>1408</v>
      </c>
      <c r="D2222" s="2" t="s">
        <v>29</v>
      </c>
      <c r="E2222" s="2" t="s">
        <v>19</v>
      </c>
      <c r="F2222" s="2">
        <v>8.789733533E9</v>
      </c>
    </row>
    <row r="2223" ht="15.75" customHeight="1">
      <c r="A2223" s="2" t="s">
        <v>1470</v>
      </c>
      <c r="B2223" s="2" t="s">
        <v>50</v>
      </c>
      <c r="C2223" s="2" t="s">
        <v>650</v>
      </c>
      <c r="D2223" s="2" t="s">
        <v>29</v>
      </c>
      <c r="E2223" s="2" t="s">
        <v>19</v>
      </c>
      <c r="F2223" s="2">
        <v>7.004383769E9</v>
      </c>
    </row>
    <row r="2224" ht="15.75" customHeight="1">
      <c r="A2224" s="2" t="s">
        <v>2285</v>
      </c>
      <c r="B2224" s="2" t="s">
        <v>2286</v>
      </c>
      <c r="C2224" s="2" t="s">
        <v>1010</v>
      </c>
      <c r="D2224" s="2" t="s">
        <v>26</v>
      </c>
      <c r="E2224" s="2" t="s">
        <v>19</v>
      </c>
      <c r="F2224" s="2">
        <v>7.903636355E9</v>
      </c>
    </row>
    <row r="2225" ht="15.75" customHeight="1">
      <c r="A2225" s="2" t="s">
        <v>336</v>
      </c>
      <c r="B2225" s="2" t="s">
        <v>2287</v>
      </c>
      <c r="C2225" s="2" t="s">
        <v>1326</v>
      </c>
      <c r="D2225" s="2" t="s">
        <v>56</v>
      </c>
      <c r="E2225" s="2" t="s">
        <v>23</v>
      </c>
      <c r="F2225" s="2">
        <v>8.225206891E9</v>
      </c>
    </row>
    <row r="2226" ht="15.75" customHeight="1">
      <c r="A2226" s="2" t="s">
        <v>525</v>
      </c>
      <c r="B2226" s="2" t="s">
        <v>50</v>
      </c>
      <c r="C2226" s="2" t="s">
        <v>655</v>
      </c>
      <c r="D2226" s="2" t="s">
        <v>56</v>
      </c>
      <c r="E2226" s="2" t="s">
        <v>19</v>
      </c>
      <c r="F2226" s="2">
        <v>8.789543936E9</v>
      </c>
    </row>
    <row r="2227" ht="15.75" customHeight="1">
      <c r="A2227" s="2" t="s">
        <v>2288</v>
      </c>
      <c r="B2227" s="2" t="s">
        <v>212</v>
      </c>
      <c r="C2227" s="2" t="s">
        <v>1408</v>
      </c>
      <c r="D2227" s="2" t="s">
        <v>26</v>
      </c>
      <c r="E2227" s="2" t="s">
        <v>19</v>
      </c>
      <c r="F2227" s="2">
        <v>8.789733533E9</v>
      </c>
    </row>
    <row r="2228" ht="15.75" customHeight="1">
      <c r="A2228" s="2" t="s">
        <v>617</v>
      </c>
      <c r="B2228" s="2" t="s">
        <v>52</v>
      </c>
      <c r="C2228" s="2" t="s">
        <v>254</v>
      </c>
      <c r="D2228" s="2" t="s">
        <v>26</v>
      </c>
      <c r="E2228" s="2" t="s">
        <v>255</v>
      </c>
      <c r="F2228" s="2">
        <v>9.334362401E9</v>
      </c>
    </row>
    <row r="2229" ht="15.75" customHeight="1">
      <c r="A2229" s="2" t="s">
        <v>1013</v>
      </c>
      <c r="B2229" s="2" t="s">
        <v>220</v>
      </c>
      <c r="C2229" s="2" t="s">
        <v>729</v>
      </c>
      <c r="D2229" s="2" t="s">
        <v>26</v>
      </c>
      <c r="E2229" s="2" t="s">
        <v>23</v>
      </c>
      <c r="F2229" s="2">
        <v>9.661275023E9</v>
      </c>
    </row>
    <row r="2230" ht="15.75" customHeight="1">
      <c r="A2230" s="2" t="s">
        <v>906</v>
      </c>
      <c r="B2230" s="2" t="s">
        <v>212</v>
      </c>
      <c r="C2230" s="2" t="s">
        <v>729</v>
      </c>
      <c r="D2230" s="2" t="s">
        <v>44</v>
      </c>
      <c r="E2230" s="2" t="s">
        <v>19</v>
      </c>
      <c r="F2230" s="2">
        <v>7.097676622E9</v>
      </c>
    </row>
    <row r="2231" ht="15.75" customHeight="1">
      <c r="A2231" s="2" t="s">
        <v>2289</v>
      </c>
      <c r="B2231" s="2" t="s">
        <v>65</v>
      </c>
      <c r="C2231" s="2" t="s">
        <v>360</v>
      </c>
      <c r="D2231" s="2" t="s">
        <v>44</v>
      </c>
      <c r="E2231" s="2" t="s">
        <v>19</v>
      </c>
      <c r="F2231" s="2">
        <v>6.206617043E9</v>
      </c>
    </row>
    <row r="2232" ht="15.75" customHeight="1">
      <c r="A2232" s="2" t="s">
        <v>617</v>
      </c>
      <c r="B2232" s="2" t="s">
        <v>2155</v>
      </c>
      <c r="C2232" s="2" t="s">
        <v>249</v>
      </c>
      <c r="D2232" s="2" t="s">
        <v>14</v>
      </c>
      <c r="E2232" s="2" t="s">
        <v>23</v>
      </c>
      <c r="F2232" s="2">
        <v>9.771444703E9</v>
      </c>
    </row>
    <row r="2233" ht="15.75" customHeight="1">
      <c r="A2233" s="2" t="s">
        <v>1517</v>
      </c>
      <c r="B2233" s="2" t="s">
        <v>50</v>
      </c>
      <c r="C2233" s="2" t="s">
        <v>305</v>
      </c>
      <c r="D2233" s="2" t="s">
        <v>26</v>
      </c>
      <c r="E2233" s="2" t="s">
        <v>19</v>
      </c>
      <c r="F2233" s="2">
        <v>9.523448457E9</v>
      </c>
    </row>
    <row r="2234" ht="15.75" customHeight="1">
      <c r="A2234" s="2" t="s">
        <v>2290</v>
      </c>
      <c r="B2234" s="2" t="s">
        <v>606</v>
      </c>
      <c r="C2234" s="2" t="s">
        <v>867</v>
      </c>
      <c r="D2234" s="2" t="s">
        <v>56</v>
      </c>
      <c r="E2234" s="2" t="s">
        <v>19</v>
      </c>
      <c r="F2234" s="2">
        <v>9.749100497E9</v>
      </c>
    </row>
    <row r="2235" ht="15.75" customHeight="1">
      <c r="A2235" s="2" t="s">
        <v>435</v>
      </c>
      <c r="B2235" s="2" t="s">
        <v>220</v>
      </c>
      <c r="C2235" s="2" t="s">
        <v>423</v>
      </c>
      <c r="D2235" s="2" t="s">
        <v>56</v>
      </c>
      <c r="E2235" s="2" t="s">
        <v>19</v>
      </c>
      <c r="F2235" s="2">
        <v>7.759523441E9</v>
      </c>
    </row>
    <row r="2236" ht="15.75" customHeight="1">
      <c r="A2236" s="2" t="s">
        <v>2291</v>
      </c>
      <c r="B2236" s="2" t="s">
        <v>2292</v>
      </c>
      <c r="C2236" s="2" t="s">
        <v>1416</v>
      </c>
      <c r="D2236" s="2" t="s">
        <v>26</v>
      </c>
      <c r="E2236" s="2" t="s">
        <v>23</v>
      </c>
      <c r="F2236" s="2">
        <v>9.570153377E9</v>
      </c>
    </row>
    <row r="2237" ht="15.75" customHeight="1">
      <c r="A2237" s="2" t="s">
        <v>2293</v>
      </c>
      <c r="B2237" s="2" t="s">
        <v>212</v>
      </c>
      <c r="C2237" s="2" t="s">
        <v>576</v>
      </c>
      <c r="D2237" s="2" t="s">
        <v>44</v>
      </c>
      <c r="E2237" s="2" t="s">
        <v>255</v>
      </c>
      <c r="F2237" s="2">
        <v>8.969453144E9</v>
      </c>
    </row>
    <row r="2238" ht="15.75" customHeight="1">
      <c r="A2238" s="2" t="s">
        <v>525</v>
      </c>
      <c r="B2238" s="2" t="s">
        <v>112</v>
      </c>
      <c r="C2238" s="2" t="s">
        <v>423</v>
      </c>
      <c r="D2238" s="2" t="s">
        <v>9</v>
      </c>
      <c r="E2238" s="2" t="s">
        <v>19</v>
      </c>
      <c r="F2238" s="2">
        <v>7.674233716E9</v>
      </c>
    </row>
    <row r="2239" ht="15.75" customHeight="1">
      <c r="A2239" s="2" t="s">
        <v>2294</v>
      </c>
      <c r="B2239" s="2" t="s">
        <v>909</v>
      </c>
      <c r="C2239" s="2" t="s">
        <v>648</v>
      </c>
      <c r="D2239" s="2" t="s">
        <v>44</v>
      </c>
      <c r="E2239" s="2" t="s">
        <v>23</v>
      </c>
      <c r="F2239" s="2">
        <v>9.15504391E9</v>
      </c>
    </row>
    <row r="2240" ht="15.75" customHeight="1">
      <c r="A2240" s="2" t="s">
        <v>2293</v>
      </c>
      <c r="B2240" s="2" t="s">
        <v>203</v>
      </c>
      <c r="C2240" s="2" t="s">
        <v>819</v>
      </c>
      <c r="D2240" s="2" t="s">
        <v>29</v>
      </c>
      <c r="E2240" s="2" t="s">
        <v>23</v>
      </c>
      <c r="F2240" s="2">
        <v>7.971916402E9</v>
      </c>
    </row>
    <row r="2241" ht="15.75" customHeight="1">
      <c r="A2241" s="2" t="s">
        <v>866</v>
      </c>
      <c r="B2241" s="2" t="s">
        <v>2295</v>
      </c>
      <c r="C2241" s="2" t="s">
        <v>79</v>
      </c>
      <c r="D2241" s="2" t="s">
        <v>56</v>
      </c>
      <c r="E2241" s="2" t="s">
        <v>19</v>
      </c>
      <c r="F2241" s="2">
        <v>9.570625113E9</v>
      </c>
    </row>
    <row r="2242" ht="15.75" customHeight="1">
      <c r="A2242" s="2" t="s">
        <v>906</v>
      </c>
      <c r="B2242" s="2" t="s">
        <v>55</v>
      </c>
      <c r="C2242" s="2" t="s">
        <v>1012</v>
      </c>
      <c r="D2242" s="2" t="s">
        <v>44</v>
      </c>
      <c r="E2242" s="2" t="s">
        <v>19</v>
      </c>
      <c r="F2242" s="2">
        <v>7.859061234E9</v>
      </c>
    </row>
    <row r="2243" ht="15.75" customHeight="1">
      <c r="A2243" s="2" t="s">
        <v>272</v>
      </c>
      <c r="B2243" s="2" t="s">
        <v>272</v>
      </c>
      <c r="C2243" s="2" t="s">
        <v>1010</v>
      </c>
      <c r="D2243" s="2" t="s">
        <v>26</v>
      </c>
      <c r="E2243" s="2" t="s">
        <v>19</v>
      </c>
      <c r="F2243" s="2">
        <v>8.709894927E9</v>
      </c>
    </row>
    <row r="2244" ht="15.75" customHeight="1">
      <c r="A2244" s="2" t="s">
        <v>222</v>
      </c>
      <c r="B2244" s="2" t="s">
        <v>614</v>
      </c>
      <c r="C2244" s="2" t="s">
        <v>2119</v>
      </c>
      <c r="D2244" s="2" t="s">
        <v>26</v>
      </c>
      <c r="E2244" s="2" t="s">
        <v>23</v>
      </c>
      <c r="F2244" s="2">
        <v>8.789330561E9</v>
      </c>
    </row>
    <row r="2245" ht="15.75" customHeight="1">
      <c r="A2245" s="2" t="s">
        <v>2296</v>
      </c>
      <c r="B2245" s="2" t="s">
        <v>382</v>
      </c>
      <c r="C2245" s="2" t="s">
        <v>592</v>
      </c>
      <c r="D2245" s="2" t="s">
        <v>26</v>
      </c>
      <c r="E2245" s="2" t="s">
        <v>19</v>
      </c>
      <c r="F2245" s="2">
        <v>9.985051281E9</v>
      </c>
    </row>
    <row r="2246" ht="15.75" customHeight="1">
      <c r="A2246" s="2" t="s">
        <v>1393</v>
      </c>
      <c r="B2246" s="2" t="s">
        <v>108</v>
      </c>
      <c r="C2246" s="2" t="s">
        <v>817</v>
      </c>
      <c r="D2246" s="2" t="s">
        <v>26</v>
      </c>
      <c r="E2246" s="2" t="s">
        <v>19</v>
      </c>
      <c r="F2246" s="2">
        <v>7.070463358E9</v>
      </c>
    </row>
    <row r="2247" ht="15.75" customHeight="1">
      <c r="A2247" s="2" t="s">
        <v>2293</v>
      </c>
      <c r="B2247" s="2" t="s">
        <v>2297</v>
      </c>
      <c r="C2247" s="2" t="s">
        <v>2298</v>
      </c>
      <c r="D2247" s="2" t="s">
        <v>26</v>
      </c>
      <c r="E2247" s="2" t="s">
        <v>255</v>
      </c>
      <c r="F2247" s="2">
        <v>6.205707694E9</v>
      </c>
    </row>
    <row r="2248" ht="15.75" customHeight="1">
      <c r="A2248" s="2" t="s">
        <v>725</v>
      </c>
      <c r="B2248" s="2" t="s">
        <v>960</v>
      </c>
      <c r="C2248" s="2" t="s">
        <v>627</v>
      </c>
      <c r="D2248" s="2" t="s">
        <v>14</v>
      </c>
      <c r="E2248" s="2" t="s">
        <v>19</v>
      </c>
      <c r="F2248" s="2">
        <v>6.205462538E9</v>
      </c>
    </row>
    <row r="2249" ht="15.75" customHeight="1">
      <c r="A2249" s="2" t="s">
        <v>2299</v>
      </c>
      <c r="B2249" s="2" t="s">
        <v>2300</v>
      </c>
      <c r="C2249" s="2" t="s">
        <v>1141</v>
      </c>
      <c r="D2249" s="2" t="s">
        <v>26</v>
      </c>
      <c r="E2249" s="2" t="s">
        <v>23</v>
      </c>
      <c r="F2249" s="2">
        <v>7.209325551E9</v>
      </c>
    </row>
    <row r="2250" ht="15.75" customHeight="1">
      <c r="A2250" s="2" t="s">
        <v>2301</v>
      </c>
      <c r="B2250" s="2" t="s">
        <v>63</v>
      </c>
      <c r="C2250" s="2" t="s">
        <v>970</v>
      </c>
      <c r="D2250" s="2" t="s">
        <v>26</v>
      </c>
      <c r="E2250" s="2" t="s">
        <v>19</v>
      </c>
      <c r="F2250" s="2">
        <v>9.431372516E9</v>
      </c>
    </row>
    <row r="2251" ht="15.75" customHeight="1">
      <c r="A2251" s="2" t="s">
        <v>525</v>
      </c>
      <c r="B2251" s="2" t="s">
        <v>125</v>
      </c>
      <c r="C2251" s="2" t="s">
        <v>305</v>
      </c>
      <c r="D2251" s="2" t="s">
        <v>29</v>
      </c>
      <c r="E2251" s="2" t="s">
        <v>19</v>
      </c>
      <c r="F2251" s="2">
        <v>7.979025062E9</v>
      </c>
    </row>
    <row r="2252" ht="15.75" customHeight="1">
      <c r="A2252" s="2" t="s">
        <v>2302</v>
      </c>
      <c r="B2252" s="2" t="s">
        <v>276</v>
      </c>
      <c r="C2252" s="2" t="s">
        <v>1416</v>
      </c>
      <c r="D2252" s="2" t="s">
        <v>56</v>
      </c>
      <c r="E2252" s="2" t="s">
        <v>23</v>
      </c>
      <c r="F2252" s="2">
        <v>9.608757979E9</v>
      </c>
    </row>
    <row r="2253" ht="15.75" customHeight="1">
      <c r="A2253" s="2" t="s">
        <v>2293</v>
      </c>
      <c r="B2253" s="2" t="s">
        <v>320</v>
      </c>
      <c r="C2253" s="2" t="s">
        <v>1034</v>
      </c>
      <c r="D2253" s="2" t="s">
        <v>56</v>
      </c>
      <c r="E2253" s="2" t="s">
        <v>23</v>
      </c>
      <c r="F2253" s="2">
        <v>8.758994942E9</v>
      </c>
    </row>
    <row r="2254" ht="15.75" customHeight="1">
      <c r="A2254" s="2" t="s">
        <v>2303</v>
      </c>
      <c r="B2254" s="2" t="s">
        <v>654</v>
      </c>
      <c r="C2254" s="2" t="s">
        <v>235</v>
      </c>
      <c r="D2254" s="2" t="s">
        <v>26</v>
      </c>
      <c r="E2254" s="2" t="s">
        <v>19</v>
      </c>
      <c r="F2254" s="2">
        <v>7.765833208E9</v>
      </c>
    </row>
    <row r="2255" ht="15.75" customHeight="1">
      <c r="A2255" s="2" t="s">
        <v>1802</v>
      </c>
      <c r="B2255" s="2" t="s">
        <v>654</v>
      </c>
      <c r="C2255" s="2" t="s">
        <v>1036</v>
      </c>
      <c r="D2255" s="2" t="s">
        <v>26</v>
      </c>
      <c r="E2255" s="2" t="s">
        <v>19</v>
      </c>
      <c r="F2255" s="2">
        <v>9.805998768E9</v>
      </c>
    </row>
    <row r="2256" ht="15.75" customHeight="1">
      <c r="A2256" s="2" t="s">
        <v>2304</v>
      </c>
      <c r="B2256" s="2" t="s">
        <v>2304</v>
      </c>
      <c r="C2256" s="2" t="s">
        <v>713</v>
      </c>
      <c r="D2256" s="2" t="s">
        <v>14</v>
      </c>
      <c r="E2256" s="2" t="s">
        <v>23</v>
      </c>
      <c r="F2256" s="2">
        <v>9.905482604E9</v>
      </c>
    </row>
    <row r="2257" ht="15.75" customHeight="1">
      <c r="A2257" s="2" t="s">
        <v>2305</v>
      </c>
      <c r="B2257" s="2" t="s">
        <v>2306</v>
      </c>
      <c r="C2257" s="2" t="s">
        <v>305</v>
      </c>
      <c r="D2257" s="2" t="s">
        <v>56</v>
      </c>
      <c r="E2257" s="2" t="s">
        <v>19</v>
      </c>
      <c r="F2257" s="2">
        <v>6.202954849E9</v>
      </c>
    </row>
    <row r="2258" ht="15.75" customHeight="1">
      <c r="A2258" s="2" t="s">
        <v>2293</v>
      </c>
      <c r="B2258" s="2" t="s">
        <v>55</v>
      </c>
      <c r="C2258" s="2" t="s">
        <v>2225</v>
      </c>
      <c r="D2258" s="2" t="s">
        <v>44</v>
      </c>
      <c r="E2258" s="2" t="s">
        <v>255</v>
      </c>
      <c r="F2258" s="2">
        <v>7.209503828E9</v>
      </c>
    </row>
    <row r="2259" ht="15.75" customHeight="1">
      <c r="A2259" s="2" t="s">
        <v>2307</v>
      </c>
      <c r="B2259" s="2" t="s">
        <v>2308</v>
      </c>
      <c r="C2259" s="2" t="s">
        <v>1186</v>
      </c>
      <c r="D2259" s="2" t="s">
        <v>56</v>
      </c>
      <c r="E2259" s="2" t="s">
        <v>23</v>
      </c>
      <c r="F2259" s="2">
        <v>9.00237136E9</v>
      </c>
    </row>
    <row r="2260" ht="15.75" customHeight="1">
      <c r="A2260" s="2" t="s">
        <v>2309</v>
      </c>
      <c r="B2260" s="2" t="s">
        <v>108</v>
      </c>
      <c r="C2260" s="2" t="s">
        <v>181</v>
      </c>
      <c r="D2260" s="2" t="s">
        <v>29</v>
      </c>
      <c r="E2260" s="2" t="s">
        <v>19</v>
      </c>
      <c r="F2260" s="2">
        <v>8.102373429E9</v>
      </c>
    </row>
    <row r="2261" ht="15.75" customHeight="1">
      <c r="A2261" s="2" t="s">
        <v>1386</v>
      </c>
      <c r="B2261" s="2" t="s">
        <v>1386</v>
      </c>
      <c r="C2261" s="2" t="s">
        <v>1010</v>
      </c>
      <c r="D2261" s="2" t="s">
        <v>26</v>
      </c>
      <c r="E2261" s="2" t="s">
        <v>19</v>
      </c>
      <c r="F2261" s="2">
        <v>6.203824709E9</v>
      </c>
    </row>
    <row r="2262" ht="15.75" customHeight="1">
      <c r="A2262" s="2" t="s">
        <v>94</v>
      </c>
      <c r="B2262" s="2" t="s">
        <v>112</v>
      </c>
      <c r="C2262" s="2" t="s">
        <v>2310</v>
      </c>
      <c r="D2262" s="2" t="s">
        <v>29</v>
      </c>
      <c r="E2262" s="2" t="s">
        <v>2311</v>
      </c>
      <c r="F2262" s="2">
        <v>9.06428793E9</v>
      </c>
    </row>
    <row r="2263" ht="15.75" customHeight="1">
      <c r="A2263" s="2" t="s">
        <v>1464</v>
      </c>
      <c r="B2263" s="2" t="s">
        <v>2155</v>
      </c>
      <c r="C2263" s="2" t="s">
        <v>1185</v>
      </c>
      <c r="D2263" s="2" t="s">
        <v>26</v>
      </c>
      <c r="E2263" s="2" t="s">
        <v>23</v>
      </c>
      <c r="F2263" s="2">
        <v>9.915005723E9</v>
      </c>
    </row>
    <row r="2264" ht="15.75" customHeight="1">
      <c r="A2264" s="2" t="s">
        <v>2312</v>
      </c>
      <c r="B2264" s="2" t="s">
        <v>55</v>
      </c>
      <c r="C2264" s="2" t="s">
        <v>2099</v>
      </c>
      <c r="D2264" s="2" t="s">
        <v>26</v>
      </c>
      <c r="E2264" s="2" t="s">
        <v>23</v>
      </c>
      <c r="F2264" s="2">
        <v>8.969714651E9</v>
      </c>
    </row>
    <row r="2265" ht="15.75" customHeight="1">
      <c r="A2265" s="2" t="s">
        <v>2313</v>
      </c>
      <c r="B2265" s="2" t="s">
        <v>2314</v>
      </c>
      <c r="C2265" s="2" t="s">
        <v>305</v>
      </c>
      <c r="D2265" s="2" t="s">
        <v>9</v>
      </c>
      <c r="E2265" s="2" t="s">
        <v>19</v>
      </c>
      <c r="F2265" s="2">
        <v>6.234754179E9</v>
      </c>
    </row>
    <row r="2266" ht="15.75" customHeight="1">
      <c r="A2266" s="2" t="s">
        <v>411</v>
      </c>
      <c r="B2266" s="2" t="s">
        <v>50</v>
      </c>
      <c r="C2266" s="2" t="s">
        <v>1998</v>
      </c>
      <c r="D2266" s="2" t="s">
        <v>9</v>
      </c>
      <c r="E2266" s="2" t="s">
        <v>19</v>
      </c>
      <c r="F2266" s="2">
        <v>9.431333318E9</v>
      </c>
    </row>
    <row r="2267" ht="15.75" customHeight="1">
      <c r="A2267" s="2" t="s">
        <v>2315</v>
      </c>
      <c r="B2267" s="2" t="s">
        <v>960</v>
      </c>
      <c r="C2267" s="2" t="s">
        <v>1139</v>
      </c>
      <c r="D2267" s="2" t="s">
        <v>26</v>
      </c>
      <c r="E2267" s="2" t="s">
        <v>19</v>
      </c>
      <c r="F2267" s="2">
        <v>9.430379347E9</v>
      </c>
    </row>
    <row r="2268" ht="15.75" customHeight="1">
      <c r="A2268" s="2" t="s">
        <v>834</v>
      </c>
      <c r="B2268" s="2" t="s">
        <v>153</v>
      </c>
      <c r="C2268" s="2" t="s">
        <v>274</v>
      </c>
      <c r="D2268" s="2" t="s">
        <v>26</v>
      </c>
      <c r="E2268" s="2" t="s">
        <v>255</v>
      </c>
      <c r="F2268" s="2">
        <v>9.304117143E9</v>
      </c>
    </row>
    <row r="2269" ht="15.75" customHeight="1">
      <c r="A2269" s="2" t="s">
        <v>2316</v>
      </c>
      <c r="B2269" s="2" t="s">
        <v>88</v>
      </c>
      <c r="C2269" s="2" t="s">
        <v>2317</v>
      </c>
      <c r="D2269" s="2" t="s">
        <v>29</v>
      </c>
      <c r="E2269" s="2" t="s">
        <v>23</v>
      </c>
      <c r="F2269" s="2">
        <v>8.210898148E9</v>
      </c>
    </row>
    <row r="2270" ht="15.75" customHeight="1">
      <c r="A2270" s="2" t="s">
        <v>2318</v>
      </c>
      <c r="B2270" s="2" t="s">
        <v>2319</v>
      </c>
      <c r="C2270" s="2" t="s">
        <v>1300</v>
      </c>
      <c r="D2270" s="2" t="s">
        <v>102</v>
      </c>
      <c r="E2270" s="2" t="s">
        <v>19</v>
      </c>
      <c r="F2270" s="2">
        <v>7.542986618E9</v>
      </c>
    </row>
    <row r="2271" ht="15.75" customHeight="1">
      <c r="A2271" s="2" t="s">
        <v>795</v>
      </c>
      <c r="B2271" s="2" t="s">
        <v>50</v>
      </c>
      <c r="C2271" s="2" t="s">
        <v>957</v>
      </c>
      <c r="D2271" s="2" t="s">
        <v>26</v>
      </c>
      <c r="E2271" s="2" t="s">
        <v>19</v>
      </c>
      <c r="F2271" s="2">
        <v>8.709022648E9</v>
      </c>
    </row>
    <row r="2272" ht="15.75" customHeight="1">
      <c r="A2272" s="2" t="s">
        <v>2320</v>
      </c>
      <c r="B2272" s="2" t="s">
        <v>112</v>
      </c>
      <c r="C2272" s="2" t="s">
        <v>1588</v>
      </c>
      <c r="D2272" s="2" t="s">
        <v>26</v>
      </c>
      <c r="E2272" s="2" t="s">
        <v>19</v>
      </c>
      <c r="F2272" s="2">
        <v>9.534051492E9</v>
      </c>
    </row>
    <row r="2273" ht="15.75" customHeight="1">
      <c r="A2273" s="2" t="s">
        <v>834</v>
      </c>
      <c r="B2273" s="2" t="s">
        <v>55</v>
      </c>
      <c r="C2273" s="2" t="s">
        <v>897</v>
      </c>
      <c r="D2273" s="2" t="s">
        <v>56</v>
      </c>
      <c r="E2273" s="2" t="s">
        <v>23</v>
      </c>
      <c r="F2273" s="2">
        <v>7.070227084E9</v>
      </c>
    </row>
    <row r="2274" ht="15.75" customHeight="1">
      <c r="A2274" s="2" t="s">
        <v>1043</v>
      </c>
      <c r="B2274" s="2" t="s">
        <v>55</v>
      </c>
      <c r="C2274" s="2" t="s">
        <v>2321</v>
      </c>
      <c r="D2274" s="2" t="s">
        <v>26</v>
      </c>
      <c r="E2274" s="2" t="s">
        <v>19</v>
      </c>
      <c r="F2274" s="2">
        <v>9.340411178E9</v>
      </c>
    </row>
    <row r="2275" ht="15.75" customHeight="1">
      <c r="A2275" s="2" t="s">
        <v>2322</v>
      </c>
      <c r="B2275" s="2" t="s">
        <v>594</v>
      </c>
      <c r="C2275" s="2" t="s">
        <v>844</v>
      </c>
      <c r="D2275" s="2" t="s">
        <v>56</v>
      </c>
      <c r="E2275" s="2" t="s">
        <v>23</v>
      </c>
      <c r="F2275" s="2">
        <v>6.201248005E9</v>
      </c>
    </row>
    <row r="2276" ht="15.75" customHeight="1">
      <c r="A2276" s="2" t="s">
        <v>2323</v>
      </c>
      <c r="B2276" s="2" t="s">
        <v>63</v>
      </c>
      <c r="C2276" s="2" t="s">
        <v>1139</v>
      </c>
      <c r="D2276" s="2" t="s">
        <v>26</v>
      </c>
      <c r="E2276" s="2" t="s">
        <v>19</v>
      </c>
      <c r="F2276" s="2">
        <v>9.006802051E9</v>
      </c>
    </row>
    <row r="2277" ht="15.75" customHeight="1">
      <c r="A2277" s="2" t="s">
        <v>1426</v>
      </c>
      <c r="B2277" s="2" t="s">
        <v>2324</v>
      </c>
      <c r="C2277" s="2" t="s">
        <v>905</v>
      </c>
      <c r="D2277" s="2" t="s">
        <v>56</v>
      </c>
      <c r="E2277" s="2" t="s">
        <v>19</v>
      </c>
      <c r="F2277" s="2">
        <v>6.207434341E9</v>
      </c>
    </row>
    <row r="2278" ht="15.75" customHeight="1">
      <c r="A2278" s="2" t="s">
        <v>2325</v>
      </c>
      <c r="B2278" s="2" t="s">
        <v>520</v>
      </c>
      <c r="C2278" s="2" t="s">
        <v>2326</v>
      </c>
      <c r="D2278" s="2" t="s">
        <v>26</v>
      </c>
      <c r="E2278" s="2" t="s">
        <v>19</v>
      </c>
      <c r="F2278" s="2">
        <v>6.299721966E9</v>
      </c>
    </row>
    <row r="2279" ht="15.75" customHeight="1">
      <c r="A2279" s="2" t="s">
        <v>834</v>
      </c>
      <c r="B2279" s="2" t="s">
        <v>807</v>
      </c>
      <c r="C2279" s="2" t="s">
        <v>2327</v>
      </c>
      <c r="D2279" s="2" t="s">
        <v>26</v>
      </c>
      <c r="E2279" s="2" t="s">
        <v>255</v>
      </c>
      <c r="F2279" s="2">
        <v>6.723394191E9</v>
      </c>
    </row>
    <row r="2280" ht="15.75" customHeight="1">
      <c r="A2280" s="2" t="s">
        <v>557</v>
      </c>
      <c r="B2280" s="2" t="s">
        <v>2328</v>
      </c>
      <c r="C2280" s="2" t="s">
        <v>1504</v>
      </c>
      <c r="D2280" s="2" t="s">
        <v>56</v>
      </c>
      <c r="E2280" s="2" t="s">
        <v>19</v>
      </c>
      <c r="F2280" s="2">
        <v>6.299177285E9</v>
      </c>
    </row>
    <row r="2281" ht="15.75" customHeight="1">
      <c r="A2281" s="2" t="s">
        <v>731</v>
      </c>
      <c r="B2281" s="2" t="s">
        <v>55</v>
      </c>
      <c r="C2281" s="2" t="s">
        <v>2329</v>
      </c>
      <c r="D2281" s="2" t="s">
        <v>29</v>
      </c>
      <c r="E2281" s="2" t="s">
        <v>23</v>
      </c>
      <c r="F2281" s="2">
        <v>9.709221499E9</v>
      </c>
    </row>
    <row r="2282" ht="15.75" customHeight="1">
      <c r="A2282" s="2" t="s">
        <v>558</v>
      </c>
      <c r="B2282" s="2" t="s">
        <v>50</v>
      </c>
      <c r="C2282" s="2" t="s">
        <v>230</v>
      </c>
      <c r="D2282" s="2" t="s">
        <v>14</v>
      </c>
      <c r="E2282" s="2" t="s">
        <v>19</v>
      </c>
      <c r="F2282" s="2">
        <v>7.763896871E9</v>
      </c>
    </row>
    <row r="2283" ht="15.75" customHeight="1">
      <c r="A2283" s="2" t="s">
        <v>853</v>
      </c>
      <c r="B2283" s="2" t="s">
        <v>982</v>
      </c>
      <c r="C2283" s="2" t="s">
        <v>543</v>
      </c>
      <c r="D2283" s="2" t="s">
        <v>56</v>
      </c>
      <c r="E2283" s="2" t="s">
        <v>23</v>
      </c>
      <c r="F2283" s="2">
        <v>9.43437599E9</v>
      </c>
    </row>
    <row r="2284" ht="15.75" customHeight="1">
      <c r="A2284" s="2" t="s">
        <v>2330</v>
      </c>
      <c r="B2284" s="2" t="s">
        <v>212</v>
      </c>
      <c r="C2284" s="2" t="s">
        <v>648</v>
      </c>
      <c r="D2284" s="2" t="s">
        <v>56</v>
      </c>
      <c r="E2284" s="2" t="s">
        <v>23</v>
      </c>
      <c r="F2284" s="2">
        <v>7.061997124E9</v>
      </c>
    </row>
    <row r="2285" ht="15.75" customHeight="1">
      <c r="A2285" s="2" t="s">
        <v>1043</v>
      </c>
      <c r="B2285" s="2" t="s">
        <v>55</v>
      </c>
      <c r="C2285" s="2" t="s">
        <v>423</v>
      </c>
      <c r="D2285" s="2" t="s">
        <v>26</v>
      </c>
      <c r="E2285" s="2" t="s">
        <v>19</v>
      </c>
      <c r="F2285" s="2">
        <v>9.9055049E9</v>
      </c>
    </row>
    <row r="2286" ht="15.75" customHeight="1">
      <c r="A2286" s="2" t="s">
        <v>2331</v>
      </c>
      <c r="B2286" s="2" t="s">
        <v>63</v>
      </c>
      <c r="C2286" s="2" t="s">
        <v>1139</v>
      </c>
      <c r="D2286" s="2" t="s">
        <v>26</v>
      </c>
      <c r="E2286" s="2" t="s">
        <v>19</v>
      </c>
      <c r="F2286" s="2">
        <v>8.404898534E9</v>
      </c>
    </row>
    <row r="2287" ht="15.75" customHeight="1">
      <c r="A2287" s="2" t="s">
        <v>731</v>
      </c>
      <c r="B2287" s="2" t="s">
        <v>2332</v>
      </c>
      <c r="C2287" s="2" t="s">
        <v>844</v>
      </c>
      <c r="D2287" s="2" t="s">
        <v>29</v>
      </c>
      <c r="E2287" s="2" t="s">
        <v>23</v>
      </c>
      <c r="F2287" s="2">
        <v>6.006539676E9</v>
      </c>
    </row>
    <row r="2288" ht="15.75" customHeight="1">
      <c r="A2288" s="2" t="s">
        <v>853</v>
      </c>
      <c r="B2288" s="2" t="s">
        <v>2333</v>
      </c>
      <c r="C2288" s="2" t="s">
        <v>237</v>
      </c>
      <c r="D2288" s="2" t="s">
        <v>14</v>
      </c>
      <c r="E2288" s="2" t="s">
        <v>255</v>
      </c>
      <c r="F2288" s="2">
        <v>8.085375722E9</v>
      </c>
    </row>
    <row r="2289" ht="15.75" customHeight="1">
      <c r="A2289" s="2" t="s">
        <v>194</v>
      </c>
      <c r="B2289" s="2" t="s">
        <v>143</v>
      </c>
      <c r="C2289" s="2" t="s">
        <v>1010</v>
      </c>
      <c r="D2289" s="2" t="s">
        <v>26</v>
      </c>
      <c r="E2289" s="2" t="s">
        <v>19</v>
      </c>
      <c r="F2289" s="2">
        <v>8.235517232E9</v>
      </c>
    </row>
    <row r="2290" ht="15.75" customHeight="1">
      <c r="A2290" s="2" t="s">
        <v>750</v>
      </c>
      <c r="B2290" s="2" t="s">
        <v>507</v>
      </c>
      <c r="C2290" s="2" t="s">
        <v>305</v>
      </c>
      <c r="D2290" s="2" t="s">
        <v>9</v>
      </c>
      <c r="E2290" s="2" t="s">
        <v>19</v>
      </c>
      <c r="F2290" s="2">
        <v>9.955542021E9</v>
      </c>
    </row>
    <row r="2291" ht="15.75" customHeight="1">
      <c r="A2291" s="2" t="s">
        <v>2334</v>
      </c>
      <c r="B2291" s="2" t="s">
        <v>55</v>
      </c>
      <c r="C2291" s="2" t="s">
        <v>2335</v>
      </c>
      <c r="D2291" s="2" t="s">
        <v>56</v>
      </c>
      <c r="E2291" s="2" t="s">
        <v>23</v>
      </c>
      <c r="F2291" s="2">
        <v>9.525123533E9</v>
      </c>
    </row>
    <row r="2292" ht="15.75" customHeight="1">
      <c r="A2292" s="2" t="s">
        <v>853</v>
      </c>
      <c r="B2292" s="2" t="s">
        <v>552</v>
      </c>
      <c r="C2292" s="2" t="s">
        <v>910</v>
      </c>
      <c r="D2292" s="2" t="s">
        <v>56</v>
      </c>
      <c r="E2292" s="2" t="s">
        <v>23</v>
      </c>
      <c r="F2292" s="2">
        <v>9.91313346E9</v>
      </c>
    </row>
    <row r="2293" ht="15.75" customHeight="1">
      <c r="A2293" s="2" t="s">
        <v>2336</v>
      </c>
      <c r="B2293" s="2" t="s">
        <v>212</v>
      </c>
      <c r="C2293" s="2" t="s">
        <v>133</v>
      </c>
      <c r="D2293" s="2" t="s">
        <v>26</v>
      </c>
      <c r="E2293" s="2" t="s">
        <v>23</v>
      </c>
      <c r="F2293" s="2">
        <v>6.720606461E9</v>
      </c>
    </row>
    <row r="2294" ht="15.75" customHeight="1">
      <c r="A2294" s="2" t="s">
        <v>1043</v>
      </c>
      <c r="B2294" s="2" t="s">
        <v>2337</v>
      </c>
      <c r="C2294" s="2" t="s">
        <v>1420</v>
      </c>
      <c r="D2294" s="2" t="s">
        <v>44</v>
      </c>
      <c r="E2294" s="2" t="s">
        <v>19</v>
      </c>
      <c r="F2294" s="2">
        <v>7.29289305E9</v>
      </c>
    </row>
    <row r="2295" ht="15.75" customHeight="1">
      <c r="A2295" s="2" t="s">
        <v>2338</v>
      </c>
      <c r="B2295" s="2" t="s">
        <v>220</v>
      </c>
      <c r="C2295" s="2" t="s">
        <v>274</v>
      </c>
      <c r="D2295" s="2" t="s">
        <v>29</v>
      </c>
      <c r="E2295" s="2" t="s">
        <v>255</v>
      </c>
      <c r="F2295" s="2">
        <v>7.613955656E9</v>
      </c>
    </row>
    <row r="2296" ht="15.75" customHeight="1">
      <c r="A2296" s="2" t="s">
        <v>2339</v>
      </c>
      <c r="B2296" s="2" t="s">
        <v>1848</v>
      </c>
      <c r="C2296" s="2" t="s">
        <v>330</v>
      </c>
      <c r="D2296" s="2" t="s">
        <v>9</v>
      </c>
      <c r="E2296" s="2" t="s">
        <v>19</v>
      </c>
      <c r="F2296" s="2">
        <v>6.20498296E9</v>
      </c>
    </row>
    <row r="2297" ht="15.75" customHeight="1">
      <c r="A2297" s="2" t="s">
        <v>2280</v>
      </c>
      <c r="B2297" s="2" t="s">
        <v>212</v>
      </c>
      <c r="C2297" s="2" t="s">
        <v>2340</v>
      </c>
      <c r="D2297" s="2" t="s">
        <v>26</v>
      </c>
      <c r="E2297" s="2" t="s">
        <v>23</v>
      </c>
      <c r="F2297" s="2">
        <v>8.869657072E9</v>
      </c>
    </row>
    <row r="2298" ht="15.75" customHeight="1">
      <c r="A2298" s="2" t="s">
        <v>2338</v>
      </c>
      <c r="B2298" s="2" t="s">
        <v>664</v>
      </c>
      <c r="C2298" s="2" t="s">
        <v>1416</v>
      </c>
      <c r="D2298" s="2" t="s">
        <v>26</v>
      </c>
      <c r="E2298" s="2" t="s">
        <v>23</v>
      </c>
      <c r="F2298" s="2">
        <v>9.706543201E9</v>
      </c>
    </row>
    <row r="2299" ht="15.75" customHeight="1">
      <c r="A2299" s="2" t="s">
        <v>1654</v>
      </c>
      <c r="B2299" s="2" t="s">
        <v>507</v>
      </c>
      <c r="C2299" s="2" t="s">
        <v>305</v>
      </c>
      <c r="D2299" s="2" t="s">
        <v>9</v>
      </c>
      <c r="E2299" s="2" t="s">
        <v>19</v>
      </c>
      <c r="F2299" s="2">
        <v>9.576150945E9</v>
      </c>
    </row>
    <row r="2300" ht="15.75" customHeight="1">
      <c r="A2300" s="2" t="s">
        <v>994</v>
      </c>
      <c r="B2300" s="2" t="s">
        <v>1239</v>
      </c>
      <c r="C2300" s="2" t="s">
        <v>156</v>
      </c>
      <c r="D2300" s="2" t="s">
        <v>26</v>
      </c>
      <c r="E2300" s="2" t="s">
        <v>19</v>
      </c>
      <c r="F2300" s="2">
        <v>8.809630013E9</v>
      </c>
    </row>
    <row r="2301" ht="15.75" customHeight="1">
      <c r="A2301" s="2" t="s">
        <v>2341</v>
      </c>
      <c r="B2301" s="2" t="s">
        <v>2342</v>
      </c>
      <c r="C2301" s="2" t="s">
        <v>844</v>
      </c>
      <c r="D2301" s="2" t="s">
        <v>26</v>
      </c>
      <c r="E2301" s="2" t="s">
        <v>23</v>
      </c>
      <c r="F2301" s="2">
        <v>6.201856213E9</v>
      </c>
    </row>
    <row r="2302" ht="15.75" customHeight="1">
      <c r="A2302" s="2" t="s">
        <v>278</v>
      </c>
      <c r="B2302" s="2" t="s">
        <v>220</v>
      </c>
      <c r="C2302" s="2" t="s">
        <v>576</v>
      </c>
      <c r="D2302" s="2" t="s">
        <v>26</v>
      </c>
      <c r="E2302" s="2" t="s">
        <v>23</v>
      </c>
      <c r="F2302" s="2">
        <v>7.727031623E9</v>
      </c>
    </row>
    <row r="2303" ht="15.75" customHeight="1">
      <c r="A2303" s="2" t="s">
        <v>1043</v>
      </c>
      <c r="B2303" s="2" t="s">
        <v>776</v>
      </c>
      <c r="C2303" s="2" t="s">
        <v>970</v>
      </c>
      <c r="D2303" s="2" t="s">
        <v>56</v>
      </c>
      <c r="E2303" s="2" t="s">
        <v>19</v>
      </c>
      <c r="F2303" s="2">
        <v>6.201573423E9</v>
      </c>
    </row>
    <row r="2304" ht="15.75" customHeight="1">
      <c r="A2304" s="2" t="s">
        <v>406</v>
      </c>
      <c r="B2304" s="2" t="s">
        <v>276</v>
      </c>
      <c r="C2304" s="2" t="s">
        <v>2343</v>
      </c>
      <c r="D2304" s="2" t="s">
        <v>29</v>
      </c>
      <c r="E2304" s="2" t="s">
        <v>19</v>
      </c>
      <c r="F2304" s="2">
        <v>9.852899146E9</v>
      </c>
    </row>
    <row r="2305" ht="15.75" customHeight="1">
      <c r="A2305" s="2" t="s">
        <v>2280</v>
      </c>
      <c r="B2305" s="2" t="s">
        <v>55</v>
      </c>
      <c r="C2305" s="2" t="s">
        <v>333</v>
      </c>
      <c r="D2305" s="2" t="s">
        <v>26</v>
      </c>
      <c r="E2305" s="2" t="s">
        <v>23</v>
      </c>
      <c r="F2305" s="2">
        <v>8.002526098E9</v>
      </c>
    </row>
    <row r="2306" ht="15.75" customHeight="1">
      <c r="A2306" s="2" t="s">
        <v>125</v>
      </c>
      <c r="B2306" s="2" t="s">
        <v>50</v>
      </c>
      <c r="C2306" s="2" t="s">
        <v>360</v>
      </c>
      <c r="D2306" s="2" t="s">
        <v>14</v>
      </c>
      <c r="E2306" s="2" t="s">
        <v>23</v>
      </c>
      <c r="F2306" s="2">
        <v>8.709729849E9</v>
      </c>
    </row>
    <row r="2307" ht="15.75" customHeight="1">
      <c r="A2307" s="2" t="s">
        <v>1577</v>
      </c>
      <c r="B2307" s="2" t="s">
        <v>125</v>
      </c>
      <c r="C2307" s="2" t="s">
        <v>576</v>
      </c>
      <c r="D2307" s="2" t="s">
        <v>56</v>
      </c>
      <c r="E2307" s="2" t="s">
        <v>19</v>
      </c>
      <c r="F2307" s="2">
        <v>9.162921863E9</v>
      </c>
    </row>
    <row r="2308" ht="15.75" customHeight="1">
      <c r="A2308" s="2" t="s">
        <v>2344</v>
      </c>
      <c r="B2308" s="2" t="s">
        <v>153</v>
      </c>
      <c r="C2308" s="2" t="s">
        <v>240</v>
      </c>
      <c r="D2308" s="2" t="s">
        <v>26</v>
      </c>
      <c r="E2308" s="2" t="s">
        <v>19</v>
      </c>
      <c r="F2308" s="2">
        <v>8.696098244E9</v>
      </c>
    </row>
    <row r="2309" ht="15.75" customHeight="1">
      <c r="A2309" s="2" t="s">
        <v>775</v>
      </c>
      <c r="B2309" s="2" t="s">
        <v>1650</v>
      </c>
      <c r="C2309" s="2" t="s">
        <v>2345</v>
      </c>
      <c r="D2309" s="2" t="s">
        <v>26</v>
      </c>
      <c r="E2309" s="2" t="s">
        <v>23</v>
      </c>
      <c r="F2309" s="2">
        <v>8.271850012E9</v>
      </c>
    </row>
    <row r="2310" ht="15.75" customHeight="1">
      <c r="A2310" s="2" t="s">
        <v>707</v>
      </c>
      <c r="B2310" s="2" t="s">
        <v>65</v>
      </c>
      <c r="C2310" s="2" t="s">
        <v>360</v>
      </c>
      <c r="D2310" s="2" t="s">
        <v>26</v>
      </c>
      <c r="E2310" s="2" t="s">
        <v>23</v>
      </c>
      <c r="F2310" s="2">
        <v>6.205052245E9</v>
      </c>
    </row>
    <row r="2311" ht="15.75" customHeight="1">
      <c r="A2311" s="2" t="s">
        <v>1654</v>
      </c>
      <c r="B2311" s="2" t="s">
        <v>50</v>
      </c>
      <c r="C2311" s="2" t="s">
        <v>133</v>
      </c>
      <c r="D2311" s="2" t="s">
        <v>26</v>
      </c>
      <c r="E2311" s="2" t="s">
        <v>19</v>
      </c>
      <c r="F2311" s="2">
        <v>9.331411091E9</v>
      </c>
    </row>
    <row r="2312" ht="15.75" customHeight="1">
      <c r="A2312" s="2" t="s">
        <v>2346</v>
      </c>
      <c r="B2312" s="2" t="s">
        <v>119</v>
      </c>
      <c r="C2312" s="2" t="s">
        <v>576</v>
      </c>
      <c r="D2312" s="2" t="s">
        <v>44</v>
      </c>
      <c r="E2312" s="2" t="s">
        <v>19</v>
      </c>
      <c r="F2312" s="2">
        <v>9.334251886E9</v>
      </c>
    </row>
    <row r="2313" ht="15.75" customHeight="1">
      <c r="A2313" s="2" t="s">
        <v>565</v>
      </c>
      <c r="B2313" s="2" t="s">
        <v>862</v>
      </c>
      <c r="C2313" s="2" t="s">
        <v>655</v>
      </c>
      <c r="D2313" s="2" t="s">
        <v>26</v>
      </c>
      <c r="E2313" s="2" t="s">
        <v>19</v>
      </c>
      <c r="F2313" s="2">
        <v>8.901265351E9</v>
      </c>
    </row>
    <row r="2314" ht="15.75" customHeight="1">
      <c r="A2314" s="2" t="s">
        <v>2280</v>
      </c>
      <c r="B2314" s="2" t="s">
        <v>552</v>
      </c>
      <c r="C2314" s="2" t="s">
        <v>133</v>
      </c>
      <c r="D2314" s="2" t="s">
        <v>56</v>
      </c>
      <c r="E2314" s="2" t="s">
        <v>23</v>
      </c>
      <c r="F2314" s="2">
        <v>7.870815312E9</v>
      </c>
    </row>
    <row r="2315" ht="15.75" customHeight="1">
      <c r="A2315" s="2" t="s">
        <v>1239</v>
      </c>
      <c r="B2315" s="2" t="s">
        <v>65</v>
      </c>
      <c r="C2315" s="2" t="s">
        <v>360</v>
      </c>
      <c r="D2315" s="2" t="s">
        <v>26</v>
      </c>
      <c r="E2315" s="2" t="s">
        <v>23</v>
      </c>
      <c r="F2315" s="2">
        <v>9.234740317E9</v>
      </c>
    </row>
    <row r="2316" ht="15.75" customHeight="1">
      <c r="A2316" s="2" t="s">
        <v>2347</v>
      </c>
      <c r="B2316" s="2" t="s">
        <v>55</v>
      </c>
      <c r="C2316" s="2" t="s">
        <v>500</v>
      </c>
      <c r="D2316" s="2" t="s">
        <v>14</v>
      </c>
      <c r="E2316" s="2" t="s">
        <v>19</v>
      </c>
      <c r="F2316" s="2">
        <v>9.661508398E9</v>
      </c>
    </row>
    <row r="2317" ht="15.75" customHeight="1">
      <c r="A2317" s="2" t="s">
        <v>777</v>
      </c>
      <c r="B2317" s="2" t="s">
        <v>63</v>
      </c>
      <c r="C2317" s="2" t="s">
        <v>235</v>
      </c>
      <c r="D2317" s="2" t="s">
        <v>44</v>
      </c>
      <c r="E2317" s="2" t="s">
        <v>19</v>
      </c>
      <c r="F2317" s="2">
        <v>9.128519163E9</v>
      </c>
    </row>
    <row r="2318" ht="15.75" customHeight="1">
      <c r="A2318" s="2" t="s">
        <v>1915</v>
      </c>
      <c r="B2318" s="2" t="s">
        <v>212</v>
      </c>
      <c r="C2318" s="2" t="s">
        <v>240</v>
      </c>
      <c r="D2318" s="2" t="s">
        <v>26</v>
      </c>
      <c r="E2318" s="2" t="s">
        <v>19</v>
      </c>
      <c r="F2318" s="2">
        <v>7.992256082E9</v>
      </c>
    </row>
    <row r="2319" ht="15.75" customHeight="1">
      <c r="A2319" s="2" t="s">
        <v>775</v>
      </c>
      <c r="B2319" s="2" t="s">
        <v>55</v>
      </c>
      <c r="C2319" s="2" t="s">
        <v>2321</v>
      </c>
      <c r="D2319" s="2" t="s">
        <v>56</v>
      </c>
      <c r="E2319" s="2" t="s">
        <v>23</v>
      </c>
      <c r="F2319" s="2">
        <v>6.724367552E9</v>
      </c>
    </row>
    <row r="2320" ht="15.75" customHeight="1">
      <c r="A2320" s="2" t="s">
        <v>124</v>
      </c>
      <c r="B2320" s="2" t="s">
        <v>125</v>
      </c>
      <c r="C2320" s="2" t="s">
        <v>360</v>
      </c>
      <c r="D2320" s="2" t="s">
        <v>9</v>
      </c>
      <c r="E2320" s="2" t="s">
        <v>23</v>
      </c>
      <c r="F2320" s="2">
        <v>7.004921879E9</v>
      </c>
    </row>
    <row r="2321" ht="15.75" customHeight="1">
      <c r="A2321" s="2" t="s">
        <v>1278</v>
      </c>
      <c r="B2321" s="2" t="s">
        <v>212</v>
      </c>
      <c r="C2321" s="2" t="s">
        <v>655</v>
      </c>
      <c r="D2321" s="2" t="s">
        <v>56</v>
      </c>
      <c r="E2321" s="2" t="s">
        <v>19</v>
      </c>
      <c r="F2321" s="2">
        <v>6.204199968E9</v>
      </c>
    </row>
    <row r="2322" ht="15.75" customHeight="1">
      <c r="A2322" s="2" t="s">
        <v>2348</v>
      </c>
      <c r="B2322" s="2" t="s">
        <v>2348</v>
      </c>
      <c r="C2322" s="2" t="s">
        <v>648</v>
      </c>
      <c r="D2322" s="2" t="s">
        <v>14</v>
      </c>
      <c r="E2322" s="2" t="s">
        <v>23</v>
      </c>
      <c r="F2322" s="2">
        <v>9.635287387E9</v>
      </c>
    </row>
    <row r="2323" ht="15.75" customHeight="1">
      <c r="A2323" s="2" t="s">
        <v>2349</v>
      </c>
      <c r="B2323" s="2" t="s">
        <v>606</v>
      </c>
      <c r="C2323" s="2" t="s">
        <v>360</v>
      </c>
      <c r="D2323" s="2" t="s">
        <v>9</v>
      </c>
      <c r="E2323" s="2" t="s">
        <v>23</v>
      </c>
      <c r="F2323" s="2">
        <v>8.709706385E9</v>
      </c>
    </row>
    <row r="2324" ht="15.75" customHeight="1">
      <c r="A2324" s="2" t="s">
        <v>67</v>
      </c>
      <c r="B2324" s="2" t="s">
        <v>1480</v>
      </c>
      <c r="C2324" s="2" t="s">
        <v>655</v>
      </c>
      <c r="D2324" s="2" t="s">
        <v>26</v>
      </c>
      <c r="E2324" s="2" t="s">
        <v>19</v>
      </c>
      <c r="F2324" s="2">
        <v>9.470681725E9</v>
      </c>
    </row>
    <row r="2325" ht="15.75" customHeight="1">
      <c r="A2325" s="2" t="s">
        <v>775</v>
      </c>
      <c r="B2325" s="2" t="s">
        <v>2350</v>
      </c>
      <c r="C2325" s="2" t="s">
        <v>928</v>
      </c>
      <c r="D2325" s="2" t="s">
        <v>29</v>
      </c>
      <c r="E2325" s="2" t="s">
        <v>23</v>
      </c>
      <c r="F2325" s="2">
        <v>7.631045596E9</v>
      </c>
    </row>
    <row r="2326" ht="15.75" customHeight="1">
      <c r="A2326" s="2" t="s">
        <v>1624</v>
      </c>
      <c r="B2326" s="2" t="s">
        <v>776</v>
      </c>
      <c r="C2326" s="2" t="s">
        <v>360</v>
      </c>
      <c r="D2326" s="2" t="s">
        <v>44</v>
      </c>
      <c r="E2326" s="2" t="s">
        <v>23</v>
      </c>
      <c r="F2326" s="2">
        <v>8.581867613E9</v>
      </c>
    </row>
    <row r="2327" ht="15.75" customHeight="1">
      <c r="A2327" s="2" t="s">
        <v>2351</v>
      </c>
      <c r="B2327" s="2" t="s">
        <v>55</v>
      </c>
      <c r="C2327" s="2" t="s">
        <v>181</v>
      </c>
      <c r="D2327" s="2" t="s">
        <v>26</v>
      </c>
      <c r="E2327" s="2" t="s">
        <v>19</v>
      </c>
      <c r="F2327" s="2">
        <v>9.798467073E9</v>
      </c>
    </row>
    <row r="2328" ht="15.75" customHeight="1">
      <c r="A2328" s="2" t="s">
        <v>491</v>
      </c>
      <c r="B2328" s="2" t="s">
        <v>491</v>
      </c>
      <c r="C2328" s="2" t="s">
        <v>1487</v>
      </c>
      <c r="D2328" s="2" t="s">
        <v>14</v>
      </c>
      <c r="E2328" s="2" t="s">
        <v>19</v>
      </c>
      <c r="F2328" s="2">
        <v>7.488808094E9</v>
      </c>
    </row>
    <row r="2329" ht="15.75" customHeight="1">
      <c r="A2329" s="2" t="s">
        <v>2352</v>
      </c>
      <c r="B2329" s="2" t="s">
        <v>776</v>
      </c>
      <c r="C2329" s="2" t="s">
        <v>249</v>
      </c>
      <c r="D2329" s="2" t="s">
        <v>44</v>
      </c>
      <c r="E2329" s="2" t="s">
        <v>23</v>
      </c>
      <c r="F2329" s="2">
        <v>9.304809698E9</v>
      </c>
    </row>
    <row r="2330" ht="15.75" customHeight="1">
      <c r="A2330" s="2" t="s">
        <v>2353</v>
      </c>
      <c r="B2330" s="2" t="s">
        <v>507</v>
      </c>
      <c r="C2330" s="2" t="s">
        <v>58</v>
      </c>
      <c r="D2330" s="2" t="s">
        <v>9</v>
      </c>
      <c r="E2330" s="2" t="s">
        <v>19</v>
      </c>
      <c r="F2330" s="2">
        <v>7.485088356E9</v>
      </c>
    </row>
    <row r="2331" ht="15.75" customHeight="1">
      <c r="A2331" s="2" t="s">
        <v>51</v>
      </c>
      <c r="B2331" s="2" t="s">
        <v>119</v>
      </c>
      <c r="C2331" s="2" t="s">
        <v>252</v>
      </c>
      <c r="D2331" s="2" t="s">
        <v>56</v>
      </c>
      <c r="E2331" s="2" t="s">
        <v>19</v>
      </c>
      <c r="F2331" s="2">
        <v>8.789690671E9</v>
      </c>
    </row>
    <row r="2332" ht="15.75" customHeight="1">
      <c r="A2332" s="2" t="s">
        <v>1660</v>
      </c>
      <c r="B2332" s="2" t="s">
        <v>50</v>
      </c>
      <c r="C2332" s="2" t="s">
        <v>19</v>
      </c>
      <c r="D2332" s="2" t="s">
        <v>26</v>
      </c>
      <c r="E2332" s="2" t="s">
        <v>23</v>
      </c>
      <c r="F2332" s="2">
        <v>8.545784356E9</v>
      </c>
    </row>
    <row r="2333" ht="15.75" customHeight="1">
      <c r="A2333" s="2" t="s">
        <v>163</v>
      </c>
      <c r="B2333" s="2" t="s">
        <v>88</v>
      </c>
      <c r="C2333" s="2" t="s">
        <v>1050</v>
      </c>
      <c r="D2333" s="2" t="s">
        <v>9</v>
      </c>
      <c r="E2333" s="2" t="s">
        <v>19</v>
      </c>
      <c r="F2333" s="2">
        <v>9.980830403E9</v>
      </c>
    </row>
    <row r="2334" ht="15.75" customHeight="1">
      <c r="A2334" s="2" t="s">
        <v>2354</v>
      </c>
      <c r="B2334" s="2" t="s">
        <v>212</v>
      </c>
      <c r="C2334" s="2" t="s">
        <v>2099</v>
      </c>
      <c r="D2334" s="2" t="s">
        <v>56</v>
      </c>
      <c r="E2334" s="2" t="s">
        <v>23</v>
      </c>
      <c r="F2334" s="2">
        <v>7.549099143E9</v>
      </c>
    </row>
    <row r="2335" ht="15.75" customHeight="1">
      <c r="A2335" s="2" t="s">
        <v>1422</v>
      </c>
      <c r="B2335" s="2" t="s">
        <v>2355</v>
      </c>
      <c r="C2335" s="2" t="s">
        <v>2356</v>
      </c>
      <c r="D2335" s="2" t="s">
        <v>44</v>
      </c>
      <c r="E2335" s="2" t="s">
        <v>19</v>
      </c>
      <c r="F2335" s="2">
        <v>9.709939321E9</v>
      </c>
    </row>
    <row r="2336" ht="15.75" customHeight="1">
      <c r="A2336" s="2" t="s">
        <v>1188</v>
      </c>
      <c r="B2336" s="2" t="s">
        <v>65</v>
      </c>
      <c r="C2336" s="2" t="s">
        <v>655</v>
      </c>
      <c r="D2336" s="2" t="s">
        <v>26</v>
      </c>
      <c r="E2336" s="2" t="s">
        <v>23</v>
      </c>
      <c r="F2336" s="2">
        <v>8.298748317E9</v>
      </c>
    </row>
    <row r="2337" ht="15.75" customHeight="1">
      <c r="A2337" s="2" t="s">
        <v>2357</v>
      </c>
      <c r="B2337" s="2" t="s">
        <v>1557</v>
      </c>
      <c r="C2337" s="2" t="s">
        <v>592</v>
      </c>
      <c r="D2337" s="2" t="s">
        <v>26</v>
      </c>
      <c r="E2337" s="2" t="s">
        <v>255</v>
      </c>
      <c r="F2337" s="2">
        <v>8.09242913E9</v>
      </c>
    </row>
    <row r="2338" ht="15.75" customHeight="1">
      <c r="A2338" s="2" t="s">
        <v>1302</v>
      </c>
      <c r="B2338" s="2" t="s">
        <v>303</v>
      </c>
      <c r="C2338" s="2" t="s">
        <v>1066</v>
      </c>
      <c r="D2338" s="2" t="s">
        <v>14</v>
      </c>
      <c r="E2338" s="2" t="s">
        <v>19</v>
      </c>
      <c r="F2338" s="2">
        <v>8.817291398E9</v>
      </c>
    </row>
    <row r="2339" ht="15.75" customHeight="1">
      <c r="A2339" s="2" t="s">
        <v>2358</v>
      </c>
      <c r="B2339" s="2" t="s">
        <v>21</v>
      </c>
      <c r="C2339" s="2" t="s">
        <v>360</v>
      </c>
      <c r="D2339" s="2" t="s">
        <v>44</v>
      </c>
      <c r="E2339" s="2" t="s">
        <v>19</v>
      </c>
      <c r="F2339" s="2">
        <v>9.23470561E9</v>
      </c>
    </row>
    <row r="2340" ht="15.75" customHeight="1">
      <c r="A2340" s="2" t="s">
        <v>2359</v>
      </c>
      <c r="B2340" s="2" t="s">
        <v>332</v>
      </c>
      <c r="C2340" s="2" t="s">
        <v>133</v>
      </c>
      <c r="D2340" s="2" t="s">
        <v>14</v>
      </c>
      <c r="E2340" s="2" t="s">
        <v>23</v>
      </c>
      <c r="F2340" s="2">
        <v>6.512530947E9</v>
      </c>
    </row>
    <row r="2341" ht="15.75" customHeight="1">
      <c r="A2341" s="2" t="s">
        <v>2360</v>
      </c>
      <c r="B2341" s="2" t="s">
        <v>63</v>
      </c>
      <c r="C2341" s="2" t="s">
        <v>655</v>
      </c>
      <c r="D2341" s="2" t="s">
        <v>44</v>
      </c>
      <c r="E2341" s="2" t="s">
        <v>19</v>
      </c>
      <c r="F2341" s="2">
        <v>6.206941614E9</v>
      </c>
    </row>
    <row r="2342" ht="15.75" customHeight="1">
      <c r="A2342" s="2" t="s">
        <v>2361</v>
      </c>
      <c r="B2342" s="2" t="s">
        <v>2361</v>
      </c>
      <c r="C2342" s="2" t="s">
        <v>1010</v>
      </c>
      <c r="D2342" s="2" t="s">
        <v>26</v>
      </c>
      <c r="E2342" s="2" t="s">
        <v>19</v>
      </c>
      <c r="F2342" s="2">
        <v>7.667714265E9</v>
      </c>
    </row>
    <row r="2343" ht="15.75" customHeight="1">
      <c r="A2343" s="2" t="s">
        <v>446</v>
      </c>
      <c r="B2343" s="2" t="s">
        <v>50</v>
      </c>
      <c r="C2343" s="2" t="s">
        <v>181</v>
      </c>
      <c r="D2343" s="2" t="s">
        <v>56</v>
      </c>
      <c r="E2343" s="2" t="s">
        <v>23</v>
      </c>
      <c r="F2343" s="2">
        <v>9.534066044E9</v>
      </c>
    </row>
    <row r="2344" ht="15.75" customHeight="1">
      <c r="A2344" s="2" t="s">
        <v>2362</v>
      </c>
      <c r="B2344" s="2" t="s">
        <v>212</v>
      </c>
      <c r="C2344" s="2" t="s">
        <v>1237</v>
      </c>
      <c r="D2344" s="2" t="s">
        <v>26</v>
      </c>
      <c r="E2344" s="2" t="s">
        <v>19</v>
      </c>
      <c r="F2344" s="2">
        <v>6.204538029E9</v>
      </c>
    </row>
    <row r="2345" ht="15.75" customHeight="1">
      <c r="A2345" s="2" t="s">
        <v>2363</v>
      </c>
      <c r="B2345" s="2" t="s">
        <v>55</v>
      </c>
      <c r="C2345" s="2" t="s">
        <v>360</v>
      </c>
      <c r="D2345" s="2" t="s">
        <v>44</v>
      </c>
      <c r="E2345" s="2" t="s">
        <v>23</v>
      </c>
      <c r="F2345" s="2">
        <v>6.206714064E9</v>
      </c>
    </row>
    <row r="2346" ht="15.75" customHeight="1">
      <c r="A2346" s="2" t="s">
        <v>796</v>
      </c>
      <c r="B2346" s="2" t="s">
        <v>1812</v>
      </c>
      <c r="C2346" s="2" t="s">
        <v>648</v>
      </c>
      <c r="D2346" s="2" t="s">
        <v>26</v>
      </c>
      <c r="E2346" s="2" t="s">
        <v>23</v>
      </c>
      <c r="F2346" s="2">
        <v>6.204655996E9</v>
      </c>
    </row>
    <row r="2347" ht="15.75" customHeight="1">
      <c r="A2347" s="2" t="s">
        <v>1244</v>
      </c>
      <c r="B2347" s="2" t="s">
        <v>212</v>
      </c>
      <c r="C2347" s="2" t="s">
        <v>1226</v>
      </c>
      <c r="D2347" s="2" t="s">
        <v>56</v>
      </c>
      <c r="E2347" s="2" t="s">
        <v>23</v>
      </c>
      <c r="F2347" s="2">
        <v>8.734562398E9</v>
      </c>
    </row>
    <row r="2348" ht="15.75" customHeight="1">
      <c r="A2348" s="2" t="s">
        <v>1302</v>
      </c>
      <c r="B2348" s="2" t="s">
        <v>1650</v>
      </c>
      <c r="C2348" s="2" t="s">
        <v>1036</v>
      </c>
      <c r="D2348" s="2" t="s">
        <v>26</v>
      </c>
      <c r="E2348" s="2" t="s">
        <v>19</v>
      </c>
      <c r="F2348" s="2">
        <v>7.004152352E9</v>
      </c>
    </row>
    <row r="2349" ht="15.75" customHeight="1">
      <c r="A2349" s="2" t="s">
        <v>110</v>
      </c>
      <c r="B2349" s="2" t="s">
        <v>212</v>
      </c>
      <c r="C2349" s="2" t="s">
        <v>763</v>
      </c>
      <c r="D2349" s="2" t="s">
        <v>26</v>
      </c>
      <c r="E2349" s="2" t="s">
        <v>19</v>
      </c>
      <c r="F2349" s="2">
        <v>7.992315662E9</v>
      </c>
    </row>
    <row r="2350" ht="15.75" customHeight="1">
      <c r="A2350" s="2" t="s">
        <v>2364</v>
      </c>
      <c r="B2350" s="2" t="s">
        <v>328</v>
      </c>
      <c r="C2350" s="2" t="s">
        <v>295</v>
      </c>
      <c r="D2350" s="2" t="s">
        <v>56</v>
      </c>
      <c r="E2350" s="2" t="s">
        <v>23</v>
      </c>
      <c r="F2350" s="2">
        <v>9.973785187E9</v>
      </c>
    </row>
    <row r="2351" ht="15.75" customHeight="1">
      <c r="A2351" s="2" t="s">
        <v>1194</v>
      </c>
      <c r="B2351" s="2" t="s">
        <v>119</v>
      </c>
      <c r="C2351" s="2" t="s">
        <v>1113</v>
      </c>
      <c r="D2351" s="2" t="s">
        <v>26</v>
      </c>
      <c r="E2351" s="2" t="s">
        <v>19</v>
      </c>
      <c r="F2351" s="2">
        <v>9.835105598E9</v>
      </c>
    </row>
    <row r="2352" ht="15.75" customHeight="1">
      <c r="A2352" s="2" t="s">
        <v>1244</v>
      </c>
      <c r="B2352" s="2" t="s">
        <v>220</v>
      </c>
      <c r="C2352" s="2" t="s">
        <v>2225</v>
      </c>
      <c r="D2352" s="2" t="s">
        <v>56</v>
      </c>
      <c r="E2352" s="2" t="s">
        <v>255</v>
      </c>
      <c r="F2352" s="2">
        <v>6.202543287E9</v>
      </c>
    </row>
    <row r="2353" ht="15.75" customHeight="1">
      <c r="A2353" s="2" t="s">
        <v>525</v>
      </c>
      <c r="B2353" s="2" t="s">
        <v>21</v>
      </c>
      <c r="C2353" s="2" t="s">
        <v>86</v>
      </c>
      <c r="D2353" s="2" t="s">
        <v>26</v>
      </c>
      <c r="E2353" s="2" t="s">
        <v>23</v>
      </c>
      <c r="F2353" s="2">
        <v>7.209000755E9</v>
      </c>
    </row>
    <row r="2354" ht="15.75" customHeight="1">
      <c r="A2354" s="2" t="s">
        <v>2365</v>
      </c>
      <c r="B2354" s="2" t="s">
        <v>2366</v>
      </c>
      <c r="C2354" s="2" t="s">
        <v>1533</v>
      </c>
      <c r="D2354" s="2" t="s">
        <v>26</v>
      </c>
      <c r="E2354" s="2" t="s">
        <v>19</v>
      </c>
      <c r="F2354" s="2">
        <v>9.031394992E9</v>
      </c>
    </row>
    <row r="2355" ht="15.75" customHeight="1">
      <c r="A2355" s="2" t="s">
        <v>1194</v>
      </c>
      <c r="B2355" s="2" t="s">
        <v>50</v>
      </c>
      <c r="C2355" s="2" t="s">
        <v>200</v>
      </c>
      <c r="D2355" s="2" t="s">
        <v>14</v>
      </c>
      <c r="E2355" s="2" t="s">
        <v>19</v>
      </c>
      <c r="F2355" s="2">
        <v>8.626893146E9</v>
      </c>
    </row>
    <row r="2356" ht="15.75" customHeight="1">
      <c r="A2356" s="2" t="s">
        <v>2031</v>
      </c>
      <c r="B2356" s="2" t="s">
        <v>2367</v>
      </c>
      <c r="C2356" s="2" t="s">
        <v>289</v>
      </c>
      <c r="D2356" s="2" t="s">
        <v>56</v>
      </c>
      <c r="E2356" s="2" t="s">
        <v>19</v>
      </c>
      <c r="F2356" s="2">
        <v>8.404930643E9</v>
      </c>
    </row>
    <row r="2357" ht="15.75" customHeight="1">
      <c r="A2357" s="2" t="s">
        <v>1276</v>
      </c>
      <c r="B2357" s="2" t="s">
        <v>2368</v>
      </c>
      <c r="C2357" s="2" t="s">
        <v>181</v>
      </c>
      <c r="D2357" s="2" t="s">
        <v>26</v>
      </c>
      <c r="E2357" s="2" t="s">
        <v>23</v>
      </c>
      <c r="F2357" s="2">
        <v>9.263394498E9</v>
      </c>
    </row>
    <row r="2358" ht="15.75" customHeight="1">
      <c r="A2358" s="2" t="s">
        <v>1116</v>
      </c>
      <c r="B2358" s="2" t="s">
        <v>55</v>
      </c>
      <c r="C2358" s="2" t="s">
        <v>939</v>
      </c>
      <c r="D2358" s="2" t="s">
        <v>44</v>
      </c>
      <c r="E2358" s="2" t="s">
        <v>23</v>
      </c>
      <c r="F2358" s="2">
        <v>7.300293217E9</v>
      </c>
    </row>
    <row r="2359" ht="15.75" customHeight="1">
      <c r="A2359" s="2" t="s">
        <v>2369</v>
      </c>
      <c r="B2359" s="2" t="s">
        <v>552</v>
      </c>
      <c r="C2359" s="2" t="s">
        <v>360</v>
      </c>
      <c r="D2359" s="2" t="s">
        <v>56</v>
      </c>
      <c r="E2359" s="2" t="s">
        <v>19</v>
      </c>
      <c r="F2359" s="2">
        <v>6.200850893E9</v>
      </c>
    </row>
    <row r="2360" ht="15.75" customHeight="1">
      <c r="A2360" s="2" t="s">
        <v>1244</v>
      </c>
      <c r="B2360" s="2" t="s">
        <v>88</v>
      </c>
      <c r="C2360" s="2" t="s">
        <v>876</v>
      </c>
      <c r="D2360" s="2" t="s">
        <v>56</v>
      </c>
      <c r="E2360" s="2" t="s">
        <v>23</v>
      </c>
      <c r="F2360" s="2">
        <v>9.012571158E9</v>
      </c>
    </row>
    <row r="2361" ht="15.75" customHeight="1">
      <c r="A2361" s="2" t="s">
        <v>525</v>
      </c>
      <c r="B2361" s="2" t="s">
        <v>50</v>
      </c>
      <c r="C2361" s="2" t="s">
        <v>235</v>
      </c>
      <c r="D2361" s="2" t="s">
        <v>26</v>
      </c>
      <c r="E2361" s="2" t="s">
        <v>19</v>
      </c>
      <c r="F2361" s="2">
        <v>9.11342534E9</v>
      </c>
    </row>
    <row r="2362" ht="15.75" customHeight="1">
      <c r="A2362" s="2" t="s">
        <v>2370</v>
      </c>
      <c r="B2362" s="2" t="s">
        <v>212</v>
      </c>
      <c r="C2362" s="2" t="s">
        <v>763</v>
      </c>
      <c r="D2362" s="2" t="s">
        <v>26</v>
      </c>
      <c r="E2362" s="2" t="s">
        <v>23</v>
      </c>
      <c r="F2362" s="2">
        <v>7.319960659E9</v>
      </c>
    </row>
    <row r="2363" ht="15.75" customHeight="1">
      <c r="A2363" s="2" t="s">
        <v>55</v>
      </c>
      <c r="B2363" s="2" t="s">
        <v>1246</v>
      </c>
      <c r="C2363" s="2" t="s">
        <v>1004</v>
      </c>
      <c r="D2363" s="2" t="s">
        <v>9</v>
      </c>
      <c r="E2363" s="2" t="s">
        <v>23</v>
      </c>
      <c r="F2363" s="2">
        <v>6.205671546E9</v>
      </c>
    </row>
    <row r="2364" ht="15.75" customHeight="1">
      <c r="A2364" s="2" t="s">
        <v>1194</v>
      </c>
      <c r="B2364" s="2" t="s">
        <v>63</v>
      </c>
      <c r="C2364" s="2" t="s">
        <v>867</v>
      </c>
      <c r="D2364" s="2" t="s">
        <v>26</v>
      </c>
      <c r="E2364" s="2" t="s">
        <v>19</v>
      </c>
      <c r="F2364" s="2">
        <v>8.236620471E9</v>
      </c>
    </row>
    <row r="2365" ht="15.75" customHeight="1">
      <c r="A2365" s="2" t="s">
        <v>2371</v>
      </c>
      <c r="B2365" s="2" t="s">
        <v>112</v>
      </c>
      <c r="C2365" s="2" t="s">
        <v>360</v>
      </c>
      <c r="D2365" s="2" t="s">
        <v>44</v>
      </c>
      <c r="E2365" s="2" t="s">
        <v>19</v>
      </c>
      <c r="F2365" s="2">
        <v>7.904596371E9</v>
      </c>
    </row>
    <row r="2366" ht="15.75" customHeight="1">
      <c r="A2366" s="2" t="s">
        <v>1985</v>
      </c>
      <c r="B2366" s="2" t="s">
        <v>113</v>
      </c>
      <c r="C2366" s="2" t="s">
        <v>58</v>
      </c>
      <c r="D2366" s="2" t="s">
        <v>44</v>
      </c>
      <c r="E2366" s="2" t="s">
        <v>19</v>
      </c>
      <c r="F2366" s="2">
        <v>8.340206166E9</v>
      </c>
    </row>
    <row r="2367" ht="15.75" customHeight="1">
      <c r="A2367" s="2" t="s">
        <v>2372</v>
      </c>
      <c r="B2367" s="2" t="s">
        <v>212</v>
      </c>
      <c r="C2367" s="2" t="s">
        <v>330</v>
      </c>
      <c r="D2367" s="2" t="s">
        <v>26</v>
      </c>
      <c r="E2367" s="2" t="s">
        <v>19</v>
      </c>
      <c r="F2367" s="2">
        <v>9.304347822E9</v>
      </c>
    </row>
    <row r="2368" ht="15.75" customHeight="1">
      <c r="A2368" s="2" t="s">
        <v>234</v>
      </c>
      <c r="B2368" s="2" t="s">
        <v>882</v>
      </c>
      <c r="C2368" s="2" t="s">
        <v>1818</v>
      </c>
      <c r="D2368" s="2" t="s">
        <v>56</v>
      </c>
      <c r="E2368" s="2" t="s">
        <v>23</v>
      </c>
      <c r="F2368" s="2">
        <v>9.955995078E9</v>
      </c>
    </row>
    <row r="2369" ht="15.75" customHeight="1">
      <c r="A2369" s="2" t="s">
        <v>2373</v>
      </c>
      <c r="B2369" s="2" t="s">
        <v>520</v>
      </c>
      <c r="C2369" s="2" t="s">
        <v>305</v>
      </c>
      <c r="D2369" s="2" t="s">
        <v>14</v>
      </c>
      <c r="E2369" s="2" t="s">
        <v>19</v>
      </c>
      <c r="F2369" s="2">
        <v>6.200713766E9</v>
      </c>
    </row>
    <row r="2370" ht="15.75" customHeight="1">
      <c r="A2370" s="2" t="s">
        <v>1342</v>
      </c>
      <c r="B2370" s="2" t="s">
        <v>212</v>
      </c>
      <c r="C2370" s="2" t="s">
        <v>655</v>
      </c>
      <c r="D2370" s="2" t="s">
        <v>26</v>
      </c>
      <c r="E2370" s="2" t="s">
        <v>19</v>
      </c>
      <c r="F2370" s="2">
        <v>9.565873675E9</v>
      </c>
    </row>
    <row r="2371" ht="15.75" customHeight="1">
      <c r="A2371" s="2" t="s">
        <v>55</v>
      </c>
      <c r="B2371" s="2" t="s">
        <v>1032</v>
      </c>
      <c r="C2371" s="2" t="s">
        <v>713</v>
      </c>
      <c r="D2371" s="2" t="s">
        <v>56</v>
      </c>
      <c r="E2371" s="2" t="s">
        <v>23</v>
      </c>
      <c r="F2371" s="2">
        <v>8.857068051E9</v>
      </c>
    </row>
    <row r="2372" ht="15.75" customHeight="1">
      <c r="A2372" s="2" t="s">
        <v>524</v>
      </c>
      <c r="B2372" s="2" t="s">
        <v>396</v>
      </c>
      <c r="C2372" s="2" t="s">
        <v>655</v>
      </c>
      <c r="D2372" s="2" t="s">
        <v>26</v>
      </c>
      <c r="E2372" s="2" t="s">
        <v>23</v>
      </c>
      <c r="F2372" s="2">
        <v>8.002607261E9</v>
      </c>
    </row>
    <row r="2373" ht="15.75" customHeight="1">
      <c r="A2373" s="2" t="s">
        <v>1386</v>
      </c>
      <c r="B2373" s="2" t="s">
        <v>55</v>
      </c>
      <c r="C2373" s="2" t="s">
        <v>1497</v>
      </c>
      <c r="D2373" s="2" t="s">
        <v>26</v>
      </c>
      <c r="E2373" s="2" t="s">
        <v>19</v>
      </c>
      <c r="F2373" s="2">
        <v>8.252419725E9</v>
      </c>
    </row>
    <row r="2374" ht="15.75" customHeight="1">
      <c r="A2374" s="2" t="s">
        <v>1846</v>
      </c>
      <c r="B2374" s="2" t="s">
        <v>212</v>
      </c>
      <c r="C2374" s="2" t="s">
        <v>655</v>
      </c>
      <c r="D2374" s="2" t="s">
        <v>26</v>
      </c>
      <c r="E2374" s="2" t="s">
        <v>23</v>
      </c>
      <c r="F2374" s="2">
        <v>9.413252737E9</v>
      </c>
    </row>
    <row r="2375" ht="15.75" customHeight="1">
      <c r="A2375" s="2" t="s">
        <v>2374</v>
      </c>
      <c r="B2375" s="2" t="s">
        <v>125</v>
      </c>
      <c r="C2375" s="2" t="s">
        <v>58</v>
      </c>
      <c r="D2375" s="2" t="s">
        <v>44</v>
      </c>
      <c r="E2375" s="2" t="s">
        <v>19</v>
      </c>
      <c r="F2375" s="2">
        <v>9.709132034E9</v>
      </c>
    </row>
    <row r="2376" ht="15.75" customHeight="1">
      <c r="A2376" s="2" t="s">
        <v>1194</v>
      </c>
      <c r="B2376" s="2" t="s">
        <v>2375</v>
      </c>
      <c r="C2376" s="2" t="s">
        <v>2376</v>
      </c>
      <c r="D2376" s="2" t="s">
        <v>56</v>
      </c>
      <c r="E2376" s="2" t="s">
        <v>19</v>
      </c>
      <c r="F2376" s="2">
        <v>6.205504892E9</v>
      </c>
    </row>
    <row r="2377" ht="15.75" customHeight="1">
      <c r="A2377" s="2" t="s">
        <v>89</v>
      </c>
      <c r="B2377" s="2" t="s">
        <v>88</v>
      </c>
      <c r="C2377" s="2" t="s">
        <v>655</v>
      </c>
      <c r="D2377" s="2" t="s">
        <v>26</v>
      </c>
      <c r="E2377" s="2" t="s">
        <v>19</v>
      </c>
      <c r="F2377" s="2">
        <v>9.534758575E9</v>
      </c>
    </row>
    <row r="2378" ht="15.75" customHeight="1">
      <c r="A2378" s="2" t="s">
        <v>1244</v>
      </c>
      <c r="B2378" s="2" t="s">
        <v>552</v>
      </c>
      <c r="C2378" s="2" t="s">
        <v>556</v>
      </c>
      <c r="D2378" s="2" t="s">
        <v>29</v>
      </c>
      <c r="E2378" s="2" t="s">
        <v>255</v>
      </c>
      <c r="F2378" s="2">
        <v>8.603177801E9</v>
      </c>
    </row>
    <row r="2379" ht="15.75" customHeight="1">
      <c r="A2379" s="2" t="s">
        <v>2377</v>
      </c>
      <c r="B2379" s="2" t="s">
        <v>2378</v>
      </c>
      <c r="C2379" s="2" t="s">
        <v>2379</v>
      </c>
      <c r="D2379" s="2" t="s">
        <v>56</v>
      </c>
      <c r="E2379" s="2" t="s">
        <v>23</v>
      </c>
      <c r="F2379" s="2">
        <v>7.870468448E9</v>
      </c>
    </row>
    <row r="2380" ht="15.75" customHeight="1">
      <c r="A2380" s="2" t="s">
        <v>2380</v>
      </c>
      <c r="B2380" s="2" t="s">
        <v>63</v>
      </c>
      <c r="C2380" s="2" t="s">
        <v>655</v>
      </c>
      <c r="D2380" s="2" t="s">
        <v>44</v>
      </c>
      <c r="E2380" s="2" t="s">
        <v>19</v>
      </c>
      <c r="F2380" s="2">
        <v>8.789537167E9</v>
      </c>
    </row>
    <row r="2381" ht="15.75" customHeight="1">
      <c r="A2381" s="2" t="s">
        <v>1422</v>
      </c>
      <c r="B2381" s="2" t="s">
        <v>88</v>
      </c>
      <c r="C2381" s="2" t="s">
        <v>729</v>
      </c>
      <c r="D2381" s="2" t="s">
        <v>26</v>
      </c>
      <c r="E2381" s="2" t="s">
        <v>19</v>
      </c>
      <c r="F2381" s="2">
        <v>7.319931006E9</v>
      </c>
    </row>
    <row r="2382" ht="15.75" customHeight="1">
      <c r="A2382" s="2" t="s">
        <v>1978</v>
      </c>
      <c r="B2382" s="2" t="s">
        <v>257</v>
      </c>
      <c r="C2382" s="2" t="s">
        <v>729</v>
      </c>
      <c r="D2382" s="2" t="s">
        <v>26</v>
      </c>
      <c r="E2382" s="2" t="s">
        <v>19</v>
      </c>
      <c r="F2382" s="2">
        <v>9.955143423E9</v>
      </c>
    </row>
    <row r="2383" ht="15.75" customHeight="1">
      <c r="A2383" s="2" t="s">
        <v>1654</v>
      </c>
      <c r="B2383" s="2" t="s">
        <v>50</v>
      </c>
      <c r="C2383" s="2" t="s">
        <v>708</v>
      </c>
      <c r="D2383" s="2" t="s">
        <v>26</v>
      </c>
      <c r="E2383" s="2" t="s">
        <v>23</v>
      </c>
      <c r="F2383" s="2">
        <v>7.050605814E9</v>
      </c>
    </row>
    <row r="2384" ht="15.75" customHeight="1">
      <c r="A2384" s="2" t="s">
        <v>1429</v>
      </c>
      <c r="B2384" s="2" t="s">
        <v>2381</v>
      </c>
      <c r="C2384" s="2" t="s">
        <v>655</v>
      </c>
      <c r="D2384" s="2" t="s">
        <v>26</v>
      </c>
      <c r="E2384" s="2" t="s">
        <v>19</v>
      </c>
      <c r="F2384" s="2">
        <v>9.002957498E9</v>
      </c>
    </row>
    <row r="2385" ht="15.75" customHeight="1">
      <c r="A2385" s="2" t="s">
        <v>189</v>
      </c>
      <c r="B2385" s="2" t="s">
        <v>63</v>
      </c>
      <c r="C2385" s="2" t="s">
        <v>423</v>
      </c>
      <c r="D2385" s="2" t="s">
        <v>44</v>
      </c>
      <c r="E2385" s="2" t="s">
        <v>23</v>
      </c>
      <c r="F2385" s="2">
        <v>9.1991719E9</v>
      </c>
    </row>
    <row r="2386" ht="15.75" customHeight="1">
      <c r="A2386" s="2" t="s">
        <v>346</v>
      </c>
      <c r="B2386" s="2" t="s">
        <v>119</v>
      </c>
      <c r="C2386" s="2" t="s">
        <v>58</v>
      </c>
      <c r="D2386" s="2" t="s">
        <v>26</v>
      </c>
      <c r="E2386" s="2" t="s">
        <v>19</v>
      </c>
      <c r="F2386" s="2">
        <v>7.759523441E9</v>
      </c>
    </row>
    <row r="2387" ht="15.75" customHeight="1">
      <c r="A2387" s="2" t="s">
        <v>877</v>
      </c>
      <c r="B2387" s="2" t="s">
        <v>1630</v>
      </c>
      <c r="C2387" s="2" t="s">
        <v>655</v>
      </c>
      <c r="D2387" s="2" t="s">
        <v>26</v>
      </c>
      <c r="E2387" s="2" t="s">
        <v>19</v>
      </c>
      <c r="F2387" s="2">
        <v>7.80876959E9</v>
      </c>
    </row>
    <row r="2388" ht="15.75" customHeight="1">
      <c r="A2388" s="2" t="s">
        <v>444</v>
      </c>
      <c r="B2388" s="2" t="s">
        <v>119</v>
      </c>
      <c r="C2388" s="2" t="s">
        <v>1042</v>
      </c>
      <c r="D2388" s="2" t="s">
        <v>14</v>
      </c>
      <c r="E2388" s="2" t="s">
        <v>23</v>
      </c>
      <c r="F2388" s="2">
        <v>7.763000128E9</v>
      </c>
    </row>
    <row r="2389" ht="15.75" customHeight="1">
      <c r="A2389" s="2" t="s">
        <v>1251</v>
      </c>
      <c r="B2389" s="2" t="s">
        <v>63</v>
      </c>
      <c r="C2389" s="2" t="s">
        <v>305</v>
      </c>
      <c r="D2389" s="2" t="s">
        <v>9</v>
      </c>
      <c r="E2389" s="2" t="s">
        <v>19</v>
      </c>
      <c r="F2389" s="2">
        <v>9.708695546E9</v>
      </c>
    </row>
    <row r="2390" ht="15.75" customHeight="1">
      <c r="A2390" s="2" t="s">
        <v>2382</v>
      </c>
      <c r="B2390" s="2" t="s">
        <v>125</v>
      </c>
      <c r="C2390" s="2" t="s">
        <v>58</v>
      </c>
      <c r="D2390" s="2" t="s">
        <v>44</v>
      </c>
      <c r="E2390" s="2" t="s">
        <v>19</v>
      </c>
      <c r="F2390" s="2">
        <v>9.570625113E9</v>
      </c>
    </row>
    <row r="2391" ht="15.75" customHeight="1">
      <c r="A2391" s="2" t="s">
        <v>2383</v>
      </c>
      <c r="B2391" s="2" t="s">
        <v>203</v>
      </c>
      <c r="C2391" s="2" t="s">
        <v>729</v>
      </c>
      <c r="D2391" s="2" t="s">
        <v>26</v>
      </c>
      <c r="E2391" s="2" t="s">
        <v>19</v>
      </c>
      <c r="F2391" s="2">
        <v>9.709705022E9</v>
      </c>
    </row>
    <row r="2392" ht="15.75" customHeight="1">
      <c r="A2392" s="2" t="s">
        <v>782</v>
      </c>
      <c r="B2392" s="2" t="s">
        <v>75</v>
      </c>
      <c r="C2392" s="2" t="s">
        <v>655</v>
      </c>
      <c r="D2392" s="2" t="s">
        <v>26</v>
      </c>
      <c r="E2392" s="2" t="s">
        <v>23</v>
      </c>
      <c r="F2392" s="2">
        <v>8.877302515E9</v>
      </c>
    </row>
    <row r="2393" ht="15.75" customHeight="1">
      <c r="A2393" s="2" t="s">
        <v>2226</v>
      </c>
      <c r="B2393" s="2" t="s">
        <v>992</v>
      </c>
      <c r="C2393" s="2" t="s">
        <v>370</v>
      </c>
      <c r="D2393" s="2" t="s">
        <v>14</v>
      </c>
      <c r="E2393" s="2" t="s">
        <v>19</v>
      </c>
      <c r="F2393" s="2">
        <v>9.576770834E9</v>
      </c>
    </row>
    <row r="2394" ht="15.75" customHeight="1">
      <c r="A2394" s="2" t="s">
        <v>2384</v>
      </c>
      <c r="B2394" s="2" t="s">
        <v>50</v>
      </c>
      <c r="C2394" s="2" t="s">
        <v>2385</v>
      </c>
      <c r="D2394" s="2" t="s">
        <v>44</v>
      </c>
      <c r="E2394" s="2" t="s">
        <v>19</v>
      </c>
      <c r="F2394" s="2">
        <v>7.781978522E9</v>
      </c>
    </row>
    <row r="2395" ht="15.75" customHeight="1">
      <c r="A2395" s="2" t="s">
        <v>2358</v>
      </c>
      <c r="B2395" s="2" t="s">
        <v>63</v>
      </c>
      <c r="C2395" s="2" t="s">
        <v>1379</v>
      </c>
      <c r="D2395" s="2" t="s">
        <v>56</v>
      </c>
      <c r="E2395" s="2" t="s">
        <v>19</v>
      </c>
      <c r="F2395" s="2">
        <v>9.33414128E9</v>
      </c>
    </row>
    <row r="2396" ht="15.75" customHeight="1">
      <c r="A2396" s="2" t="s">
        <v>565</v>
      </c>
      <c r="B2396" s="2" t="s">
        <v>55</v>
      </c>
      <c r="C2396" s="2" t="s">
        <v>181</v>
      </c>
      <c r="D2396" s="2" t="s">
        <v>56</v>
      </c>
      <c r="E2396" s="2" t="s">
        <v>23</v>
      </c>
      <c r="F2396" s="2">
        <v>6.203504906E9</v>
      </c>
    </row>
    <row r="2397" ht="15.75" customHeight="1">
      <c r="A2397" s="2" t="s">
        <v>2386</v>
      </c>
      <c r="B2397" s="2" t="s">
        <v>65</v>
      </c>
      <c r="C2397" s="2" t="s">
        <v>235</v>
      </c>
      <c r="D2397" s="2" t="s">
        <v>26</v>
      </c>
      <c r="E2397" s="2" t="s">
        <v>19</v>
      </c>
      <c r="F2397" s="2">
        <v>8.709235383E9</v>
      </c>
    </row>
    <row r="2398" ht="15.75" customHeight="1">
      <c r="A2398" s="2" t="s">
        <v>2387</v>
      </c>
      <c r="B2398" s="2" t="s">
        <v>2388</v>
      </c>
      <c r="C2398" s="2" t="s">
        <v>106</v>
      </c>
      <c r="D2398" s="2" t="s">
        <v>26</v>
      </c>
      <c r="E2398" s="2" t="s">
        <v>19</v>
      </c>
      <c r="F2398" s="2">
        <v>8.340489451E9</v>
      </c>
    </row>
    <row r="2399" ht="15.75" customHeight="1">
      <c r="A2399" s="2" t="s">
        <v>1482</v>
      </c>
      <c r="B2399" s="2" t="s">
        <v>50</v>
      </c>
      <c r="C2399" s="2" t="s">
        <v>662</v>
      </c>
      <c r="D2399" s="2" t="s">
        <v>26</v>
      </c>
      <c r="E2399" s="2" t="s">
        <v>19</v>
      </c>
      <c r="F2399" s="2">
        <v>6.209199199E9</v>
      </c>
    </row>
    <row r="2400" ht="15.75" customHeight="1">
      <c r="A2400" s="2" t="s">
        <v>2377</v>
      </c>
      <c r="B2400" s="2" t="s">
        <v>108</v>
      </c>
      <c r="C2400" s="2" t="s">
        <v>58</v>
      </c>
      <c r="D2400" s="2" t="s">
        <v>44</v>
      </c>
      <c r="E2400" s="2" t="s">
        <v>19</v>
      </c>
      <c r="F2400" s="2">
        <v>6.202954849E9</v>
      </c>
    </row>
    <row r="2401" ht="15.75" customHeight="1">
      <c r="A2401" s="2" t="s">
        <v>2389</v>
      </c>
      <c r="B2401" s="2" t="s">
        <v>21</v>
      </c>
      <c r="C2401" s="2" t="s">
        <v>500</v>
      </c>
      <c r="D2401" s="2" t="s">
        <v>44</v>
      </c>
      <c r="E2401" s="2" t="s">
        <v>19</v>
      </c>
      <c r="F2401" s="2">
        <v>9.631476958E9</v>
      </c>
    </row>
    <row r="2402" ht="15.75" customHeight="1">
      <c r="A2402" s="2" t="s">
        <v>278</v>
      </c>
      <c r="B2402" s="2" t="s">
        <v>63</v>
      </c>
      <c r="C2402" s="2" t="s">
        <v>655</v>
      </c>
      <c r="D2402" s="2" t="s">
        <v>26</v>
      </c>
      <c r="E2402" s="2" t="s">
        <v>23</v>
      </c>
      <c r="F2402" s="2">
        <v>8.798856108E9</v>
      </c>
    </row>
    <row r="2403" ht="15.75" customHeight="1">
      <c r="A2403" s="2" t="s">
        <v>2390</v>
      </c>
      <c r="B2403" s="2" t="s">
        <v>119</v>
      </c>
      <c r="C2403" s="2" t="s">
        <v>133</v>
      </c>
      <c r="D2403" s="2" t="s">
        <v>26</v>
      </c>
      <c r="E2403" s="2" t="s">
        <v>19</v>
      </c>
      <c r="F2403" s="2">
        <v>8.674812198E9</v>
      </c>
    </row>
    <row r="2404" ht="15.75" customHeight="1">
      <c r="A2404" s="2" t="s">
        <v>290</v>
      </c>
      <c r="B2404" s="2" t="s">
        <v>63</v>
      </c>
      <c r="C2404" s="2" t="s">
        <v>235</v>
      </c>
      <c r="D2404" s="2" t="s">
        <v>26</v>
      </c>
      <c r="E2404" s="2" t="s">
        <v>19</v>
      </c>
      <c r="F2404" s="2">
        <v>8.092470674E9</v>
      </c>
    </row>
    <row r="2405" ht="15.75" customHeight="1">
      <c r="A2405" s="2" t="s">
        <v>2391</v>
      </c>
      <c r="B2405" s="2" t="s">
        <v>50</v>
      </c>
      <c r="C2405" s="2" t="s">
        <v>453</v>
      </c>
      <c r="D2405" s="2" t="s">
        <v>56</v>
      </c>
      <c r="E2405" s="2" t="s">
        <v>19</v>
      </c>
      <c r="F2405" s="2">
        <v>7.35254198E9</v>
      </c>
    </row>
    <row r="2406" ht="15.75" customHeight="1">
      <c r="A2406" s="2" t="s">
        <v>2392</v>
      </c>
      <c r="B2406" s="2" t="s">
        <v>276</v>
      </c>
      <c r="C2406" s="2" t="s">
        <v>200</v>
      </c>
      <c r="D2406" s="2" t="s">
        <v>26</v>
      </c>
      <c r="E2406" s="2" t="s">
        <v>23</v>
      </c>
      <c r="F2406" s="2">
        <v>9.631663757E9</v>
      </c>
    </row>
    <row r="2407" ht="15.75" customHeight="1">
      <c r="A2407" s="2" t="s">
        <v>2393</v>
      </c>
      <c r="B2407" s="2" t="s">
        <v>276</v>
      </c>
      <c r="C2407" s="2" t="s">
        <v>181</v>
      </c>
      <c r="D2407" s="2" t="s">
        <v>26</v>
      </c>
      <c r="E2407" s="2" t="s">
        <v>19</v>
      </c>
      <c r="F2407" s="2">
        <v>7.4887369E9</v>
      </c>
    </row>
    <row r="2408" ht="15.75" customHeight="1">
      <c r="A2408" s="2" t="s">
        <v>2394</v>
      </c>
      <c r="B2408" s="2" t="s">
        <v>125</v>
      </c>
      <c r="C2408" s="2" t="s">
        <v>330</v>
      </c>
      <c r="D2408" s="2" t="s">
        <v>14</v>
      </c>
      <c r="E2408" s="2" t="s">
        <v>19</v>
      </c>
      <c r="F2408" s="2">
        <v>6.299177285E9</v>
      </c>
    </row>
    <row r="2409" ht="15.75" customHeight="1">
      <c r="A2409" s="2" t="s">
        <v>1565</v>
      </c>
      <c r="B2409" s="2" t="s">
        <v>1201</v>
      </c>
      <c r="C2409" s="2" t="s">
        <v>1408</v>
      </c>
      <c r="D2409" s="2" t="s">
        <v>26</v>
      </c>
      <c r="E2409" s="2" t="s">
        <v>23</v>
      </c>
      <c r="F2409" s="2">
        <v>8.017771173E9</v>
      </c>
    </row>
    <row r="2410" ht="15.75" customHeight="1">
      <c r="A2410" s="2" t="s">
        <v>89</v>
      </c>
      <c r="B2410" s="2" t="s">
        <v>2395</v>
      </c>
      <c r="C2410" s="2" t="s">
        <v>655</v>
      </c>
      <c r="D2410" s="2" t="s">
        <v>26</v>
      </c>
      <c r="E2410" s="2" t="s">
        <v>19</v>
      </c>
      <c r="F2410" s="2">
        <v>8.877302515E9</v>
      </c>
    </row>
    <row r="2411" ht="15.75" customHeight="1">
      <c r="A2411" s="2" t="s">
        <v>1021</v>
      </c>
      <c r="B2411" s="2" t="s">
        <v>55</v>
      </c>
      <c r="C2411" s="2" t="s">
        <v>341</v>
      </c>
      <c r="D2411" s="2" t="s">
        <v>14</v>
      </c>
      <c r="E2411" s="2" t="s">
        <v>255</v>
      </c>
      <c r="F2411" s="2">
        <v>9.199986639E9</v>
      </c>
    </row>
    <row r="2412" ht="15.75" customHeight="1">
      <c r="A2412" s="2" t="s">
        <v>778</v>
      </c>
      <c r="B2412" s="2" t="s">
        <v>212</v>
      </c>
      <c r="C2412" s="2" t="s">
        <v>235</v>
      </c>
      <c r="D2412" s="2" t="s">
        <v>26</v>
      </c>
      <c r="E2412" s="2" t="s">
        <v>19</v>
      </c>
      <c r="F2412" s="2">
        <v>9.234997557E9</v>
      </c>
    </row>
    <row r="2413" ht="15.75" customHeight="1">
      <c r="A2413" s="2" t="s">
        <v>1239</v>
      </c>
      <c r="B2413" s="2" t="s">
        <v>63</v>
      </c>
      <c r="C2413" s="2" t="s">
        <v>300</v>
      </c>
      <c r="D2413" s="2" t="s">
        <v>56</v>
      </c>
      <c r="E2413" s="2" t="s">
        <v>19</v>
      </c>
      <c r="F2413" s="2">
        <v>6.299161712E9</v>
      </c>
    </row>
    <row r="2414" ht="15.75" customHeight="1">
      <c r="A2414" s="2" t="s">
        <v>2396</v>
      </c>
      <c r="B2414" s="2" t="s">
        <v>2131</v>
      </c>
      <c r="C2414" s="2" t="s">
        <v>1379</v>
      </c>
      <c r="D2414" s="2" t="s">
        <v>56</v>
      </c>
      <c r="E2414" s="2" t="s">
        <v>23</v>
      </c>
      <c r="F2414" s="2">
        <v>7.050048616E9</v>
      </c>
    </row>
    <row r="2415" ht="15.75" customHeight="1">
      <c r="A2415" s="2" t="s">
        <v>2397</v>
      </c>
      <c r="B2415" s="2" t="s">
        <v>582</v>
      </c>
      <c r="C2415" s="2" t="s">
        <v>763</v>
      </c>
      <c r="D2415" s="2" t="s">
        <v>29</v>
      </c>
      <c r="E2415" s="2" t="s">
        <v>19</v>
      </c>
      <c r="F2415" s="2">
        <v>8.227870003E9</v>
      </c>
    </row>
    <row r="2416" ht="15.75" customHeight="1">
      <c r="A2416" s="2" t="s">
        <v>317</v>
      </c>
      <c r="B2416" s="2" t="s">
        <v>2155</v>
      </c>
      <c r="C2416" s="2" t="s">
        <v>844</v>
      </c>
      <c r="D2416" s="2" t="s">
        <v>14</v>
      </c>
      <c r="E2416" s="2" t="s">
        <v>23</v>
      </c>
      <c r="F2416" s="2">
        <v>6.203935687E9</v>
      </c>
    </row>
    <row r="2417" ht="15.75" customHeight="1">
      <c r="A2417" s="2" t="s">
        <v>96</v>
      </c>
      <c r="B2417" s="2" t="s">
        <v>507</v>
      </c>
      <c r="C2417" s="2" t="s">
        <v>58</v>
      </c>
      <c r="D2417" s="2" t="s">
        <v>44</v>
      </c>
      <c r="E2417" s="2" t="s">
        <v>19</v>
      </c>
      <c r="F2417" s="2">
        <v>9.430781607E9</v>
      </c>
    </row>
    <row r="2418" ht="15.75" customHeight="1">
      <c r="A2418" s="2" t="s">
        <v>1429</v>
      </c>
      <c r="B2418" s="2" t="s">
        <v>320</v>
      </c>
      <c r="C2418" s="2" t="s">
        <v>330</v>
      </c>
      <c r="D2418" s="2" t="s">
        <v>26</v>
      </c>
      <c r="E2418" s="2" t="s">
        <v>19</v>
      </c>
      <c r="F2418" s="2">
        <v>8.789956108E9</v>
      </c>
    </row>
    <row r="2419" ht="15.75" customHeight="1">
      <c r="A2419" s="2" t="s">
        <v>1276</v>
      </c>
      <c r="B2419" s="2" t="s">
        <v>2398</v>
      </c>
      <c r="C2419" s="2" t="s">
        <v>181</v>
      </c>
      <c r="D2419" s="2" t="s">
        <v>102</v>
      </c>
      <c r="E2419" s="2" t="s">
        <v>23</v>
      </c>
      <c r="F2419" s="2">
        <v>9.576134474E9</v>
      </c>
    </row>
    <row r="2420" ht="15.75" customHeight="1">
      <c r="A2420" s="2" t="s">
        <v>317</v>
      </c>
      <c r="B2420" s="2" t="s">
        <v>2155</v>
      </c>
      <c r="C2420" s="2" t="s">
        <v>821</v>
      </c>
      <c r="D2420" s="2" t="s">
        <v>44</v>
      </c>
      <c r="E2420" s="2" t="s">
        <v>255</v>
      </c>
      <c r="F2420" s="2">
        <v>9.199736208E9</v>
      </c>
    </row>
    <row r="2421" ht="15.75" customHeight="1">
      <c r="A2421" s="2" t="s">
        <v>2399</v>
      </c>
      <c r="B2421" s="2" t="s">
        <v>119</v>
      </c>
      <c r="C2421" s="2" t="s">
        <v>58</v>
      </c>
      <c r="D2421" s="2" t="s">
        <v>14</v>
      </c>
      <c r="E2421" s="2" t="s">
        <v>19</v>
      </c>
      <c r="F2421" s="2">
        <v>9.470134076E9</v>
      </c>
    </row>
    <row r="2422" ht="15.75" customHeight="1">
      <c r="A2422" s="2" t="s">
        <v>2400</v>
      </c>
      <c r="B2422" s="2" t="s">
        <v>21</v>
      </c>
      <c r="C2422" s="2" t="s">
        <v>1379</v>
      </c>
      <c r="D2422" s="2" t="s">
        <v>26</v>
      </c>
      <c r="E2422" s="2" t="s">
        <v>19</v>
      </c>
      <c r="F2422" s="2">
        <v>8.092443995E9</v>
      </c>
    </row>
    <row r="2423" ht="15.75" customHeight="1">
      <c r="A2423" s="2" t="s">
        <v>317</v>
      </c>
      <c r="B2423" s="2" t="s">
        <v>55</v>
      </c>
      <c r="C2423" s="2" t="s">
        <v>1001</v>
      </c>
      <c r="D2423" s="2" t="s">
        <v>44</v>
      </c>
      <c r="E2423" s="2" t="s">
        <v>23</v>
      </c>
      <c r="F2423" s="2">
        <v>9.199736208E9</v>
      </c>
    </row>
    <row r="2424" ht="15.75" customHeight="1">
      <c r="A2424" s="2" t="s">
        <v>2401</v>
      </c>
      <c r="B2424" s="2" t="s">
        <v>483</v>
      </c>
      <c r="C2424" s="2" t="s">
        <v>1113</v>
      </c>
      <c r="D2424" s="2" t="s">
        <v>26</v>
      </c>
      <c r="E2424" s="2" t="s">
        <v>19</v>
      </c>
      <c r="F2424" s="2">
        <v>8.178114904E9</v>
      </c>
    </row>
    <row r="2425" ht="15.75" customHeight="1">
      <c r="A2425" s="2" t="s">
        <v>764</v>
      </c>
      <c r="B2425" s="2" t="s">
        <v>212</v>
      </c>
      <c r="C2425" s="2" t="s">
        <v>655</v>
      </c>
      <c r="D2425" s="2" t="s">
        <v>26</v>
      </c>
      <c r="E2425" s="2" t="s">
        <v>23</v>
      </c>
      <c r="F2425" s="2">
        <v>8.873815335E9</v>
      </c>
    </row>
    <row r="2426" ht="15.75" customHeight="1">
      <c r="A2426" s="2" t="s">
        <v>2402</v>
      </c>
      <c r="B2426" s="2" t="s">
        <v>1724</v>
      </c>
      <c r="C2426" s="2" t="s">
        <v>500</v>
      </c>
      <c r="D2426" s="2" t="s">
        <v>26</v>
      </c>
      <c r="E2426" s="2" t="s">
        <v>19</v>
      </c>
      <c r="F2426" s="2">
        <v>6.299868643E9</v>
      </c>
    </row>
    <row r="2427" ht="15.75" customHeight="1">
      <c r="A2427" s="2" t="s">
        <v>764</v>
      </c>
      <c r="B2427" s="2" t="s">
        <v>50</v>
      </c>
      <c r="C2427" s="2" t="s">
        <v>133</v>
      </c>
      <c r="D2427" s="2" t="s">
        <v>26</v>
      </c>
      <c r="E2427" s="2" t="s">
        <v>19</v>
      </c>
      <c r="F2427" s="2">
        <v>9.109557506E9</v>
      </c>
    </row>
    <row r="2428" ht="15.75" customHeight="1">
      <c r="A2428" s="2" t="s">
        <v>98</v>
      </c>
      <c r="B2428" s="2" t="s">
        <v>63</v>
      </c>
      <c r="C2428" s="2" t="s">
        <v>1903</v>
      </c>
      <c r="D2428" s="2" t="s">
        <v>26</v>
      </c>
      <c r="E2428" s="2" t="s">
        <v>23</v>
      </c>
      <c r="F2428" s="2">
        <v>8.084236355E9</v>
      </c>
    </row>
    <row r="2429" ht="15.75" customHeight="1">
      <c r="A2429" s="2" t="s">
        <v>2403</v>
      </c>
      <c r="B2429" s="2" t="s">
        <v>55</v>
      </c>
      <c r="C2429" s="2" t="s">
        <v>867</v>
      </c>
      <c r="D2429" s="2" t="s">
        <v>56</v>
      </c>
      <c r="E2429" s="2" t="s">
        <v>255</v>
      </c>
      <c r="F2429" s="2">
        <v>7.858898416E9</v>
      </c>
    </row>
    <row r="2430" ht="15.75" customHeight="1">
      <c r="A2430" s="2" t="s">
        <v>2404</v>
      </c>
      <c r="B2430" s="2" t="s">
        <v>21</v>
      </c>
      <c r="C2430" s="2" t="s">
        <v>1042</v>
      </c>
      <c r="D2430" s="2" t="s">
        <v>44</v>
      </c>
      <c r="E2430" s="2" t="s">
        <v>19</v>
      </c>
      <c r="F2430" s="2">
        <v>9.625374129E9</v>
      </c>
    </row>
    <row r="2431" ht="15.75" customHeight="1">
      <c r="A2431" s="2" t="s">
        <v>186</v>
      </c>
      <c r="B2431" s="2" t="s">
        <v>50</v>
      </c>
      <c r="C2431" s="2" t="s">
        <v>235</v>
      </c>
      <c r="D2431" s="2" t="s">
        <v>26</v>
      </c>
      <c r="E2431" s="2" t="s">
        <v>19</v>
      </c>
      <c r="F2431" s="2">
        <v>7.209936479E9</v>
      </c>
    </row>
    <row r="2432" ht="15.75" customHeight="1">
      <c r="A2432" s="2" t="s">
        <v>2353</v>
      </c>
      <c r="B2432" s="2" t="s">
        <v>203</v>
      </c>
      <c r="C2432" s="2" t="s">
        <v>2405</v>
      </c>
      <c r="D2432" s="2" t="s">
        <v>26</v>
      </c>
      <c r="E2432" s="2" t="s">
        <v>23</v>
      </c>
      <c r="F2432" s="2">
        <v>9.162775619E9</v>
      </c>
    </row>
    <row r="2433" ht="15.75" customHeight="1">
      <c r="A2433" s="2" t="s">
        <v>2401</v>
      </c>
      <c r="B2433" s="2" t="s">
        <v>2406</v>
      </c>
      <c r="C2433" s="2" t="s">
        <v>1113</v>
      </c>
      <c r="D2433" s="2" t="s">
        <v>26</v>
      </c>
      <c r="E2433" s="2" t="s">
        <v>19</v>
      </c>
      <c r="F2433" s="2">
        <v>9.93920266E9</v>
      </c>
    </row>
    <row r="2434" ht="15.75" customHeight="1">
      <c r="A2434" s="2" t="s">
        <v>2403</v>
      </c>
      <c r="B2434" s="2" t="s">
        <v>2407</v>
      </c>
      <c r="C2434" s="2" t="s">
        <v>1034</v>
      </c>
      <c r="D2434" s="2" t="s">
        <v>56</v>
      </c>
      <c r="E2434" s="2" t="s">
        <v>23</v>
      </c>
      <c r="F2434" s="2">
        <v>8.235076945E9</v>
      </c>
    </row>
    <row r="2435" ht="15.75" customHeight="1">
      <c r="A2435" s="2" t="s">
        <v>682</v>
      </c>
      <c r="B2435" s="2" t="s">
        <v>55</v>
      </c>
      <c r="C2435" s="2" t="s">
        <v>58</v>
      </c>
      <c r="D2435" s="2" t="s">
        <v>44</v>
      </c>
      <c r="E2435" s="2" t="s">
        <v>19</v>
      </c>
      <c r="F2435" s="2">
        <v>9.504037032E9</v>
      </c>
    </row>
    <row r="2436" ht="15.75" customHeight="1">
      <c r="A2436" s="2" t="s">
        <v>2408</v>
      </c>
      <c r="B2436" s="2" t="s">
        <v>21</v>
      </c>
      <c r="C2436" s="2" t="s">
        <v>500</v>
      </c>
      <c r="D2436" s="2" t="s">
        <v>14</v>
      </c>
      <c r="E2436" s="2" t="s">
        <v>19</v>
      </c>
      <c r="F2436" s="2">
        <v>9.572949684E9</v>
      </c>
    </row>
    <row r="2437" ht="15.75" customHeight="1">
      <c r="A2437" s="2" t="s">
        <v>1424</v>
      </c>
      <c r="B2437" s="2" t="s">
        <v>21</v>
      </c>
      <c r="C2437" s="2" t="s">
        <v>500</v>
      </c>
      <c r="D2437" s="2" t="s">
        <v>26</v>
      </c>
      <c r="E2437" s="2" t="s">
        <v>23</v>
      </c>
      <c r="F2437" s="2">
        <v>8.825135736E9</v>
      </c>
    </row>
    <row r="2438" ht="15.75" customHeight="1">
      <c r="A2438" s="2" t="s">
        <v>2409</v>
      </c>
      <c r="B2438" s="2" t="s">
        <v>2410</v>
      </c>
      <c r="C2438" s="2" t="s">
        <v>741</v>
      </c>
      <c r="D2438" s="2" t="s">
        <v>26</v>
      </c>
      <c r="E2438" s="2" t="s">
        <v>19</v>
      </c>
      <c r="F2438" s="2">
        <v>9.835723478E9</v>
      </c>
    </row>
    <row r="2439" ht="15.75" customHeight="1">
      <c r="A2439" s="2" t="s">
        <v>1563</v>
      </c>
      <c r="B2439" s="2" t="s">
        <v>276</v>
      </c>
      <c r="C2439" s="2" t="s">
        <v>761</v>
      </c>
      <c r="D2439" s="2" t="s">
        <v>26</v>
      </c>
      <c r="E2439" s="2" t="s">
        <v>19</v>
      </c>
      <c r="F2439" s="2">
        <v>9.162775619E9</v>
      </c>
    </row>
    <row r="2440" ht="15.75" customHeight="1">
      <c r="A2440" s="2" t="s">
        <v>2411</v>
      </c>
      <c r="B2440" s="2" t="s">
        <v>2412</v>
      </c>
      <c r="C2440" s="2" t="s">
        <v>2413</v>
      </c>
      <c r="D2440" s="2" t="s">
        <v>14</v>
      </c>
      <c r="E2440" s="2" t="s">
        <v>255</v>
      </c>
      <c r="F2440" s="2">
        <v>7.223089051E9</v>
      </c>
    </row>
    <row r="2441" ht="15.75" customHeight="1">
      <c r="A2441" s="2" t="s">
        <v>1549</v>
      </c>
      <c r="B2441" s="2" t="s">
        <v>50</v>
      </c>
      <c r="C2441" s="2" t="s">
        <v>300</v>
      </c>
      <c r="D2441" s="2" t="s">
        <v>44</v>
      </c>
      <c r="E2441" s="2" t="s">
        <v>19</v>
      </c>
      <c r="F2441" s="2">
        <v>7.322989925E9</v>
      </c>
    </row>
    <row r="2442" ht="15.75" customHeight="1">
      <c r="A2442" s="2" t="s">
        <v>2414</v>
      </c>
      <c r="B2442" s="2" t="s">
        <v>21</v>
      </c>
      <c r="C2442" s="2" t="s">
        <v>500</v>
      </c>
      <c r="D2442" s="2" t="s">
        <v>56</v>
      </c>
      <c r="E2442" s="2" t="s">
        <v>23</v>
      </c>
      <c r="F2442" s="2">
        <v>8.27159447E9</v>
      </c>
    </row>
    <row r="2443" ht="15.75" customHeight="1">
      <c r="A2443" s="2" t="s">
        <v>2415</v>
      </c>
      <c r="B2443" s="2" t="s">
        <v>328</v>
      </c>
      <c r="C2443" s="2" t="s">
        <v>2265</v>
      </c>
      <c r="D2443" s="2" t="s">
        <v>26</v>
      </c>
      <c r="E2443" s="2" t="s">
        <v>23</v>
      </c>
      <c r="F2443" s="2">
        <v>9.334205996E9</v>
      </c>
    </row>
    <row r="2444" ht="15.75" customHeight="1">
      <c r="A2444" s="2" t="s">
        <v>2416</v>
      </c>
      <c r="B2444" s="2" t="s">
        <v>21</v>
      </c>
      <c r="C2444" s="2" t="s">
        <v>500</v>
      </c>
      <c r="D2444" s="2" t="s">
        <v>26</v>
      </c>
      <c r="E2444" s="2" t="s">
        <v>19</v>
      </c>
      <c r="F2444" s="2">
        <v>9.835913032E9</v>
      </c>
    </row>
    <row r="2445" ht="15.75" customHeight="1">
      <c r="A2445" s="2" t="s">
        <v>94</v>
      </c>
      <c r="B2445" s="2" t="s">
        <v>125</v>
      </c>
      <c r="C2445" s="2" t="s">
        <v>58</v>
      </c>
      <c r="D2445" s="2" t="s">
        <v>14</v>
      </c>
      <c r="E2445" s="2" t="s">
        <v>19</v>
      </c>
      <c r="F2445" s="2">
        <v>9.855128877E9</v>
      </c>
    </row>
    <row r="2446" ht="15.75" customHeight="1">
      <c r="A2446" s="2" t="s">
        <v>98</v>
      </c>
      <c r="B2446" s="2" t="s">
        <v>125</v>
      </c>
      <c r="C2446" s="2" t="s">
        <v>58</v>
      </c>
      <c r="D2446" s="2" t="s">
        <v>44</v>
      </c>
      <c r="E2446" s="2" t="s">
        <v>19</v>
      </c>
      <c r="F2446" s="2">
        <v>7.061266378E9</v>
      </c>
    </row>
    <row r="2447" ht="15.75" customHeight="1">
      <c r="A2447" s="2" t="s">
        <v>247</v>
      </c>
      <c r="B2447" s="2" t="s">
        <v>153</v>
      </c>
      <c r="C2447" s="2" t="s">
        <v>1953</v>
      </c>
      <c r="D2447" s="2" t="s">
        <v>26</v>
      </c>
      <c r="E2447" s="2" t="s">
        <v>255</v>
      </c>
      <c r="F2447" s="2">
        <v>9.051162957E9</v>
      </c>
    </row>
    <row r="2448" ht="15.75" customHeight="1">
      <c r="A2448" s="2" t="s">
        <v>1387</v>
      </c>
      <c r="B2448" s="2" t="s">
        <v>508</v>
      </c>
      <c r="C2448" s="2" t="s">
        <v>662</v>
      </c>
      <c r="D2448" s="2" t="s">
        <v>56</v>
      </c>
      <c r="E2448" s="2" t="s">
        <v>19</v>
      </c>
      <c r="F2448" s="2">
        <v>9.835583404E9</v>
      </c>
    </row>
    <row r="2449" ht="15.75" customHeight="1">
      <c r="A2449" s="2" t="s">
        <v>247</v>
      </c>
      <c r="B2449" s="2" t="s">
        <v>2417</v>
      </c>
      <c r="C2449" s="2" t="s">
        <v>2096</v>
      </c>
      <c r="D2449" s="2" t="s">
        <v>44</v>
      </c>
      <c r="E2449" s="2" t="s">
        <v>23</v>
      </c>
      <c r="F2449" s="2">
        <v>9.263394487E9</v>
      </c>
    </row>
    <row r="2450" ht="15.75" customHeight="1">
      <c r="A2450" s="2" t="s">
        <v>1187</v>
      </c>
      <c r="B2450" s="2" t="s">
        <v>746</v>
      </c>
      <c r="C2450" s="2" t="s">
        <v>2418</v>
      </c>
      <c r="D2450" s="2" t="s">
        <v>56</v>
      </c>
      <c r="E2450" s="2" t="s">
        <v>255</v>
      </c>
      <c r="F2450" s="2">
        <v>9.434738697E9</v>
      </c>
    </row>
    <row r="2451" ht="15.75" customHeight="1">
      <c r="A2451" s="2" t="s">
        <v>2419</v>
      </c>
      <c r="B2451" s="2" t="s">
        <v>50</v>
      </c>
      <c r="C2451" s="2" t="s">
        <v>536</v>
      </c>
      <c r="D2451" s="2" t="s">
        <v>26</v>
      </c>
      <c r="E2451" s="2" t="s">
        <v>19</v>
      </c>
      <c r="F2451" s="2">
        <v>9.5252151E9</v>
      </c>
    </row>
    <row r="2452" ht="15.75" customHeight="1">
      <c r="A2452" s="2" t="s">
        <v>538</v>
      </c>
      <c r="B2452" s="2" t="s">
        <v>63</v>
      </c>
      <c r="C2452" s="2" t="s">
        <v>235</v>
      </c>
      <c r="D2452" s="2" t="s">
        <v>26</v>
      </c>
      <c r="E2452" s="2" t="s">
        <v>19</v>
      </c>
      <c r="F2452" s="2">
        <v>7.739230354E9</v>
      </c>
    </row>
    <row r="2453" ht="15.75" customHeight="1">
      <c r="A2453" s="2" t="s">
        <v>2420</v>
      </c>
      <c r="B2453" s="2" t="s">
        <v>2421</v>
      </c>
      <c r="C2453" s="2" t="s">
        <v>2096</v>
      </c>
      <c r="D2453" s="2" t="s">
        <v>14</v>
      </c>
      <c r="E2453" s="2" t="s">
        <v>23</v>
      </c>
      <c r="F2453" s="2">
        <v>9.860332312E9</v>
      </c>
    </row>
    <row r="2454" ht="15.75" customHeight="1">
      <c r="A2454" s="2" t="s">
        <v>2422</v>
      </c>
      <c r="B2454" s="2" t="s">
        <v>75</v>
      </c>
      <c r="C2454" s="2" t="s">
        <v>181</v>
      </c>
      <c r="D2454" s="2" t="s">
        <v>56</v>
      </c>
      <c r="E2454" s="2" t="s">
        <v>19</v>
      </c>
      <c r="F2454" s="2">
        <v>6.200023269E9</v>
      </c>
    </row>
    <row r="2455" ht="15.75" customHeight="1">
      <c r="A2455" s="2" t="s">
        <v>2423</v>
      </c>
      <c r="B2455" s="2" t="s">
        <v>2424</v>
      </c>
      <c r="C2455" s="2" t="s">
        <v>323</v>
      </c>
      <c r="D2455" s="2" t="s">
        <v>14</v>
      </c>
      <c r="E2455" s="2" t="s">
        <v>282</v>
      </c>
      <c r="F2455" s="2">
        <v>9.889001274E9</v>
      </c>
    </row>
    <row r="2456" ht="15.75" customHeight="1">
      <c r="A2456" s="2" t="s">
        <v>2425</v>
      </c>
      <c r="B2456" s="2" t="s">
        <v>125</v>
      </c>
      <c r="C2456" s="2" t="s">
        <v>576</v>
      </c>
      <c r="D2456" s="2" t="s">
        <v>14</v>
      </c>
      <c r="E2456" s="2" t="s">
        <v>19</v>
      </c>
      <c r="F2456" s="2">
        <v>7.258813815E9</v>
      </c>
    </row>
    <row r="2457" ht="15.75" customHeight="1">
      <c r="A2457" s="2" t="s">
        <v>290</v>
      </c>
      <c r="B2457" s="2" t="s">
        <v>594</v>
      </c>
      <c r="C2457" s="2" t="s">
        <v>2123</v>
      </c>
      <c r="D2457" s="2" t="s">
        <v>26</v>
      </c>
      <c r="E2457" s="2" t="s">
        <v>255</v>
      </c>
      <c r="F2457" s="2">
        <v>8.200892288E9</v>
      </c>
    </row>
    <row r="2458" ht="15.75" customHeight="1">
      <c r="A2458" s="2" t="s">
        <v>290</v>
      </c>
      <c r="B2458" s="2" t="s">
        <v>153</v>
      </c>
      <c r="C2458" s="2" t="s">
        <v>543</v>
      </c>
      <c r="D2458" s="2" t="s">
        <v>9</v>
      </c>
      <c r="E2458" s="2" t="s">
        <v>23</v>
      </c>
      <c r="F2458" s="2">
        <v>6.203675413E9</v>
      </c>
    </row>
    <row r="2459" ht="15.75" customHeight="1">
      <c r="A2459" s="2" t="s">
        <v>2426</v>
      </c>
      <c r="B2459" s="2" t="s">
        <v>328</v>
      </c>
      <c r="C2459" s="2" t="s">
        <v>2427</v>
      </c>
      <c r="D2459" s="2" t="s">
        <v>9</v>
      </c>
      <c r="E2459" s="2" t="s">
        <v>23</v>
      </c>
      <c r="F2459" s="2">
        <v>9.30423426E9</v>
      </c>
    </row>
    <row r="2460" ht="15.75" customHeight="1">
      <c r="A2460" s="2" t="s">
        <v>721</v>
      </c>
      <c r="B2460" s="2" t="s">
        <v>125</v>
      </c>
      <c r="C2460" s="2" t="s">
        <v>2102</v>
      </c>
      <c r="D2460" s="2" t="s">
        <v>56</v>
      </c>
      <c r="E2460" s="2" t="s">
        <v>19</v>
      </c>
      <c r="F2460" s="2">
        <v>6.295810946E9</v>
      </c>
    </row>
    <row r="2461" ht="15.75" customHeight="1">
      <c r="A2461" s="2" t="s">
        <v>2428</v>
      </c>
      <c r="B2461" s="2" t="s">
        <v>119</v>
      </c>
      <c r="C2461" s="2" t="s">
        <v>58</v>
      </c>
      <c r="D2461" s="2" t="s">
        <v>14</v>
      </c>
      <c r="E2461" s="2" t="s">
        <v>19</v>
      </c>
      <c r="F2461" s="2">
        <v>7.765942912E9</v>
      </c>
    </row>
    <row r="2462" ht="15.75" customHeight="1">
      <c r="A2462" s="2" t="s">
        <v>2429</v>
      </c>
      <c r="B2462" s="2" t="s">
        <v>398</v>
      </c>
      <c r="C2462" s="2" t="s">
        <v>595</v>
      </c>
      <c r="D2462" s="2" t="s">
        <v>44</v>
      </c>
      <c r="E2462" s="2" t="s">
        <v>255</v>
      </c>
      <c r="F2462" s="2">
        <v>6.709079975E9</v>
      </c>
    </row>
    <row r="2463" ht="15.75" customHeight="1">
      <c r="A2463" s="2" t="s">
        <v>326</v>
      </c>
      <c r="B2463" s="2" t="s">
        <v>332</v>
      </c>
      <c r="C2463" s="2" t="s">
        <v>648</v>
      </c>
      <c r="D2463" s="2" t="s">
        <v>44</v>
      </c>
      <c r="E2463" s="2" t="s">
        <v>23</v>
      </c>
      <c r="F2463" s="2">
        <v>7.765917917E9</v>
      </c>
    </row>
    <row r="2464" ht="15.75" customHeight="1">
      <c r="A2464" s="2" t="s">
        <v>2430</v>
      </c>
      <c r="B2464" s="2" t="s">
        <v>88</v>
      </c>
      <c r="C2464" s="2" t="s">
        <v>237</v>
      </c>
      <c r="D2464" s="2" t="s">
        <v>44</v>
      </c>
      <c r="E2464" s="2" t="s">
        <v>255</v>
      </c>
      <c r="F2464" s="2">
        <v>9.097848816E9</v>
      </c>
    </row>
    <row r="2465" ht="15.75" customHeight="1">
      <c r="A2465" s="2" t="s">
        <v>1927</v>
      </c>
      <c r="B2465" s="2" t="s">
        <v>63</v>
      </c>
      <c r="C2465" s="2" t="s">
        <v>729</v>
      </c>
      <c r="D2465" s="2" t="s">
        <v>14</v>
      </c>
      <c r="E2465" s="2" t="s">
        <v>19</v>
      </c>
      <c r="F2465" s="2">
        <v>7.004903262E9</v>
      </c>
    </row>
    <row r="2466" ht="15.75" customHeight="1">
      <c r="A2466" s="2" t="s">
        <v>2431</v>
      </c>
      <c r="B2466" s="2" t="s">
        <v>55</v>
      </c>
      <c r="C2466" s="2" t="s">
        <v>2432</v>
      </c>
      <c r="D2466" s="2" t="s">
        <v>56</v>
      </c>
      <c r="E2466" s="2" t="s">
        <v>23</v>
      </c>
      <c r="F2466" s="2">
        <v>7.005378337E9</v>
      </c>
    </row>
    <row r="2467" ht="15.75" customHeight="1">
      <c r="A2467" s="2" t="s">
        <v>326</v>
      </c>
      <c r="B2467" s="2" t="s">
        <v>55</v>
      </c>
      <c r="C2467" s="2" t="s">
        <v>806</v>
      </c>
      <c r="D2467" s="2" t="s">
        <v>9</v>
      </c>
      <c r="E2467" s="2" t="s">
        <v>23</v>
      </c>
      <c r="F2467" s="2">
        <v>9.931201805E9</v>
      </c>
    </row>
    <row r="2468" ht="15.75" customHeight="1">
      <c r="A2468" s="2" t="s">
        <v>2433</v>
      </c>
      <c r="B2468" s="2" t="s">
        <v>119</v>
      </c>
      <c r="C2468" s="2" t="s">
        <v>181</v>
      </c>
      <c r="D2468" s="2" t="s">
        <v>26</v>
      </c>
      <c r="E2468" s="2" t="s">
        <v>19</v>
      </c>
      <c r="F2468" s="2">
        <v>7.66703798E9</v>
      </c>
    </row>
    <row r="2469" ht="15.75" customHeight="1">
      <c r="A2469" s="2" t="s">
        <v>565</v>
      </c>
      <c r="B2469" s="2" t="s">
        <v>50</v>
      </c>
      <c r="C2469" s="2" t="s">
        <v>330</v>
      </c>
      <c r="D2469" s="2" t="s">
        <v>14</v>
      </c>
      <c r="E2469" s="2" t="s">
        <v>19</v>
      </c>
      <c r="F2469" s="2">
        <v>8.404341973E9</v>
      </c>
    </row>
    <row r="2470" ht="15.75" customHeight="1">
      <c r="A2470" s="2" t="s">
        <v>1047</v>
      </c>
      <c r="B2470" s="2" t="s">
        <v>212</v>
      </c>
      <c r="C2470" s="2" t="s">
        <v>237</v>
      </c>
      <c r="D2470" s="2" t="s">
        <v>14</v>
      </c>
      <c r="E2470" s="2" t="s">
        <v>255</v>
      </c>
      <c r="F2470" s="2">
        <v>9.142199475E9</v>
      </c>
    </row>
    <row r="2471" ht="15.75" customHeight="1">
      <c r="A2471" s="2" t="s">
        <v>1927</v>
      </c>
      <c r="B2471" s="2" t="s">
        <v>50</v>
      </c>
      <c r="C2471" s="2" t="s">
        <v>650</v>
      </c>
      <c r="D2471" s="2" t="s">
        <v>29</v>
      </c>
      <c r="E2471" s="2" t="s">
        <v>19</v>
      </c>
      <c r="F2471" s="2">
        <v>7.979853711E9</v>
      </c>
    </row>
    <row r="2472" ht="15.75" customHeight="1">
      <c r="A2472" s="2" t="s">
        <v>326</v>
      </c>
      <c r="B2472" s="2" t="s">
        <v>191</v>
      </c>
      <c r="C2472" s="2" t="s">
        <v>2340</v>
      </c>
      <c r="D2472" s="2" t="s">
        <v>29</v>
      </c>
      <c r="E2472" s="2" t="s">
        <v>23</v>
      </c>
      <c r="F2472" s="2">
        <v>7.283667952E9</v>
      </c>
    </row>
    <row r="2473" ht="15.75" customHeight="1">
      <c r="A2473" s="2" t="s">
        <v>1047</v>
      </c>
      <c r="B2473" s="2" t="s">
        <v>55</v>
      </c>
      <c r="C2473" s="2" t="s">
        <v>844</v>
      </c>
      <c r="D2473" s="2" t="s">
        <v>26</v>
      </c>
      <c r="E2473" s="2" t="s">
        <v>23</v>
      </c>
      <c r="F2473" s="2">
        <v>9.30448517E9</v>
      </c>
    </row>
    <row r="2474" ht="15.75" customHeight="1">
      <c r="A2474" s="2" t="s">
        <v>1047</v>
      </c>
      <c r="B2474" s="2" t="s">
        <v>176</v>
      </c>
      <c r="C2474" s="2" t="s">
        <v>2434</v>
      </c>
      <c r="D2474" s="2" t="s">
        <v>44</v>
      </c>
      <c r="E2474" s="2" t="s">
        <v>255</v>
      </c>
      <c r="F2474" s="2">
        <v>6.723791812E9</v>
      </c>
    </row>
    <row r="2475" ht="15.75" customHeight="1">
      <c r="A2475" s="2" t="s">
        <v>1116</v>
      </c>
      <c r="B2475" s="2" t="s">
        <v>55</v>
      </c>
      <c r="C2475" s="2" t="s">
        <v>2435</v>
      </c>
      <c r="D2475" s="2" t="s">
        <v>26</v>
      </c>
      <c r="E2475" s="2" t="s">
        <v>255</v>
      </c>
      <c r="F2475" s="2">
        <v>7.40220073E9</v>
      </c>
    </row>
    <row r="2476" ht="15.75" customHeight="1">
      <c r="A2476" s="2" t="s">
        <v>1728</v>
      </c>
      <c r="B2476" s="2" t="s">
        <v>2406</v>
      </c>
      <c r="C2476" s="2" t="s">
        <v>305</v>
      </c>
      <c r="D2476" s="2" t="s">
        <v>9</v>
      </c>
      <c r="E2476" s="2" t="s">
        <v>19</v>
      </c>
      <c r="F2476" s="2">
        <v>6.201051234E9</v>
      </c>
    </row>
    <row r="2477" ht="15.75" customHeight="1">
      <c r="A2477" s="2" t="s">
        <v>2003</v>
      </c>
      <c r="B2477" s="2" t="s">
        <v>50</v>
      </c>
      <c r="C2477" s="2" t="s">
        <v>1408</v>
      </c>
      <c r="D2477" s="2" t="s">
        <v>56</v>
      </c>
      <c r="E2477" s="2" t="s">
        <v>19</v>
      </c>
      <c r="F2477" s="2">
        <v>7.90331237E9</v>
      </c>
    </row>
    <row r="2478" ht="15.75" customHeight="1">
      <c r="A2478" s="2" t="s">
        <v>326</v>
      </c>
      <c r="B2478" s="2" t="s">
        <v>2436</v>
      </c>
      <c r="C2478" s="2" t="s">
        <v>648</v>
      </c>
      <c r="D2478" s="2" t="s">
        <v>26</v>
      </c>
      <c r="E2478" s="2" t="s">
        <v>23</v>
      </c>
      <c r="F2478" s="2">
        <v>7.488424319E9</v>
      </c>
    </row>
    <row r="2479" ht="15.75" customHeight="1">
      <c r="A2479" s="2" t="s">
        <v>2437</v>
      </c>
      <c r="B2479" s="2" t="s">
        <v>63</v>
      </c>
      <c r="C2479" s="2" t="s">
        <v>576</v>
      </c>
      <c r="D2479" s="2" t="s">
        <v>14</v>
      </c>
      <c r="E2479" s="2" t="s">
        <v>19</v>
      </c>
      <c r="F2479" s="2">
        <v>9.705280517E9</v>
      </c>
    </row>
    <row r="2480" ht="15.75" customHeight="1">
      <c r="A2480" s="2" t="s">
        <v>1116</v>
      </c>
      <c r="B2480" s="2" t="s">
        <v>191</v>
      </c>
      <c r="C2480" s="2" t="s">
        <v>713</v>
      </c>
      <c r="D2480" s="2" t="s">
        <v>56</v>
      </c>
      <c r="E2480" s="2" t="s">
        <v>23</v>
      </c>
      <c r="F2480" s="2">
        <v>8.797366305E9</v>
      </c>
    </row>
    <row r="2481" ht="15.75" customHeight="1">
      <c r="A2481" s="2" t="s">
        <v>1386</v>
      </c>
      <c r="B2481" s="2" t="s">
        <v>63</v>
      </c>
      <c r="C2481" s="2" t="s">
        <v>1321</v>
      </c>
      <c r="D2481" s="2" t="s">
        <v>56</v>
      </c>
      <c r="E2481" s="2" t="s">
        <v>19</v>
      </c>
      <c r="F2481" s="2">
        <v>9.798177336E9</v>
      </c>
    </row>
    <row r="2482" ht="15.75" customHeight="1">
      <c r="A2482" s="2" t="s">
        <v>853</v>
      </c>
      <c r="B2482" s="2" t="s">
        <v>50</v>
      </c>
      <c r="C2482" s="2" t="s">
        <v>133</v>
      </c>
      <c r="D2482" s="2" t="s">
        <v>26</v>
      </c>
      <c r="E2482" s="2" t="s">
        <v>19</v>
      </c>
      <c r="F2482" s="2">
        <v>7.700825134E9</v>
      </c>
    </row>
    <row r="2483" ht="15.75" customHeight="1">
      <c r="A2483" s="2" t="s">
        <v>2438</v>
      </c>
      <c r="B2483" s="2" t="s">
        <v>191</v>
      </c>
      <c r="C2483" s="2" t="s">
        <v>2340</v>
      </c>
      <c r="D2483" s="2" t="s">
        <v>9</v>
      </c>
      <c r="E2483" s="2" t="s">
        <v>23</v>
      </c>
      <c r="F2483" s="2">
        <v>9.301152967E9</v>
      </c>
    </row>
    <row r="2484" ht="15.75" customHeight="1">
      <c r="A2484" s="2" t="s">
        <v>2439</v>
      </c>
      <c r="B2484" s="2" t="s">
        <v>212</v>
      </c>
      <c r="C2484" s="2" t="s">
        <v>2440</v>
      </c>
      <c r="D2484" s="2" t="s">
        <v>9</v>
      </c>
      <c r="E2484" s="2" t="s">
        <v>23</v>
      </c>
      <c r="F2484" s="2">
        <v>7.008367074E9</v>
      </c>
    </row>
    <row r="2485" ht="15.75" customHeight="1">
      <c r="A2485" s="2" t="s">
        <v>2441</v>
      </c>
      <c r="B2485" s="2" t="s">
        <v>212</v>
      </c>
      <c r="C2485" s="2" t="s">
        <v>686</v>
      </c>
      <c r="D2485" s="2" t="s">
        <v>56</v>
      </c>
      <c r="E2485" s="2" t="s">
        <v>23</v>
      </c>
      <c r="F2485" s="2">
        <v>9.334968324E9</v>
      </c>
    </row>
    <row r="2486" ht="15.75" customHeight="1">
      <c r="A2486" s="2" t="s">
        <v>2442</v>
      </c>
      <c r="B2486" s="2" t="s">
        <v>50</v>
      </c>
      <c r="C2486" s="2" t="s">
        <v>423</v>
      </c>
      <c r="D2486" s="2" t="s">
        <v>26</v>
      </c>
      <c r="E2486" s="2" t="s">
        <v>19</v>
      </c>
      <c r="F2486" s="2">
        <v>8.789159473E9</v>
      </c>
    </row>
    <row r="2487" ht="15.75" customHeight="1">
      <c r="A2487" s="2" t="s">
        <v>1386</v>
      </c>
      <c r="B2487" s="2" t="s">
        <v>78</v>
      </c>
      <c r="C2487" s="2" t="s">
        <v>2376</v>
      </c>
      <c r="D2487" s="2" t="s">
        <v>9</v>
      </c>
      <c r="E2487" s="2" t="s">
        <v>19</v>
      </c>
      <c r="F2487" s="2">
        <v>9.38646067E9</v>
      </c>
    </row>
    <row r="2488" ht="15.75" customHeight="1">
      <c r="A2488" s="2" t="s">
        <v>633</v>
      </c>
      <c r="B2488" s="2" t="s">
        <v>398</v>
      </c>
      <c r="C2488" s="2" t="s">
        <v>200</v>
      </c>
      <c r="D2488" s="2" t="s">
        <v>26</v>
      </c>
      <c r="E2488" s="2" t="s">
        <v>23</v>
      </c>
      <c r="F2488" s="2">
        <v>8.107061644E9</v>
      </c>
    </row>
    <row r="2489" ht="15.75" customHeight="1">
      <c r="A2489" s="2" t="s">
        <v>782</v>
      </c>
      <c r="B2489" s="2" t="s">
        <v>21</v>
      </c>
      <c r="C2489" s="2" t="s">
        <v>500</v>
      </c>
      <c r="D2489" s="2" t="s">
        <v>44</v>
      </c>
      <c r="E2489" s="2" t="s">
        <v>19</v>
      </c>
      <c r="F2489" s="2">
        <v>9.155191954E9</v>
      </c>
    </row>
    <row r="2490" ht="15.75" customHeight="1">
      <c r="A2490" s="2" t="s">
        <v>2443</v>
      </c>
      <c r="B2490" s="2" t="s">
        <v>212</v>
      </c>
      <c r="C2490" s="2" t="s">
        <v>1326</v>
      </c>
      <c r="D2490" s="2" t="s">
        <v>56</v>
      </c>
      <c r="E2490" s="2" t="s">
        <v>23</v>
      </c>
      <c r="F2490" s="2">
        <v>9.905720786E9</v>
      </c>
    </row>
    <row r="2491" ht="15.75" customHeight="1">
      <c r="A2491" s="2" t="s">
        <v>1851</v>
      </c>
      <c r="B2491" s="2" t="s">
        <v>55</v>
      </c>
      <c r="C2491" s="2" t="s">
        <v>79</v>
      </c>
      <c r="D2491" s="2" t="s">
        <v>9</v>
      </c>
      <c r="E2491" s="2" t="s">
        <v>23</v>
      </c>
      <c r="F2491" s="2">
        <v>8.002889907E9</v>
      </c>
    </row>
    <row r="2492" ht="15.75" customHeight="1">
      <c r="A2492" s="2" t="s">
        <v>2444</v>
      </c>
      <c r="B2492" s="2" t="s">
        <v>55</v>
      </c>
      <c r="C2492" s="2" t="s">
        <v>556</v>
      </c>
      <c r="D2492" s="2" t="s">
        <v>26</v>
      </c>
      <c r="E2492" s="2" t="s">
        <v>255</v>
      </c>
      <c r="F2492" s="2">
        <v>7.091131436E9</v>
      </c>
    </row>
    <row r="2493" ht="15.75" customHeight="1">
      <c r="A2493" s="2" t="s">
        <v>657</v>
      </c>
      <c r="B2493" s="2" t="s">
        <v>50</v>
      </c>
      <c r="C2493" s="2" t="s">
        <v>1420</v>
      </c>
      <c r="D2493" s="2" t="s">
        <v>26</v>
      </c>
      <c r="E2493" s="2" t="s">
        <v>19</v>
      </c>
      <c r="F2493" s="2">
        <v>7.979028886E9</v>
      </c>
    </row>
    <row r="2494" ht="15.75" customHeight="1">
      <c r="A2494" s="2" t="s">
        <v>2441</v>
      </c>
      <c r="B2494" s="2" t="s">
        <v>2441</v>
      </c>
      <c r="C2494" s="2" t="s">
        <v>615</v>
      </c>
      <c r="D2494" s="2" t="s">
        <v>56</v>
      </c>
      <c r="E2494" s="2" t="s">
        <v>23</v>
      </c>
      <c r="F2494" s="2">
        <v>6.203935689E9</v>
      </c>
    </row>
    <row r="2495" ht="15.75" customHeight="1">
      <c r="A2495" s="2" t="s">
        <v>2445</v>
      </c>
      <c r="B2495" s="2" t="s">
        <v>119</v>
      </c>
      <c r="C2495" s="2" t="s">
        <v>1256</v>
      </c>
      <c r="D2495" s="2" t="s">
        <v>26</v>
      </c>
      <c r="E2495" s="2" t="s">
        <v>19</v>
      </c>
      <c r="F2495" s="2">
        <v>6.201554731E9</v>
      </c>
    </row>
    <row r="2496" ht="15.75" customHeight="1">
      <c r="A2496" s="2" t="s">
        <v>2446</v>
      </c>
      <c r="B2496" s="2" t="s">
        <v>125</v>
      </c>
      <c r="C2496" s="2" t="s">
        <v>58</v>
      </c>
      <c r="D2496" s="2" t="s">
        <v>14</v>
      </c>
      <c r="E2496" s="2" t="s">
        <v>19</v>
      </c>
      <c r="F2496" s="2">
        <v>9.178049464E9</v>
      </c>
    </row>
    <row r="2497" ht="15.75" customHeight="1">
      <c r="A2497" s="2" t="s">
        <v>890</v>
      </c>
      <c r="B2497" s="2" t="s">
        <v>212</v>
      </c>
      <c r="C2497" s="2" t="s">
        <v>1141</v>
      </c>
      <c r="D2497" s="2" t="s">
        <v>26</v>
      </c>
      <c r="E2497" s="2" t="s">
        <v>23</v>
      </c>
      <c r="F2497" s="2">
        <v>9.709140127E9</v>
      </c>
    </row>
    <row r="2498" ht="15.75" customHeight="1">
      <c r="A2498" s="2" t="s">
        <v>1660</v>
      </c>
      <c r="B2498" s="2" t="s">
        <v>50</v>
      </c>
      <c r="C2498" s="2" t="s">
        <v>235</v>
      </c>
      <c r="D2498" s="2" t="s">
        <v>26</v>
      </c>
      <c r="E2498" s="2" t="s">
        <v>19</v>
      </c>
      <c r="F2498" s="2">
        <v>8.603840723E9</v>
      </c>
    </row>
    <row r="2499" ht="15.75" customHeight="1">
      <c r="A2499" s="2" t="s">
        <v>584</v>
      </c>
      <c r="B2499" s="2" t="s">
        <v>153</v>
      </c>
      <c r="C2499" s="2" t="s">
        <v>200</v>
      </c>
      <c r="D2499" s="2" t="s">
        <v>26</v>
      </c>
      <c r="E2499" s="2" t="s">
        <v>23</v>
      </c>
      <c r="F2499" s="2">
        <v>7.984347179E9</v>
      </c>
    </row>
    <row r="2500" ht="15.75" customHeight="1">
      <c r="A2500" s="2" t="s">
        <v>2447</v>
      </c>
      <c r="B2500" s="2" t="s">
        <v>50</v>
      </c>
      <c r="C2500" s="2" t="s">
        <v>1355</v>
      </c>
      <c r="D2500" s="2" t="s">
        <v>26</v>
      </c>
      <c r="E2500" s="2" t="s">
        <v>19</v>
      </c>
      <c r="F2500" s="2">
        <v>9.53405149E9</v>
      </c>
    </row>
    <row r="2501" ht="15.75" customHeight="1">
      <c r="A2501" s="2" t="s">
        <v>209</v>
      </c>
      <c r="B2501" s="2" t="s">
        <v>209</v>
      </c>
      <c r="C2501" s="2" t="s">
        <v>249</v>
      </c>
      <c r="D2501" s="2" t="s">
        <v>56</v>
      </c>
      <c r="E2501" s="2" t="s">
        <v>23</v>
      </c>
      <c r="F2501" s="2">
        <v>8.409175194E9</v>
      </c>
    </row>
    <row r="2502" ht="15.75" customHeight="1">
      <c r="A2502" s="2" t="s">
        <v>2447</v>
      </c>
      <c r="B2502" s="2" t="s">
        <v>50</v>
      </c>
      <c r="C2502" s="2" t="s">
        <v>1420</v>
      </c>
      <c r="D2502" s="2" t="s">
        <v>26</v>
      </c>
      <c r="E2502" s="2" t="s">
        <v>23</v>
      </c>
      <c r="F2502" s="2">
        <v>8.092216976E9</v>
      </c>
    </row>
    <row r="2503" ht="15.75" customHeight="1">
      <c r="A2503" s="2" t="s">
        <v>2448</v>
      </c>
      <c r="B2503" s="2" t="s">
        <v>63</v>
      </c>
      <c r="C2503" s="2" t="s">
        <v>536</v>
      </c>
      <c r="D2503" s="2" t="s">
        <v>56</v>
      </c>
      <c r="E2503" s="2" t="s">
        <v>19</v>
      </c>
      <c r="F2503" s="2">
        <v>7.475464618E9</v>
      </c>
    </row>
    <row r="2504" ht="15.75" customHeight="1">
      <c r="A2504" s="2" t="s">
        <v>1546</v>
      </c>
      <c r="B2504" s="2" t="s">
        <v>125</v>
      </c>
      <c r="C2504" s="2" t="s">
        <v>58</v>
      </c>
      <c r="D2504" s="2" t="s">
        <v>44</v>
      </c>
      <c r="E2504" s="2" t="s">
        <v>19</v>
      </c>
      <c r="F2504" s="2">
        <v>9.798631204E9</v>
      </c>
    </row>
    <row r="2505" ht="15.75" customHeight="1">
      <c r="A2505" s="2" t="s">
        <v>506</v>
      </c>
      <c r="B2505" s="2" t="s">
        <v>21</v>
      </c>
      <c r="C2505" s="2" t="s">
        <v>1420</v>
      </c>
      <c r="D2505" s="2" t="s">
        <v>14</v>
      </c>
      <c r="E2505" s="2" t="s">
        <v>19</v>
      </c>
      <c r="F2505" s="2">
        <v>7.909066602E9</v>
      </c>
    </row>
    <row r="2506" ht="15.75" customHeight="1">
      <c r="A2506" s="2" t="s">
        <v>890</v>
      </c>
      <c r="B2506" s="2" t="s">
        <v>320</v>
      </c>
      <c r="C2506" s="2" t="s">
        <v>2449</v>
      </c>
      <c r="D2506" s="2" t="s">
        <v>9</v>
      </c>
      <c r="E2506" s="2" t="s">
        <v>23</v>
      </c>
      <c r="F2506" s="2">
        <v>6.203573511E9</v>
      </c>
    </row>
    <row r="2507" ht="15.75" customHeight="1">
      <c r="A2507" s="2" t="s">
        <v>1092</v>
      </c>
      <c r="B2507" s="2" t="s">
        <v>1404</v>
      </c>
      <c r="C2507" s="2" t="s">
        <v>2450</v>
      </c>
      <c r="D2507" s="2" t="s">
        <v>56</v>
      </c>
      <c r="E2507" s="2" t="s">
        <v>23</v>
      </c>
      <c r="F2507" s="2">
        <v>9.162996824E9</v>
      </c>
    </row>
    <row r="2508" ht="15.75" customHeight="1">
      <c r="A2508" s="2" t="s">
        <v>2451</v>
      </c>
      <c r="B2508" s="2" t="s">
        <v>2452</v>
      </c>
      <c r="C2508" s="2" t="s">
        <v>1355</v>
      </c>
      <c r="D2508" s="2" t="s">
        <v>26</v>
      </c>
      <c r="E2508" s="2" t="s">
        <v>19</v>
      </c>
      <c r="F2508" s="2">
        <v>9.122020253E9</v>
      </c>
    </row>
    <row r="2509" ht="15.75" customHeight="1">
      <c r="A2509" s="2" t="s">
        <v>2453</v>
      </c>
      <c r="B2509" s="2" t="s">
        <v>55</v>
      </c>
      <c r="C2509" s="2" t="s">
        <v>333</v>
      </c>
      <c r="D2509" s="2" t="s">
        <v>29</v>
      </c>
      <c r="E2509" s="2" t="s">
        <v>23</v>
      </c>
      <c r="F2509" s="2">
        <v>9.155817711E9</v>
      </c>
    </row>
    <row r="2510" ht="15.75" customHeight="1">
      <c r="A2510" s="2" t="s">
        <v>2448</v>
      </c>
      <c r="B2510" s="2" t="s">
        <v>960</v>
      </c>
      <c r="C2510" s="2" t="s">
        <v>2376</v>
      </c>
      <c r="D2510" s="2" t="s">
        <v>26</v>
      </c>
      <c r="E2510" s="2" t="s">
        <v>19</v>
      </c>
      <c r="F2510" s="2">
        <v>8.002376486E9</v>
      </c>
    </row>
    <row r="2511" ht="15.75" customHeight="1">
      <c r="A2511" s="2" t="s">
        <v>2454</v>
      </c>
      <c r="B2511" s="2" t="s">
        <v>21</v>
      </c>
      <c r="C2511" s="2" t="s">
        <v>1420</v>
      </c>
      <c r="D2511" s="2" t="s">
        <v>56</v>
      </c>
      <c r="E2511" s="2" t="s">
        <v>23</v>
      </c>
      <c r="F2511" s="2">
        <v>8.271117702E9</v>
      </c>
    </row>
    <row r="2512" ht="15.75" customHeight="1">
      <c r="A2512" s="2" t="s">
        <v>1383</v>
      </c>
      <c r="B2512" s="2" t="s">
        <v>21</v>
      </c>
      <c r="C2512" s="2" t="s">
        <v>1998</v>
      </c>
      <c r="D2512" s="2" t="s">
        <v>44</v>
      </c>
      <c r="E2512" s="2" t="s">
        <v>19</v>
      </c>
      <c r="F2512" s="2">
        <v>7.079071771E9</v>
      </c>
    </row>
    <row r="2513" ht="15.75" customHeight="1">
      <c r="A2513" s="2" t="s">
        <v>2455</v>
      </c>
      <c r="B2513" s="2" t="s">
        <v>559</v>
      </c>
      <c r="C2513" s="2" t="s">
        <v>667</v>
      </c>
      <c r="D2513" s="2" t="s">
        <v>26</v>
      </c>
      <c r="E2513" s="2" t="s">
        <v>23</v>
      </c>
      <c r="F2513" s="2">
        <v>8.340444134E9</v>
      </c>
    </row>
    <row r="2514" ht="15.75" customHeight="1">
      <c r="A2514" s="2" t="s">
        <v>80</v>
      </c>
      <c r="B2514" s="2" t="s">
        <v>21</v>
      </c>
      <c r="C2514" s="2" t="s">
        <v>1998</v>
      </c>
      <c r="D2514" s="2" t="s">
        <v>44</v>
      </c>
      <c r="E2514" s="2" t="s">
        <v>23</v>
      </c>
      <c r="F2514" s="2">
        <v>9.934520605E9</v>
      </c>
    </row>
    <row r="2515" ht="15.75" customHeight="1">
      <c r="A2515" s="2" t="s">
        <v>2456</v>
      </c>
      <c r="B2515" s="2" t="s">
        <v>276</v>
      </c>
      <c r="C2515" s="2" t="s">
        <v>560</v>
      </c>
      <c r="D2515" s="2" t="s">
        <v>26</v>
      </c>
      <c r="E2515" s="2" t="s">
        <v>19</v>
      </c>
      <c r="F2515" s="2">
        <v>8.002889907E9</v>
      </c>
    </row>
    <row r="2516" ht="15.75" customHeight="1">
      <c r="A2516" s="2" t="s">
        <v>2448</v>
      </c>
      <c r="B2516" s="2" t="s">
        <v>382</v>
      </c>
      <c r="C2516" s="2" t="s">
        <v>1139</v>
      </c>
      <c r="D2516" s="2" t="s">
        <v>26</v>
      </c>
      <c r="E2516" s="2" t="s">
        <v>19</v>
      </c>
      <c r="F2516" s="2">
        <v>8.084292208E9</v>
      </c>
    </row>
    <row r="2517" ht="15.75" customHeight="1">
      <c r="A2517" s="2" t="s">
        <v>524</v>
      </c>
      <c r="B2517" s="2" t="s">
        <v>50</v>
      </c>
      <c r="C2517" s="2" t="s">
        <v>1998</v>
      </c>
      <c r="D2517" s="2" t="s">
        <v>26</v>
      </c>
      <c r="E2517" s="2" t="s">
        <v>19</v>
      </c>
      <c r="F2517" s="2">
        <v>9.955440696E9</v>
      </c>
    </row>
    <row r="2518" ht="15.75" customHeight="1">
      <c r="A2518" s="2" t="s">
        <v>2457</v>
      </c>
      <c r="B2518" s="2" t="s">
        <v>862</v>
      </c>
      <c r="C2518" s="2" t="s">
        <v>844</v>
      </c>
      <c r="D2518" s="2" t="s">
        <v>9</v>
      </c>
      <c r="E2518" s="2" t="s">
        <v>23</v>
      </c>
      <c r="F2518" s="2">
        <v>9.407268436E9</v>
      </c>
    </row>
    <row r="2519" ht="15.75" customHeight="1">
      <c r="A2519" s="2" t="s">
        <v>318</v>
      </c>
      <c r="B2519" s="2" t="s">
        <v>21</v>
      </c>
      <c r="C2519" s="2" t="s">
        <v>2458</v>
      </c>
      <c r="D2519" s="2" t="s">
        <v>26</v>
      </c>
      <c r="E2519" s="2" t="s">
        <v>23</v>
      </c>
      <c r="F2519" s="2">
        <v>9.973499359E9</v>
      </c>
    </row>
    <row r="2520" ht="15.75" customHeight="1">
      <c r="A2520" s="2" t="s">
        <v>2459</v>
      </c>
      <c r="B2520" s="2" t="s">
        <v>2460</v>
      </c>
      <c r="C2520" s="2" t="s">
        <v>2461</v>
      </c>
      <c r="D2520" s="2" t="s">
        <v>26</v>
      </c>
      <c r="E2520" s="2" t="s">
        <v>23</v>
      </c>
      <c r="F2520" s="2">
        <v>9.470179511E9</v>
      </c>
    </row>
    <row r="2521" ht="15.75" customHeight="1">
      <c r="A2521" s="2" t="s">
        <v>484</v>
      </c>
      <c r="B2521" s="2" t="s">
        <v>1418</v>
      </c>
      <c r="C2521" s="2" t="s">
        <v>305</v>
      </c>
      <c r="D2521" s="2" t="s">
        <v>9</v>
      </c>
      <c r="E2521" s="2" t="s">
        <v>19</v>
      </c>
      <c r="F2521" s="2">
        <v>7.984347179E9</v>
      </c>
    </row>
    <row r="2522" ht="15.75" customHeight="1">
      <c r="A2522" s="2" t="s">
        <v>2462</v>
      </c>
      <c r="B2522" s="2" t="s">
        <v>65</v>
      </c>
      <c r="C2522" s="2" t="s">
        <v>423</v>
      </c>
      <c r="D2522" s="2" t="s">
        <v>26</v>
      </c>
      <c r="E2522" s="2" t="s">
        <v>23</v>
      </c>
      <c r="F2522" s="2">
        <v>7.99223724E9</v>
      </c>
    </row>
    <row r="2523" ht="15.75" customHeight="1">
      <c r="A2523" s="2" t="s">
        <v>1423</v>
      </c>
      <c r="B2523" s="2" t="s">
        <v>55</v>
      </c>
      <c r="C2523" s="2" t="s">
        <v>61</v>
      </c>
      <c r="D2523" s="2" t="s">
        <v>56</v>
      </c>
      <c r="E2523" s="2" t="s">
        <v>19</v>
      </c>
      <c r="F2523" s="2">
        <v>8.895909725E9</v>
      </c>
    </row>
    <row r="2524" ht="15.75" customHeight="1">
      <c r="A2524" s="2" t="s">
        <v>535</v>
      </c>
      <c r="B2524" s="2" t="s">
        <v>55</v>
      </c>
      <c r="C2524" s="2" t="s">
        <v>1497</v>
      </c>
      <c r="D2524" s="2" t="s">
        <v>56</v>
      </c>
      <c r="E2524" s="2" t="s">
        <v>23</v>
      </c>
      <c r="F2524" s="2">
        <v>9.546319416E9</v>
      </c>
    </row>
    <row r="2525" ht="15.75" customHeight="1">
      <c r="A2525" s="2" t="s">
        <v>1149</v>
      </c>
      <c r="B2525" s="2" t="s">
        <v>780</v>
      </c>
      <c r="C2525" s="2" t="s">
        <v>1081</v>
      </c>
      <c r="D2525" s="2" t="s">
        <v>26</v>
      </c>
      <c r="E2525" s="2" t="s">
        <v>23</v>
      </c>
      <c r="F2525" s="2">
        <v>8.789656178E9</v>
      </c>
    </row>
    <row r="2526" ht="15.75" customHeight="1">
      <c r="A2526" s="2" t="s">
        <v>2463</v>
      </c>
      <c r="B2526" s="2" t="s">
        <v>382</v>
      </c>
      <c r="C2526" s="2" t="s">
        <v>592</v>
      </c>
      <c r="D2526" s="2" t="s">
        <v>26</v>
      </c>
      <c r="E2526" s="2" t="s">
        <v>19</v>
      </c>
      <c r="F2526" s="2">
        <v>8.452545129E9</v>
      </c>
    </row>
    <row r="2527" ht="15.75" customHeight="1">
      <c r="A2527" s="2" t="s">
        <v>852</v>
      </c>
      <c r="B2527" s="2" t="s">
        <v>852</v>
      </c>
      <c r="C2527" s="2" t="s">
        <v>1010</v>
      </c>
      <c r="D2527" s="2" t="s">
        <v>26</v>
      </c>
      <c r="E2527" s="2" t="s">
        <v>19</v>
      </c>
      <c r="F2527" s="2">
        <v>7.061645221E9</v>
      </c>
    </row>
    <row r="2528" ht="15.75" customHeight="1">
      <c r="A2528" s="2" t="s">
        <v>2239</v>
      </c>
      <c r="B2528" s="2" t="s">
        <v>2425</v>
      </c>
      <c r="C2528" s="2" t="s">
        <v>423</v>
      </c>
      <c r="D2528" s="2" t="s">
        <v>44</v>
      </c>
      <c r="E2528" s="2" t="s">
        <v>23</v>
      </c>
      <c r="F2528" s="2">
        <v>8.709309939E9</v>
      </c>
    </row>
    <row r="2529" ht="15.75" customHeight="1">
      <c r="A2529" s="2" t="s">
        <v>429</v>
      </c>
      <c r="B2529" s="2" t="s">
        <v>2464</v>
      </c>
      <c r="C2529" s="2" t="s">
        <v>729</v>
      </c>
      <c r="D2529" s="2" t="s">
        <v>56</v>
      </c>
      <c r="E2529" s="2" t="s">
        <v>19</v>
      </c>
      <c r="F2529" s="2">
        <v>9.90060649E9</v>
      </c>
    </row>
    <row r="2530" ht="15.75" customHeight="1">
      <c r="A2530" s="2" t="s">
        <v>2465</v>
      </c>
      <c r="B2530" s="2" t="s">
        <v>191</v>
      </c>
      <c r="C2530" s="2" t="s">
        <v>2123</v>
      </c>
      <c r="D2530" s="2" t="s">
        <v>56</v>
      </c>
      <c r="E2530" s="2" t="s">
        <v>23</v>
      </c>
      <c r="F2530" s="2">
        <v>4.209068348E9</v>
      </c>
    </row>
    <row r="2531" ht="15.75" customHeight="1">
      <c r="A2531" s="2" t="s">
        <v>1433</v>
      </c>
      <c r="B2531" s="2" t="s">
        <v>75</v>
      </c>
      <c r="C2531" s="2" t="s">
        <v>2466</v>
      </c>
      <c r="D2531" s="2" t="s">
        <v>102</v>
      </c>
      <c r="E2531" s="2" t="s">
        <v>2467</v>
      </c>
      <c r="F2531" s="2">
        <v>9.730764705E9</v>
      </c>
    </row>
    <row r="2532" ht="15.75" customHeight="1">
      <c r="A2532" s="2" t="s">
        <v>1428</v>
      </c>
      <c r="B2532" s="2" t="s">
        <v>119</v>
      </c>
      <c r="C2532" s="2" t="s">
        <v>423</v>
      </c>
      <c r="D2532" s="2" t="s">
        <v>26</v>
      </c>
      <c r="E2532" s="2" t="s">
        <v>23</v>
      </c>
      <c r="F2532" s="2">
        <v>9.735542861E9</v>
      </c>
    </row>
    <row r="2533" ht="15.75" customHeight="1">
      <c r="A2533" s="2" t="s">
        <v>2468</v>
      </c>
      <c r="B2533" s="2" t="s">
        <v>909</v>
      </c>
      <c r="C2533" s="2" t="s">
        <v>133</v>
      </c>
      <c r="D2533" s="2" t="s">
        <v>26</v>
      </c>
      <c r="E2533" s="2" t="s">
        <v>23</v>
      </c>
      <c r="F2533" s="2">
        <v>9.431943311E9</v>
      </c>
    </row>
    <row r="2534" ht="15.75" customHeight="1">
      <c r="A2534" s="2" t="s">
        <v>528</v>
      </c>
      <c r="B2534" s="2" t="s">
        <v>664</v>
      </c>
      <c r="C2534" s="2" t="s">
        <v>2469</v>
      </c>
      <c r="D2534" s="2" t="s">
        <v>29</v>
      </c>
      <c r="E2534" s="2" t="s">
        <v>19</v>
      </c>
      <c r="F2534" s="2">
        <v>9.986379656E9</v>
      </c>
    </row>
    <row r="2535" ht="15.75" customHeight="1">
      <c r="A2535" s="2" t="s">
        <v>568</v>
      </c>
      <c r="B2535" s="2" t="s">
        <v>50</v>
      </c>
      <c r="C2535" s="2" t="s">
        <v>305</v>
      </c>
      <c r="D2535" s="2" t="s">
        <v>26</v>
      </c>
      <c r="E2535" s="2" t="s">
        <v>19</v>
      </c>
      <c r="F2535" s="2">
        <v>7.004868417E9</v>
      </c>
    </row>
    <row r="2536" ht="15.75" customHeight="1">
      <c r="A2536" s="2" t="s">
        <v>997</v>
      </c>
      <c r="B2536" s="2" t="s">
        <v>2470</v>
      </c>
      <c r="C2536" s="2" t="s">
        <v>2471</v>
      </c>
      <c r="D2536" s="2" t="s">
        <v>14</v>
      </c>
      <c r="E2536" s="2" t="s">
        <v>282</v>
      </c>
      <c r="F2536" s="2">
        <v>9.601674842E9</v>
      </c>
    </row>
    <row r="2537" ht="15.75" customHeight="1">
      <c r="A2537" s="2" t="s">
        <v>2472</v>
      </c>
      <c r="B2537" s="2" t="s">
        <v>55</v>
      </c>
      <c r="C2537" s="2" t="s">
        <v>289</v>
      </c>
      <c r="D2537" s="2" t="s">
        <v>56</v>
      </c>
      <c r="E2537" s="2" t="s">
        <v>19</v>
      </c>
      <c r="F2537" s="2">
        <v>7.632903907E9</v>
      </c>
    </row>
    <row r="2538" ht="15.75" customHeight="1">
      <c r="A2538" s="2" t="s">
        <v>2473</v>
      </c>
      <c r="B2538" s="2" t="s">
        <v>550</v>
      </c>
      <c r="C2538" s="2" t="s">
        <v>181</v>
      </c>
      <c r="D2538" s="2" t="s">
        <v>26</v>
      </c>
      <c r="E2538" s="2" t="s">
        <v>23</v>
      </c>
      <c r="F2538" s="2">
        <v>9.304753779E9</v>
      </c>
    </row>
    <row r="2539" ht="15.75" customHeight="1">
      <c r="A2539" s="2" t="s">
        <v>359</v>
      </c>
      <c r="B2539" s="2" t="s">
        <v>21</v>
      </c>
      <c r="C2539" s="2" t="s">
        <v>423</v>
      </c>
      <c r="D2539" s="2" t="s">
        <v>14</v>
      </c>
      <c r="E2539" s="2" t="s">
        <v>19</v>
      </c>
      <c r="F2539" s="2">
        <v>7.20975871E9</v>
      </c>
    </row>
    <row r="2540" ht="15.75" customHeight="1">
      <c r="A2540" s="2" t="s">
        <v>480</v>
      </c>
      <c r="B2540" s="2" t="s">
        <v>520</v>
      </c>
      <c r="C2540" s="2" t="s">
        <v>2102</v>
      </c>
      <c r="D2540" s="2" t="s">
        <v>56</v>
      </c>
      <c r="E2540" s="2" t="s">
        <v>19</v>
      </c>
      <c r="F2540" s="2">
        <v>9.98550958E9</v>
      </c>
    </row>
    <row r="2541" ht="15.75" customHeight="1">
      <c r="A2541" s="2" t="s">
        <v>131</v>
      </c>
      <c r="B2541" s="2" t="s">
        <v>88</v>
      </c>
      <c r="C2541" s="2" t="s">
        <v>1376</v>
      </c>
      <c r="D2541" s="2" t="s">
        <v>26</v>
      </c>
      <c r="E2541" s="2" t="s">
        <v>23</v>
      </c>
      <c r="F2541" s="2">
        <v>8.603800267E9</v>
      </c>
    </row>
    <row r="2542" ht="15.75" customHeight="1">
      <c r="A2542" s="2" t="s">
        <v>525</v>
      </c>
      <c r="B2542" s="2" t="s">
        <v>50</v>
      </c>
      <c r="C2542" s="2" t="s">
        <v>1408</v>
      </c>
      <c r="D2542" s="2" t="s">
        <v>44</v>
      </c>
      <c r="E2542" s="2" t="s">
        <v>19</v>
      </c>
      <c r="F2542" s="2">
        <v>8.709870618E9</v>
      </c>
    </row>
    <row r="2543" ht="15.75" customHeight="1">
      <c r="A2543" s="2" t="s">
        <v>2474</v>
      </c>
      <c r="B2543" s="2" t="s">
        <v>269</v>
      </c>
      <c r="C2543" s="2" t="s">
        <v>171</v>
      </c>
      <c r="D2543" s="2" t="s">
        <v>9</v>
      </c>
      <c r="E2543" s="2" t="s">
        <v>23</v>
      </c>
      <c r="F2543" s="2">
        <v>7.858832469E9</v>
      </c>
    </row>
    <row r="2544" ht="15.75" customHeight="1">
      <c r="A2544" s="2" t="s">
        <v>406</v>
      </c>
      <c r="B2544" s="2" t="s">
        <v>75</v>
      </c>
      <c r="C2544" s="2" t="s">
        <v>970</v>
      </c>
      <c r="D2544" s="2" t="s">
        <v>56</v>
      </c>
      <c r="E2544" s="2" t="s">
        <v>19</v>
      </c>
      <c r="F2544" s="2">
        <v>9.570055941E9</v>
      </c>
    </row>
    <row r="2545" ht="15.75" customHeight="1">
      <c r="A2545" s="2" t="s">
        <v>2475</v>
      </c>
      <c r="B2545" s="2" t="s">
        <v>119</v>
      </c>
      <c r="C2545" s="2" t="s">
        <v>1139</v>
      </c>
      <c r="D2545" s="2" t="s">
        <v>26</v>
      </c>
      <c r="E2545" s="2" t="s">
        <v>19</v>
      </c>
      <c r="F2545" s="2">
        <v>8.434187774E9</v>
      </c>
    </row>
    <row r="2546" ht="15.75" customHeight="1">
      <c r="A2546" s="2" t="s">
        <v>1870</v>
      </c>
      <c r="B2546" s="2" t="s">
        <v>257</v>
      </c>
      <c r="C2546" s="2" t="s">
        <v>1443</v>
      </c>
      <c r="D2546" s="2" t="s">
        <v>56</v>
      </c>
      <c r="E2546" s="2" t="s">
        <v>23</v>
      </c>
      <c r="F2546" s="2">
        <v>9.470988991E9</v>
      </c>
    </row>
    <row r="2547" ht="15.75" customHeight="1">
      <c r="A2547" s="2" t="s">
        <v>515</v>
      </c>
      <c r="B2547" s="2" t="s">
        <v>1362</v>
      </c>
      <c r="C2547" s="2" t="s">
        <v>305</v>
      </c>
      <c r="D2547" s="2" t="s">
        <v>26</v>
      </c>
      <c r="E2547" s="2" t="s">
        <v>19</v>
      </c>
      <c r="F2547" s="2">
        <v>9.955142478E9</v>
      </c>
    </row>
    <row r="2548" ht="15.75" customHeight="1">
      <c r="A2548" s="2" t="s">
        <v>2476</v>
      </c>
      <c r="B2548" s="2" t="s">
        <v>55</v>
      </c>
      <c r="C2548" s="2" t="s">
        <v>181</v>
      </c>
      <c r="D2548" s="2" t="s">
        <v>26</v>
      </c>
      <c r="E2548" s="2" t="s">
        <v>19</v>
      </c>
      <c r="F2548" s="2">
        <v>8.651158234E9</v>
      </c>
    </row>
    <row r="2549" ht="15.75" customHeight="1">
      <c r="A2549" s="2" t="s">
        <v>2475</v>
      </c>
      <c r="B2549" s="2" t="s">
        <v>308</v>
      </c>
      <c r="C2549" s="2" t="s">
        <v>1139</v>
      </c>
      <c r="D2549" s="2" t="s">
        <v>26</v>
      </c>
      <c r="E2549" s="2" t="s">
        <v>19</v>
      </c>
      <c r="F2549" s="2">
        <v>7.54284426E9</v>
      </c>
    </row>
    <row r="2550" ht="15.75" customHeight="1">
      <c r="A2550" s="2" t="s">
        <v>2477</v>
      </c>
      <c r="B2550" s="2" t="s">
        <v>170</v>
      </c>
      <c r="C2550" s="2" t="s">
        <v>500</v>
      </c>
      <c r="D2550" s="2" t="s">
        <v>56</v>
      </c>
      <c r="E2550" s="2" t="s">
        <v>23</v>
      </c>
      <c r="F2550" s="2">
        <v>8.083115786E9</v>
      </c>
    </row>
    <row r="2551" ht="15.75" customHeight="1">
      <c r="A2551" s="2" t="s">
        <v>278</v>
      </c>
      <c r="B2551" s="2" t="s">
        <v>50</v>
      </c>
      <c r="C2551" s="2" t="s">
        <v>1010</v>
      </c>
      <c r="D2551" s="2" t="s">
        <v>26</v>
      </c>
      <c r="E2551" s="2" t="s">
        <v>19</v>
      </c>
      <c r="F2551" s="2">
        <v>6.200866603E9</v>
      </c>
    </row>
    <row r="2552" ht="15.75" customHeight="1">
      <c r="A2552" s="2" t="s">
        <v>2478</v>
      </c>
      <c r="B2552" s="2" t="s">
        <v>212</v>
      </c>
      <c r="C2552" s="2" t="s">
        <v>289</v>
      </c>
      <c r="D2552" s="2" t="s">
        <v>56</v>
      </c>
      <c r="E2552" s="2" t="s">
        <v>19</v>
      </c>
      <c r="F2552" s="2">
        <v>7.481829947E9</v>
      </c>
    </row>
    <row r="2553" ht="15.75" customHeight="1">
      <c r="A2553" s="2" t="s">
        <v>920</v>
      </c>
      <c r="B2553" s="2" t="s">
        <v>52</v>
      </c>
      <c r="C2553" s="2" t="s">
        <v>1379</v>
      </c>
      <c r="D2553" s="2" t="s">
        <v>44</v>
      </c>
      <c r="E2553" s="2" t="s">
        <v>23</v>
      </c>
      <c r="F2553" s="2">
        <v>9.534009191E9</v>
      </c>
    </row>
    <row r="2554" ht="15.75" customHeight="1">
      <c r="A2554" s="2" t="s">
        <v>89</v>
      </c>
      <c r="B2554" s="2" t="s">
        <v>2479</v>
      </c>
      <c r="C2554" s="2" t="s">
        <v>2480</v>
      </c>
      <c r="D2554" s="2" t="s">
        <v>56</v>
      </c>
      <c r="E2554" s="2" t="s">
        <v>19</v>
      </c>
      <c r="F2554" s="2">
        <v>9.652282138E9</v>
      </c>
    </row>
    <row r="2555" ht="15.75" customHeight="1">
      <c r="A2555" s="2" t="s">
        <v>52</v>
      </c>
      <c r="B2555" s="2" t="s">
        <v>153</v>
      </c>
      <c r="C2555" s="2" t="s">
        <v>1476</v>
      </c>
      <c r="D2555" s="2" t="s">
        <v>9</v>
      </c>
      <c r="E2555" s="2" t="s">
        <v>19</v>
      </c>
      <c r="F2555" s="2">
        <v>8.210445074E9</v>
      </c>
    </row>
    <row r="2556" ht="15.75" customHeight="1">
      <c r="A2556" s="2" t="s">
        <v>2481</v>
      </c>
      <c r="B2556" s="2" t="s">
        <v>2481</v>
      </c>
      <c r="C2556" s="2" t="s">
        <v>729</v>
      </c>
      <c r="D2556" s="2" t="s">
        <v>9</v>
      </c>
      <c r="E2556" s="2" t="s">
        <v>19</v>
      </c>
      <c r="F2556" s="2">
        <v>6.305678289E9</v>
      </c>
    </row>
    <row r="2557" ht="15.75" customHeight="1">
      <c r="A2557" s="2" t="s">
        <v>1461</v>
      </c>
      <c r="B2557" s="2" t="s">
        <v>50</v>
      </c>
      <c r="C2557" s="2" t="s">
        <v>330</v>
      </c>
      <c r="D2557" s="2" t="s">
        <v>56</v>
      </c>
      <c r="E2557" s="2" t="s">
        <v>19</v>
      </c>
      <c r="F2557" s="2">
        <v>6.200006712E9</v>
      </c>
    </row>
    <row r="2558" ht="15.75" customHeight="1">
      <c r="A2558" s="2" t="s">
        <v>2482</v>
      </c>
      <c r="B2558" s="2" t="s">
        <v>108</v>
      </c>
      <c r="C2558" s="2" t="s">
        <v>1376</v>
      </c>
      <c r="D2558" s="2" t="s">
        <v>9</v>
      </c>
      <c r="E2558" s="2" t="s">
        <v>19</v>
      </c>
      <c r="F2558" s="2">
        <v>7.044313153E9</v>
      </c>
    </row>
    <row r="2559" ht="15.75" customHeight="1">
      <c r="A2559" s="2" t="s">
        <v>2483</v>
      </c>
      <c r="B2559" s="2" t="s">
        <v>2484</v>
      </c>
      <c r="C2559" s="2" t="s">
        <v>970</v>
      </c>
      <c r="D2559" s="2" t="s">
        <v>56</v>
      </c>
      <c r="E2559" s="2" t="s">
        <v>23</v>
      </c>
      <c r="F2559" s="2">
        <v>9.431101128E9</v>
      </c>
    </row>
    <row r="2560" ht="15.75" customHeight="1">
      <c r="A2560" s="2" t="s">
        <v>52</v>
      </c>
      <c r="B2560" s="2" t="s">
        <v>2485</v>
      </c>
      <c r="C2560" s="2" t="s">
        <v>817</v>
      </c>
      <c r="D2560" s="2" t="s">
        <v>44</v>
      </c>
      <c r="E2560" s="2" t="s">
        <v>19</v>
      </c>
      <c r="F2560" s="2">
        <v>9.003734621E9</v>
      </c>
    </row>
    <row r="2561" ht="15.75" customHeight="1">
      <c r="A2561" s="2" t="s">
        <v>1234</v>
      </c>
      <c r="B2561" s="2" t="s">
        <v>869</v>
      </c>
      <c r="C2561" s="2" t="s">
        <v>560</v>
      </c>
      <c r="D2561" s="2" t="s">
        <v>56</v>
      </c>
      <c r="E2561" s="2" t="s">
        <v>19</v>
      </c>
      <c r="F2561" s="2">
        <v>9.93456497E9</v>
      </c>
    </row>
    <row r="2562" ht="15.75" customHeight="1">
      <c r="A2562" s="2" t="s">
        <v>2486</v>
      </c>
      <c r="B2562" s="2" t="s">
        <v>50</v>
      </c>
      <c r="C2562" s="2" t="s">
        <v>330</v>
      </c>
      <c r="D2562" s="2" t="s">
        <v>44</v>
      </c>
      <c r="E2562" s="2" t="s">
        <v>19</v>
      </c>
      <c r="F2562" s="2">
        <v>7.66783178E9</v>
      </c>
    </row>
    <row r="2563" ht="15.75" customHeight="1">
      <c r="A2563" s="2" t="s">
        <v>80</v>
      </c>
      <c r="B2563" s="2" t="s">
        <v>960</v>
      </c>
      <c r="C2563" s="2" t="s">
        <v>592</v>
      </c>
      <c r="D2563" s="2" t="s">
        <v>26</v>
      </c>
      <c r="E2563" s="2" t="s">
        <v>19</v>
      </c>
      <c r="F2563" s="2">
        <v>9.124454112E9</v>
      </c>
    </row>
    <row r="2564" ht="15.75" customHeight="1">
      <c r="A2564" s="2" t="s">
        <v>1820</v>
      </c>
      <c r="B2564" s="2" t="s">
        <v>125</v>
      </c>
      <c r="C2564" s="2" t="s">
        <v>305</v>
      </c>
      <c r="D2564" s="2" t="s">
        <v>26</v>
      </c>
      <c r="E2564" s="2" t="s">
        <v>19</v>
      </c>
      <c r="F2564" s="2">
        <v>7.654320977E9</v>
      </c>
    </row>
    <row r="2565" ht="15.75" customHeight="1">
      <c r="A2565" s="2" t="s">
        <v>213</v>
      </c>
      <c r="B2565" s="2" t="s">
        <v>1480</v>
      </c>
      <c r="C2565" s="2" t="s">
        <v>690</v>
      </c>
      <c r="D2565" s="2" t="s">
        <v>9</v>
      </c>
      <c r="E2565" s="2" t="s">
        <v>23</v>
      </c>
      <c r="F2565" s="2">
        <v>8.294021141E9</v>
      </c>
    </row>
    <row r="2566" ht="15.75" customHeight="1">
      <c r="A2566" s="2" t="s">
        <v>2487</v>
      </c>
      <c r="B2566" s="2" t="s">
        <v>552</v>
      </c>
      <c r="C2566" s="2" t="s">
        <v>162</v>
      </c>
      <c r="D2566" s="2" t="s">
        <v>44</v>
      </c>
      <c r="E2566" s="2" t="s">
        <v>19</v>
      </c>
      <c r="F2566" s="2">
        <v>7.079865821E9</v>
      </c>
    </row>
    <row r="2567" ht="15.75" customHeight="1">
      <c r="A2567" s="2" t="s">
        <v>2488</v>
      </c>
      <c r="B2567" s="2" t="s">
        <v>654</v>
      </c>
      <c r="C2567" s="2" t="s">
        <v>1010</v>
      </c>
      <c r="D2567" s="2" t="s">
        <v>26</v>
      </c>
      <c r="E2567" s="2" t="s">
        <v>19</v>
      </c>
      <c r="F2567" s="2">
        <v>8.969244008E9</v>
      </c>
    </row>
    <row r="2568" ht="15.75" customHeight="1">
      <c r="A2568" s="2" t="s">
        <v>2489</v>
      </c>
      <c r="B2568" s="2" t="s">
        <v>88</v>
      </c>
      <c r="C2568" s="2" t="s">
        <v>79</v>
      </c>
      <c r="D2568" s="2" t="s">
        <v>44</v>
      </c>
      <c r="E2568" s="2" t="s">
        <v>23</v>
      </c>
      <c r="F2568" s="2">
        <v>9.534339911E9</v>
      </c>
    </row>
    <row r="2569" ht="15.75" customHeight="1">
      <c r="A2569" s="2" t="s">
        <v>80</v>
      </c>
      <c r="B2569" s="2" t="s">
        <v>50</v>
      </c>
      <c r="C2569" s="2" t="s">
        <v>1139</v>
      </c>
      <c r="D2569" s="2" t="s">
        <v>56</v>
      </c>
      <c r="E2569" s="2" t="s">
        <v>19</v>
      </c>
      <c r="F2569" s="2">
        <v>8.789824407E9</v>
      </c>
    </row>
    <row r="2570" ht="15.75" customHeight="1">
      <c r="A2570" s="2" t="s">
        <v>2490</v>
      </c>
      <c r="B2570" s="2" t="s">
        <v>65</v>
      </c>
      <c r="C2570" s="2" t="s">
        <v>1066</v>
      </c>
      <c r="D2570" s="2" t="s">
        <v>26</v>
      </c>
      <c r="E2570" s="2" t="s">
        <v>19</v>
      </c>
      <c r="F2570" s="2">
        <v>9.334143844E9</v>
      </c>
    </row>
    <row r="2571" ht="15.75" customHeight="1">
      <c r="A2571" s="2" t="s">
        <v>2491</v>
      </c>
      <c r="B2571" s="2" t="s">
        <v>212</v>
      </c>
      <c r="C2571" s="2" t="s">
        <v>1405</v>
      </c>
      <c r="D2571" s="2" t="s">
        <v>26</v>
      </c>
      <c r="E2571" s="2" t="s">
        <v>19</v>
      </c>
      <c r="F2571" s="2">
        <v>8.541834099E9</v>
      </c>
    </row>
    <row r="2572" ht="15.75" customHeight="1">
      <c r="A2572" s="2" t="s">
        <v>1597</v>
      </c>
      <c r="B2572" s="2" t="s">
        <v>47</v>
      </c>
      <c r="C2572" s="2" t="s">
        <v>162</v>
      </c>
      <c r="D2572" s="2" t="s">
        <v>14</v>
      </c>
      <c r="E2572" s="2" t="s">
        <v>19</v>
      </c>
      <c r="F2572" s="2">
        <v>9.334580585E9</v>
      </c>
    </row>
    <row r="2573" ht="15.75" customHeight="1">
      <c r="A2573" s="2" t="s">
        <v>40</v>
      </c>
      <c r="B2573" s="2" t="s">
        <v>65</v>
      </c>
      <c r="C2573" s="2" t="s">
        <v>2450</v>
      </c>
      <c r="D2573" s="2" t="s">
        <v>14</v>
      </c>
      <c r="E2573" s="2" t="s">
        <v>23</v>
      </c>
      <c r="F2573" s="2">
        <v>7.2618274E9</v>
      </c>
    </row>
    <row r="2574" ht="15.75" customHeight="1">
      <c r="A2574" s="2" t="s">
        <v>80</v>
      </c>
      <c r="B2574" s="2" t="s">
        <v>50</v>
      </c>
      <c r="C2574" s="2" t="s">
        <v>662</v>
      </c>
      <c r="D2574" s="2" t="s">
        <v>26</v>
      </c>
      <c r="E2574" s="2" t="s">
        <v>19</v>
      </c>
      <c r="F2574" s="2">
        <v>7.070905039E9</v>
      </c>
    </row>
    <row r="2575" ht="15.75" customHeight="1">
      <c r="A2575" s="2" t="s">
        <v>2492</v>
      </c>
      <c r="B2575" s="2" t="s">
        <v>88</v>
      </c>
      <c r="C2575" s="2" t="s">
        <v>330</v>
      </c>
      <c r="D2575" s="2" t="s">
        <v>56</v>
      </c>
      <c r="E2575" s="2" t="s">
        <v>19</v>
      </c>
      <c r="F2575" s="2">
        <v>9.123197478E9</v>
      </c>
    </row>
    <row r="2576" ht="15.75" customHeight="1">
      <c r="A2576" s="2" t="s">
        <v>429</v>
      </c>
      <c r="B2576" s="2" t="s">
        <v>50</v>
      </c>
      <c r="C2576" s="2" t="s">
        <v>305</v>
      </c>
      <c r="D2576" s="2" t="s">
        <v>56</v>
      </c>
      <c r="E2576" s="2" t="s">
        <v>19</v>
      </c>
      <c r="F2576" s="2">
        <v>7.05002866E9</v>
      </c>
    </row>
    <row r="2577" ht="15.75" customHeight="1">
      <c r="A2577" s="2" t="s">
        <v>52</v>
      </c>
      <c r="B2577" s="2" t="s">
        <v>2493</v>
      </c>
      <c r="C2577" s="2" t="s">
        <v>171</v>
      </c>
      <c r="D2577" s="2" t="s">
        <v>56</v>
      </c>
      <c r="E2577" s="2" t="s">
        <v>19</v>
      </c>
      <c r="F2577" s="2">
        <v>9.431382517E9</v>
      </c>
    </row>
    <row r="2578" ht="15.75" customHeight="1">
      <c r="A2578" s="2" t="s">
        <v>1820</v>
      </c>
      <c r="B2578" s="2" t="s">
        <v>112</v>
      </c>
      <c r="C2578" s="2" t="s">
        <v>1408</v>
      </c>
      <c r="D2578" s="2" t="s">
        <v>56</v>
      </c>
      <c r="E2578" s="2" t="s">
        <v>23</v>
      </c>
      <c r="F2578" s="2">
        <v>8.6375417E9</v>
      </c>
    </row>
    <row r="2579" ht="15.75" customHeight="1">
      <c r="A2579" s="2" t="s">
        <v>1624</v>
      </c>
      <c r="B2579" s="2" t="s">
        <v>63</v>
      </c>
      <c r="C2579" s="2" t="s">
        <v>1036</v>
      </c>
      <c r="D2579" s="2" t="s">
        <v>56</v>
      </c>
      <c r="E2579" s="2" t="s">
        <v>19</v>
      </c>
      <c r="F2579" s="2">
        <v>9.801061413E9</v>
      </c>
    </row>
    <row r="2580" ht="15.75" customHeight="1">
      <c r="A2580" s="2" t="s">
        <v>2080</v>
      </c>
      <c r="B2580" s="2" t="s">
        <v>71</v>
      </c>
      <c r="C2580" s="2" t="s">
        <v>230</v>
      </c>
      <c r="D2580" s="2" t="s">
        <v>26</v>
      </c>
      <c r="E2580" s="2" t="s">
        <v>19</v>
      </c>
      <c r="F2580" s="2">
        <v>9.470349769E9</v>
      </c>
    </row>
    <row r="2581" ht="15.75" customHeight="1">
      <c r="A2581" s="2" t="s">
        <v>1610</v>
      </c>
      <c r="B2581" s="2" t="s">
        <v>119</v>
      </c>
      <c r="C2581" s="2" t="s">
        <v>1010</v>
      </c>
      <c r="D2581" s="2" t="s">
        <v>26</v>
      </c>
      <c r="E2581" s="2" t="s">
        <v>19</v>
      </c>
      <c r="F2581" s="2">
        <v>9.608353323E9</v>
      </c>
    </row>
    <row r="2582" ht="15.75" customHeight="1">
      <c r="A2582" s="2" t="s">
        <v>2494</v>
      </c>
      <c r="B2582" s="2" t="s">
        <v>269</v>
      </c>
      <c r="C2582" s="2" t="s">
        <v>1050</v>
      </c>
      <c r="D2582" s="2" t="s">
        <v>9</v>
      </c>
      <c r="E2582" s="2" t="s">
        <v>23</v>
      </c>
      <c r="F2582" s="2">
        <v>9.006066521E9</v>
      </c>
    </row>
    <row r="2583" ht="15.75" customHeight="1">
      <c r="A2583" s="2" t="s">
        <v>52</v>
      </c>
      <c r="B2583" s="2" t="s">
        <v>55</v>
      </c>
      <c r="C2583" s="2" t="s">
        <v>1533</v>
      </c>
      <c r="D2583" s="2" t="s">
        <v>26</v>
      </c>
      <c r="E2583" s="2" t="s">
        <v>19</v>
      </c>
      <c r="F2583" s="2">
        <v>7.277946576E9</v>
      </c>
    </row>
    <row r="2584" ht="15.75" customHeight="1">
      <c r="A2584" s="2" t="s">
        <v>1729</v>
      </c>
      <c r="B2584" s="2" t="s">
        <v>552</v>
      </c>
      <c r="C2584" s="2" t="s">
        <v>1379</v>
      </c>
      <c r="D2584" s="2" t="s">
        <v>26</v>
      </c>
      <c r="E2584" s="2" t="s">
        <v>19</v>
      </c>
      <c r="F2584" s="2">
        <v>7.632053158E9</v>
      </c>
    </row>
    <row r="2585" ht="15.75" customHeight="1">
      <c r="A2585" s="2" t="s">
        <v>764</v>
      </c>
      <c r="B2585" s="2" t="s">
        <v>308</v>
      </c>
      <c r="C2585" s="2" t="s">
        <v>2495</v>
      </c>
      <c r="D2585" s="2" t="s">
        <v>29</v>
      </c>
      <c r="E2585" s="2" t="s">
        <v>2115</v>
      </c>
      <c r="F2585" s="2">
        <v>6.290251707E9</v>
      </c>
    </row>
    <row r="2586" ht="15.75" customHeight="1">
      <c r="A2586" s="2" t="s">
        <v>1581</v>
      </c>
      <c r="B2586" s="2" t="s">
        <v>55</v>
      </c>
      <c r="C2586" s="2" t="s">
        <v>330</v>
      </c>
      <c r="D2586" s="2" t="s">
        <v>44</v>
      </c>
      <c r="E2586" s="2" t="s">
        <v>23</v>
      </c>
      <c r="F2586" s="2">
        <v>9.708112662E9</v>
      </c>
    </row>
    <row r="2587" ht="15.75" customHeight="1">
      <c r="A2587" s="2" t="s">
        <v>1624</v>
      </c>
      <c r="B2587" s="2" t="s">
        <v>960</v>
      </c>
      <c r="C2587" s="2" t="s">
        <v>1458</v>
      </c>
      <c r="D2587" s="2" t="s">
        <v>29</v>
      </c>
      <c r="E2587" s="2" t="s">
        <v>19</v>
      </c>
      <c r="F2587" s="2">
        <v>8.409615866E9</v>
      </c>
    </row>
    <row r="2588" ht="15.75" customHeight="1">
      <c r="A2588" s="2" t="s">
        <v>2496</v>
      </c>
      <c r="B2588" s="2" t="s">
        <v>63</v>
      </c>
      <c r="C2588" s="2" t="s">
        <v>305</v>
      </c>
      <c r="D2588" s="2" t="s">
        <v>44</v>
      </c>
      <c r="E2588" s="2" t="s">
        <v>19</v>
      </c>
      <c r="F2588" s="2">
        <v>9.110081694E9</v>
      </c>
    </row>
    <row r="2589" ht="15.75" customHeight="1">
      <c r="A2589" s="2" t="s">
        <v>1702</v>
      </c>
      <c r="B2589" s="2" t="s">
        <v>21</v>
      </c>
      <c r="C2589" s="2" t="s">
        <v>162</v>
      </c>
      <c r="D2589" s="2" t="s">
        <v>26</v>
      </c>
      <c r="E2589" s="2" t="s">
        <v>19</v>
      </c>
      <c r="F2589" s="2">
        <v>9.709195045E9</v>
      </c>
    </row>
    <row r="2590" ht="15.75" customHeight="1">
      <c r="A2590" s="2" t="s">
        <v>125</v>
      </c>
      <c r="B2590" s="2" t="s">
        <v>203</v>
      </c>
      <c r="C2590" s="2" t="s">
        <v>200</v>
      </c>
      <c r="D2590" s="2" t="s">
        <v>14</v>
      </c>
      <c r="E2590" s="2" t="s">
        <v>23</v>
      </c>
      <c r="F2590" s="2">
        <v>8.678890256E9</v>
      </c>
    </row>
    <row r="2591" ht="15.75" customHeight="1">
      <c r="A2591" s="2" t="s">
        <v>125</v>
      </c>
      <c r="B2591" s="2" t="s">
        <v>63</v>
      </c>
      <c r="C2591" s="2" t="s">
        <v>106</v>
      </c>
      <c r="D2591" s="2" t="s">
        <v>56</v>
      </c>
      <c r="E2591" s="2" t="s">
        <v>19</v>
      </c>
      <c r="F2591" s="2">
        <v>7.903527461E9</v>
      </c>
    </row>
    <row r="2592" ht="15.75" customHeight="1">
      <c r="A2592" s="2" t="s">
        <v>2305</v>
      </c>
      <c r="B2592" s="2" t="s">
        <v>63</v>
      </c>
      <c r="C2592" s="2" t="s">
        <v>305</v>
      </c>
      <c r="D2592" s="2" t="s">
        <v>56</v>
      </c>
      <c r="E2592" s="2" t="s">
        <v>19</v>
      </c>
      <c r="F2592" s="2">
        <v>7.654909636E9</v>
      </c>
    </row>
    <row r="2593" ht="15.75" customHeight="1">
      <c r="A2593" s="2" t="s">
        <v>365</v>
      </c>
      <c r="B2593" s="2" t="s">
        <v>55</v>
      </c>
      <c r="C2593" s="2" t="s">
        <v>289</v>
      </c>
      <c r="D2593" s="2" t="s">
        <v>56</v>
      </c>
      <c r="E2593" s="2" t="s">
        <v>19</v>
      </c>
      <c r="F2593" s="2">
        <v>7.044799386E9</v>
      </c>
    </row>
    <row r="2594" ht="15.75" customHeight="1">
      <c r="A2594" s="2" t="s">
        <v>1273</v>
      </c>
      <c r="B2594" s="2" t="s">
        <v>276</v>
      </c>
      <c r="C2594" s="2" t="s">
        <v>106</v>
      </c>
      <c r="D2594" s="2" t="s">
        <v>26</v>
      </c>
      <c r="E2594" s="2" t="s">
        <v>23</v>
      </c>
      <c r="F2594" s="2">
        <v>9.905525455E9</v>
      </c>
    </row>
    <row r="2595" ht="15.75" customHeight="1">
      <c r="A2595" s="2" t="s">
        <v>764</v>
      </c>
      <c r="B2595" s="2" t="s">
        <v>2497</v>
      </c>
      <c r="C2595" s="2" t="s">
        <v>536</v>
      </c>
      <c r="D2595" s="2" t="s">
        <v>26</v>
      </c>
      <c r="E2595" s="2" t="s">
        <v>19</v>
      </c>
      <c r="F2595" s="2">
        <v>7.050834699E9</v>
      </c>
    </row>
    <row r="2596" ht="15.75" customHeight="1">
      <c r="A2596" s="2" t="s">
        <v>2498</v>
      </c>
      <c r="B2596" s="2" t="s">
        <v>50</v>
      </c>
      <c r="C2596" s="2" t="s">
        <v>330</v>
      </c>
      <c r="D2596" s="2" t="s">
        <v>26</v>
      </c>
      <c r="E2596" s="2" t="s">
        <v>19</v>
      </c>
      <c r="F2596" s="2">
        <v>9.201264764E9</v>
      </c>
    </row>
    <row r="2597" ht="15.75" customHeight="1">
      <c r="A2597" s="2" t="s">
        <v>565</v>
      </c>
      <c r="B2597" s="2" t="s">
        <v>2499</v>
      </c>
      <c r="C2597" s="2" t="s">
        <v>200</v>
      </c>
      <c r="D2597" s="2" t="s">
        <v>56</v>
      </c>
      <c r="E2597" s="2" t="s">
        <v>19</v>
      </c>
      <c r="F2597" s="2">
        <v>8.873766919E9</v>
      </c>
    </row>
    <row r="2598" ht="15.75" customHeight="1">
      <c r="A2598" s="2" t="s">
        <v>2384</v>
      </c>
      <c r="B2598" s="2" t="s">
        <v>50</v>
      </c>
      <c r="C2598" s="2" t="s">
        <v>1408</v>
      </c>
      <c r="D2598" s="2" t="s">
        <v>56</v>
      </c>
      <c r="E2598" s="2" t="s">
        <v>23</v>
      </c>
      <c r="F2598" s="2">
        <v>8.689445634E9</v>
      </c>
    </row>
    <row r="2599" ht="15.75" customHeight="1">
      <c r="A2599" s="2" t="s">
        <v>52</v>
      </c>
      <c r="B2599" s="2" t="s">
        <v>55</v>
      </c>
      <c r="C2599" s="2" t="s">
        <v>200</v>
      </c>
      <c r="D2599" s="2" t="s">
        <v>56</v>
      </c>
      <c r="E2599" s="2" t="s">
        <v>19</v>
      </c>
      <c r="F2599" s="2">
        <v>7.488406789E9</v>
      </c>
    </row>
    <row r="2600" ht="15.75" customHeight="1">
      <c r="A2600" s="2" t="s">
        <v>1474</v>
      </c>
      <c r="B2600" s="2" t="s">
        <v>2143</v>
      </c>
      <c r="C2600" s="2" t="s">
        <v>1010</v>
      </c>
      <c r="D2600" s="2" t="s">
        <v>26</v>
      </c>
      <c r="E2600" s="2" t="s">
        <v>19</v>
      </c>
      <c r="F2600" s="2">
        <v>8.340665296E9</v>
      </c>
    </row>
    <row r="2601" ht="15.75" customHeight="1">
      <c r="A2601" s="2" t="s">
        <v>1851</v>
      </c>
      <c r="B2601" s="2" t="s">
        <v>276</v>
      </c>
      <c r="C2601" s="2" t="s">
        <v>289</v>
      </c>
      <c r="D2601" s="2" t="s">
        <v>26</v>
      </c>
      <c r="E2601" s="2" t="s">
        <v>19</v>
      </c>
      <c r="F2601" s="2">
        <v>7.739083481E9</v>
      </c>
    </row>
    <row r="2602" ht="15.75" customHeight="1">
      <c r="A2602" s="2" t="s">
        <v>2500</v>
      </c>
      <c r="B2602" s="2" t="s">
        <v>212</v>
      </c>
      <c r="C2602" s="2" t="s">
        <v>1818</v>
      </c>
      <c r="D2602" s="2" t="s">
        <v>56</v>
      </c>
      <c r="E2602" s="2" t="s">
        <v>23</v>
      </c>
      <c r="F2602" s="2">
        <v>9.545459206E9</v>
      </c>
    </row>
    <row r="2603" ht="15.75" customHeight="1">
      <c r="A2603" s="2" t="s">
        <v>565</v>
      </c>
      <c r="B2603" s="2" t="s">
        <v>108</v>
      </c>
      <c r="C2603" s="2" t="s">
        <v>1036</v>
      </c>
      <c r="D2603" s="2" t="s">
        <v>9</v>
      </c>
      <c r="E2603" s="2" t="s">
        <v>19</v>
      </c>
      <c r="F2603" s="2">
        <v>8.868876794E9</v>
      </c>
    </row>
    <row r="2604" ht="15.75" customHeight="1">
      <c r="A2604" s="2" t="s">
        <v>856</v>
      </c>
      <c r="B2604" s="2" t="s">
        <v>654</v>
      </c>
      <c r="C2604" s="2" t="s">
        <v>2501</v>
      </c>
      <c r="D2604" s="2" t="s">
        <v>29</v>
      </c>
      <c r="E2604" s="2" t="s">
        <v>2115</v>
      </c>
      <c r="F2604" s="2">
        <v>7.439145865E9</v>
      </c>
    </row>
    <row r="2605" ht="15.75" customHeight="1">
      <c r="A2605" s="2" t="s">
        <v>1517</v>
      </c>
      <c r="B2605" s="2" t="s">
        <v>212</v>
      </c>
      <c r="C2605" s="2" t="s">
        <v>2502</v>
      </c>
      <c r="D2605" s="2" t="s">
        <v>26</v>
      </c>
      <c r="E2605" s="2" t="s">
        <v>19</v>
      </c>
      <c r="F2605" s="2">
        <v>8.10222898E9</v>
      </c>
    </row>
    <row r="2606" ht="15.75" customHeight="1">
      <c r="A2606" s="2" t="s">
        <v>903</v>
      </c>
      <c r="B2606" s="2" t="s">
        <v>594</v>
      </c>
      <c r="C2606" s="2" t="s">
        <v>1998</v>
      </c>
      <c r="D2606" s="2" t="s">
        <v>44</v>
      </c>
      <c r="E2606" s="2" t="s">
        <v>19</v>
      </c>
      <c r="F2606" s="2">
        <v>7.012157792E9</v>
      </c>
    </row>
    <row r="2607" ht="15.75" customHeight="1">
      <c r="A2607" s="2" t="s">
        <v>558</v>
      </c>
      <c r="B2607" s="2" t="s">
        <v>69</v>
      </c>
      <c r="C2607" s="2" t="s">
        <v>1408</v>
      </c>
      <c r="D2607" s="2" t="s">
        <v>56</v>
      </c>
      <c r="E2607" s="2" t="s">
        <v>23</v>
      </c>
      <c r="F2607" s="2">
        <v>7.857967085E9</v>
      </c>
    </row>
    <row r="2608" ht="15.75" customHeight="1">
      <c r="A2608" s="2" t="s">
        <v>2503</v>
      </c>
      <c r="B2608" s="2" t="s">
        <v>2504</v>
      </c>
      <c r="C2608" s="2" t="s">
        <v>289</v>
      </c>
      <c r="D2608" s="2" t="s">
        <v>56</v>
      </c>
      <c r="E2608" s="2" t="s">
        <v>19</v>
      </c>
      <c r="F2608" s="2">
        <v>8.877436707E9</v>
      </c>
    </row>
    <row r="2609" ht="15.75" customHeight="1">
      <c r="A2609" s="2" t="s">
        <v>2505</v>
      </c>
      <c r="B2609" s="2" t="s">
        <v>1685</v>
      </c>
      <c r="C2609" s="2" t="s">
        <v>1458</v>
      </c>
      <c r="D2609" s="2" t="s">
        <v>29</v>
      </c>
      <c r="E2609" s="2" t="s">
        <v>19</v>
      </c>
      <c r="F2609" s="2">
        <v>8.294902902E9</v>
      </c>
    </row>
    <row r="2610" ht="15.75" customHeight="1">
      <c r="A2610" s="2" t="s">
        <v>856</v>
      </c>
      <c r="B2610" s="2" t="s">
        <v>119</v>
      </c>
      <c r="C2610" s="2" t="s">
        <v>650</v>
      </c>
      <c r="D2610" s="2" t="s">
        <v>29</v>
      </c>
      <c r="E2610" s="2" t="s">
        <v>19</v>
      </c>
      <c r="F2610" s="2">
        <v>6.207212851E9</v>
      </c>
    </row>
    <row r="2611" ht="15.75" customHeight="1">
      <c r="A2611" s="2" t="s">
        <v>1470</v>
      </c>
      <c r="B2611" s="2" t="s">
        <v>797</v>
      </c>
      <c r="C2611" s="2" t="s">
        <v>1504</v>
      </c>
      <c r="D2611" s="2" t="s">
        <v>26</v>
      </c>
      <c r="E2611" s="2" t="s">
        <v>23</v>
      </c>
      <c r="F2611" s="2">
        <v>7.739678548E9</v>
      </c>
    </row>
    <row r="2612" ht="15.75" customHeight="1">
      <c r="A2612" s="2" t="s">
        <v>903</v>
      </c>
      <c r="B2612" s="2" t="s">
        <v>982</v>
      </c>
      <c r="C2612" s="2" t="s">
        <v>2321</v>
      </c>
      <c r="D2612" s="2" t="s">
        <v>14</v>
      </c>
      <c r="E2612" s="2" t="s">
        <v>19</v>
      </c>
      <c r="F2612" s="2">
        <v>6.724367552E9</v>
      </c>
    </row>
    <row r="2613" ht="15.75" customHeight="1">
      <c r="A2613" s="2" t="s">
        <v>2506</v>
      </c>
      <c r="B2613" s="2" t="s">
        <v>21</v>
      </c>
      <c r="C2613" s="2" t="s">
        <v>729</v>
      </c>
      <c r="D2613" s="2" t="s">
        <v>26</v>
      </c>
      <c r="E2613" s="2" t="s">
        <v>19</v>
      </c>
      <c r="F2613" s="2">
        <v>7.992417516E9</v>
      </c>
    </row>
    <row r="2614" ht="15.75" customHeight="1">
      <c r="A2614" s="2" t="s">
        <v>2507</v>
      </c>
      <c r="B2614" s="2" t="s">
        <v>212</v>
      </c>
      <c r="C2614" s="2" t="s">
        <v>252</v>
      </c>
      <c r="D2614" s="2" t="s">
        <v>56</v>
      </c>
      <c r="E2614" s="2" t="s">
        <v>23</v>
      </c>
      <c r="F2614" s="2">
        <v>9.931366462E9</v>
      </c>
    </row>
    <row r="2615" ht="15.75" customHeight="1">
      <c r="A2615" s="2" t="s">
        <v>2508</v>
      </c>
      <c r="B2615" s="2" t="s">
        <v>245</v>
      </c>
      <c r="C2615" s="2" t="s">
        <v>1072</v>
      </c>
      <c r="D2615" s="2" t="s">
        <v>44</v>
      </c>
      <c r="E2615" s="2" t="s">
        <v>19</v>
      </c>
      <c r="F2615" s="2">
        <v>9.155545361E9</v>
      </c>
    </row>
    <row r="2616" ht="15.75" customHeight="1">
      <c r="A2616" s="2" t="s">
        <v>2509</v>
      </c>
      <c r="B2616" s="2" t="s">
        <v>63</v>
      </c>
      <c r="C2616" s="2" t="s">
        <v>2510</v>
      </c>
      <c r="D2616" s="2" t="s">
        <v>26</v>
      </c>
      <c r="E2616" s="2" t="s">
        <v>19</v>
      </c>
      <c r="F2616" s="2">
        <v>8.994703179E9</v>
      </c>
    </row>
    <row r="2617" ht="15.75" customHeight="1">
      <c r="A2617" s="2" t="s">
        <v>530</v>
      </c>
      <c r="B2617" s="2" t="s">
        <v>303</v>
      </c>
      <c r="C2617" s="2" t="s">
        <v>2511</v>
      </c>
      <c r="D2617" s="2" t="s">
        <v>26</v>
      </c>
      <c r="E2617" s="2" t="s">
        <v>19</v>
      </c>
      <c r="F2617" s="2">
        <v>9.931448873E9</v>
      </c>
    </row>
    <row r="2618" ht="15.75" customHeight="1">
      <c r="A2618" s="2" t="s">
        <v>2512</v>
      </c>
      <c r="B2618" s="2" t="s">
        <v>88</v>
      </c>
      <c r="C2618" s="2" t="s">
        <v>200</v>
      </c>
      <c r="D2618" s="2" t="s">
        <v>56</v>
      </c>
      <c r="E2618" s="2" t="s">
        <v>23</v>
      </c>
      <c r="F2618" s="2">
        <v>8.186641018E9</v>
      </c>
    </row>
    <row r="2619" ht="15.75" customHeight="1">
      <c r="A2619" s="2" t="s">
        <v>1867</v>
      </c>
      <c r="B2619" s="2" t="s">
        <v>24</v>
      </c>
      <c r="C2619" s="2" t="s">
        <v>289</v>
      </c>
      <c r="D2619" s="2" t="s">
        <v>26</v>
      </c>
      <c r="E2619" s="2" t="s">
        <v>19</v>
      </c>
      <c r="F2619" s="2">
        <v>7.584005522E9</v>
      </c>
    </row>
    <row r="2620" ht="15.75" customHeight="1">
      <c r="A2620" s="2" t="s">
        <v>2513</v>
      </c>
      <c r="B2620" s="2" t="s">
        <v>55</v>
      </c>
      <c r="C2620" s="2" t="s">
        <v>1458</v>
      </c>
      <c r="D2620" s="2" t="s">
        <v>26</v>
      </c>
      <c r="E2620" s="2" t="s">
        <v>23</v>
      </c>
      <c r="F2620" s="2">
        <v>6.20731471E9</v>
      </c>
    </row>
    <row r="2621" ht="15.75" customHeight="1">
      <c r="A2621" s="2" t="s">
        <v>903</v>
      </c>
      <c r="B2621" s="2" t="s">
        <v>220</v>
      </c>
      <c r="C2621" s="2" t="s">
        <v>763</v>
      </c>
      <c r="D2621" s="2" t="s">
        <v>26</v>
      </c>
      <c r="E2621" s="2" t="s">
        <v>19</v>
      </c>
      <c r="F2621" s="2">
        <v>7.903112137E9</v>
      </c>
    </row>
    <row r="2622" ht="15.75" customHeight="1">
      <c r="A2622" s="2" t="s">
        <v>1450</v>
      </c>
      <c r="B2622" s="2" t="s">
        <v>50</v>
      </c>
      <c r="C2622" s="2" t="s">
        <v>1375</v>
      </c>
      <c r="D2622" s="2" t="s">
        <v>14</v>
      </c>
      <c r="E2622" s="2" t="s">
        <v>19</v>
      </c>
      <c r="F2622" s="2">
        <v>9.905297566E9</v>
      </c>
    </row>
    <row r="2623" ht="15.75" customHeight="1">
      <c r="A2623" s="2" t="s">
        <v>2514</v>
      </c>
      <c r="B2623" s="2" t="s">
        <v>55</v>
      </c>
      <c r="C2623" s="2" t="s">
        <v>246</v>
      </c>
      <c r="D2623" s="2" t="s">
        <v>56</v>
      </c>
      <c r="E2623" s="2" t="s">
        <v>23</v>
      </c>
      <c r="F2623" s="2">
        <v>7.033297288E9</v>
      </c>
    </row>
    <row r="2624" ht="15.75" customHeight="1">
      <c r="A2624" s="2" t="s">
        <v>80</v>
      </c>
      <c r="B2624" s="2" t="s">
        <v>21</v>
      </c>
      <c r="C2624" s="2" t="s">
        <v>162</v>
      </c>
      <c r="D2624" s="2" t="s">
        <v>26</v>
      </c>
      <c r="E2624" s="2" t="s">
        <v>19</v>
      </c>
      <c r="F2624" s="2">
        <v>8.678643677E9</v>
      </c>
    </row>
    <row r="2625" ht="15.75" customHeight="1">
      <c r="A2625" s="2" t="s">
        <v>2515</v>
      </c>
      <c r="B2625" s="2" t="s">
        <v>63</v>
      </c>
      <c r="C2625" s="2" t="s">
        <v>423</v>
      </c>
      <c r="D2625" s="2" t="s">
        <v>14</v>
      </c>
      <c r="E2625" s="2" t="s">
        <v>19</v>
      </c>
      <c r="F2625" s="2">
        <v>8.769423813E9</v>
      </c>
    </row>
    <row r="2626" ht="15.75" customHeight="1">
      <c r="A2626" s="2" t="s">
        <v>1218</v>
      </c>
      <c r="B2626" s="2" t="s">
        <v>65</v>
      </c>
      <c r="C2626" s="2" t="s">
        <v>330</v>
      </c>
      <c r="D2626" s="2" t="s">
        <v>9</v>
      </c>
      <c r="E2626" s="2" t="s">
        <v>19</v>
      </c>
      <c r="F2626" s="2">
        <v>9.693948399E9</v>
      </c>
    </row>
    <row r="2627" ht="15.75" customHeight="1">
      <c r="A2627" s="2" t="s">
        <v>2516</v>
      </c>
      <c r="B2627" s="2" t="s">
        <v>91</v>
      </c>
      <c r="C2627" s="2" t="s">
        <v>246</v>
      </c>
      <c r="D2627" s="2" t="s">
        <v>29</v>
      </c>
      <c r="E2627" s="2" t="s">
        <v>23</v>
      </c>
      <c r="F2627" s="2">
        <v>7.042094001E9</v>
      </c>
    </row>
    <row r="2628" ht="15.75" customHeight="1">
      <c r="A2628" s="2" t="s">
        <v>2517</v>
      </c>
      <c r="B2628" s="2" t="s">
        <v>55</v>
      </c>
      <c r="C2628" s="2" t="s">
        <v>2518</v>
      </c>
      <c r="D2628" s="2" t="s">
        <v>26</v>
      </c>
      <c r="E2628" s="2" t="s">
        <v>19</v>
      </c>
      <c r="F2628" s="2">
        <v>6.20634849E9</v>
      </c>
    </row>
    <row r="2629" ht="15.75" customHeight="1">
      <c r="A2629" s="2" t="s">
        <v>1383</v>
      </c>
      <c r="B2629" s="2" t="s">
        <v>63</v>
      </c>
      <c r="C2629" s="2" t="s">
        <v>970</v>
      </c>
      <c r="D2629" s="2" t="s">
        <v>26</v>
      </c>
      <c r="E2629" s="2" t="s">
        <v>19</v>
      </c>
      <c r="F2629" s="2">
        <v>8.507046077E9</v>
      </c>
    </row>
    <row r="2630" ht="15.75" customHeight="1">
      <c r="A2630" s="2" t="s">
        <v>762</v>
      </c>
      <c r="B2630" s="2" t="s">
        <v>50</v>
      </c>
      <c r="C2630" s="2" t="s">
        <v>162</v>
      </c>
      <c r="D2630" s="2" t="s">
        <v>9</v>
      </c>
      <c r="E2630" s="2" t="s">
        <v>23</v>
      </c>
      <c r="F2630" s="2">
        <v>6.202841916E9</v>
      </c>
    </row>
    <row r="2631" ht="15.75" customHeight="1">
      <c r="A2631" s="2" t="s">
        <v>2519</v>
      </c>
      <c r="B2631" s="2" t="s">
        <v>220</v>
      </c>
      <c r="C2631" s="2" t="s">
        <v>2520</v>
      </c>
      <c r="D2631" s="2" t="s">
        <v>26</v>
      </c>
      <c r="E2631" s="2" t="s">
        <v>19</v>
      </c>
      <c r="F2631" s="2">
        <v>8.709102788E9</v>
      </c>
    </row>
    <row r="2632" ht="15.75" customHeight="1">
      <c r="A2632" s="2" t="s">
        <v>2521</v>
      </c>
      <c r="B2632" s="2" t="s">
        <v>2521</v>
      </c>
      <c r="C2632" s="2" t="s">
        <v>1010</v>
      </c>
      <c r="D2632" s="2" t="s">
        <v>26</v>
      </c>
      <c r="E2632" s="2" t="s">
        <v>19</v>
      </c>
      <c r="F2632" s="2">
        <v>9.608710131E9</v>
      </c>
    </row>
    <row r="2633" ht="15.75" customHeight="1">
      <c r="A2633" s="2" t="s">
        <v>1570</v>
      </c>
      <c r="B2633" s="2" t="s">
        <v>55</v>
      </c>
      <c r="C2633" s="2" t="s">
        <v>200</v>
      </c>
      <c r="D2633" s="2" t="s">
        <v>56</v>
      </c>
      <c r="E2633" s="2" t="s">
        <v>23</v>
      </c>
      <c r="F2633" s="2">
        <v>9.523328938E9</v>
      </c>
    </row>
    <row r="2634" ht="15.75" customHeight="1">
      <c r="A2634" s="2" t="s">
        <v>1842</v>
      </c>
      <c r="B2634" s="2" t="s">
        <v>50</v>
      </c>
      <c r="C2634" s="2" t="s">
        <v>2522</v>
      </c>
      <c r="D2634" s="2" t="s">
        <v>14</v>
      </c>
      <c r="E2634" s="2" t="s">
        <v>19</v>
      </c>
      <c r="F2634" s="2">
        <v>9.304457752E9</v>
      </c>
    </row>
    <row r="2635" ht="15.75" customHeight="1">
      <c r="A2635" s="2" t="s">
        <v>903</v>
      </c>
      <c r="B2635" s="2" t="s">
        <v>191</v>
      </c>
      <c r="C2635" s="2" t="s">
        <v>235</v>
      </c>
      <c r="D2635" s="2" t="s">
        <v>26</v>
      </c>
      <c r="E2635" s="2" t="s">
        <v>19</v>
      </c>
      <c r="F2635" s="2">
        <v>9.795449047E9</v>
      </c>
    </row>
    <row r="2636" ht="15.75" customHeight="1">
      <c r="A2636" s="2" t="s">
        <v>2523</v>
      </c>
      <c r="B2636" s="2" t="s">
        <v>664</v>
      </c>
      <c r="C2636" s="2" t="s">
        <v>1050</v>
      </c>
      <c r="D2636" s="2" t="s">
        <v>56</v>
      </c>
      <c r="E2636" s="2" t="s">
        <v>19</v>
      </c>
      <c r="F2636" s="2">
        <v>9.572116925E9</v>
      </c>
    </row>
    <row r="2637" ht="15.75" customHeight="1">
      <c r="A2637" s="2" t="s">
        <v>120</v>
      </c>
      <c r="B2637" s="2" t="s">
        <v>50</v>
      </c>
      <c r="C2637" s="2" t="s">
        <v>162</v>
      </c>
      <c r="D2637" s="2" t="s">
        <v>26</v>
      </c>
      <c r="E2637" s="2" t="s">
        <v>23</v>
      </c>
      <c r="F2637" s="2">
        <v>6.200716243E9</v>
      </c>
    </row>
    <row r="2638" ht="15.75" customHeight="1">
      <c r="A2638" s="2" t="s">
        <v>67</v>
      </c>
      <c r="B2638" s="2" t="s">
        <v>108</v>
      </c>
      <c r="C2638" s="2" t="s">
        <v>2524</v>
      </c>
      <c r="D2638" s="2" t="s">
        <v>26</v>
      </c>
      <c r="E2638" s="2" t="s">
        <v>19</v>
      </c>
      <c r="F2638" s="2">
        <v>9.431101128E9</v>
      </c>
    </row>
    <row r="2639" ht="15.75" customHeight="1">
      <c r="A2639" s="2" t="s">
        <v>272</v>
      </c>
      <c r="B2639" s="2" t="s">
        <v>55</v>
      </c>
      <c r="C2639" s="2" t="s">
        <v>1458</v>
      </c>
      <c r="D2639" s="2" t="s">
        <v>26</v>
      </c>
      <c r="E2639" s="2" t="s">
        <v>23</v>
      </c>
      <c r="F2639" s="2">
        <v>7.282865613E9</v>
      </c>
    </row>
    <row r="2640" ht="15.75" customHeight="1">
      <c r="A2640" s="2" t="s">
        <v>911</v>
      </c>
      <c r="B2640" s="2" t="s">
        <v>212</v>
      </c>
      <c r="C2640" s="2" t="s">
        <v>729</v>
      </c>
      <c r="D2640" s="2" t="s">
        <v>56</v>
      </c>
      <c r="E2640" s="2" t="s">
        <v>19</v>
      </c>
      <c r="F2640" s="2">
        <v>7.484590561E9</v>
      </c>
    </row>
    <row r="2641" ht="15.75" customHeight="1">
      <c r="A2641" s="2" t="s">
        <v>1824</v>
      </c>
      <c r="B2641" s="2" t="s">
        <v>63</v>
      </c>
      <c r="C2641" s="2" t="s">
        <v>655</v>
      </c>
      <c r="D2641" s="2" t="s">
        <v>56</v>
      </c>
      <c r="E2641" s="2" t="s">
        <v>19</v>
      </c>
      <c r="F2641" s="2">
        <v>7.209999402E9</v>
      </c>
    </row>
    <row r="2642" ht="15.75" customHeight="1">
      <c r="A2642" s="2" t="s">
        <v>2525</v>
      </c>
      <c r="B2642" s="2" t="s">
        <v>63</v>
      </c>
      <c r="C2642" s="2" t="s">
        <v>305</v>
      </c>
      <c r="D2642" s="2" t="s">
        <v>26</v>
      </c>
      <c r="E2642" s="2" t="s">
        <v>19</v>
      </c>
      <c r="F2642" s="2">
        <v>6.202551545E9</v>
      </c>
    </row>
    <row r="2643" ht="15.75" customHeight="1">
      <c r="A2643" s="2" t="s">
        <v>163</v>
      </c>
      <c r="B2643" s="2" t="s">
        <v>153</v>
      </c>
      <c r="C2643" s="2" t="s">
        <v>289</v>
      </c>
      <c r="D2643" s="2" t="s">
        <v>56</v>
      </c>
      <c r="E2643" s="2" t="s">
        <v>19</v>
      </c>
      <c r="F2643" s="2">
        <v>9.708936994E9</v>
      </c>
    </row>
    <row r="2644" ht="15.75" customHeight="1">
      <c r="A2644" s="2" t="s">
        <v>1517</v>
      </c>
      <c r="B2644" s="2" t="s">
        <v>63</v>
      </c>
      <c r="C2644" s="2" t="s">
        <v>305</v>
      </c>
      <c r="D2644" s="2" t="s">
        <v>56</v>
      </c>
      <c r="E2644" s="2" t="s">
        <v>19</v>
      </c>
      <c r="F2644" s="2">
        <v>9.060803478E9</v>
      </c>
    </row>
    <row r="2645" ht="15.75" customHeight="1">
      <c r="A2645" s="2" t="s">
        <v>2526</v>
      </c>
      <c r="B2645" s="2" t="s">
        <v>153</v>
      </c>
      <c r="C2645" s="2" t="s">
        <v>1665</v>
      </c>
      <c r="D2645" s="2" t="s">
        <v>26</v>
      </c>
      <c r="E2645" s="2" t="s">
        <v>19</v>
      </c>
      <c r="F2645" s="2">
        <v>7.362802431E9</v>
      </c>
    </row>
    <row r="2646" ht="15.75" customHeight="1">
      <c r="A2646" s="2" t="s">
        <v>2075</v>
      </c>
      <c r="B2646" s="2" t="s">
        <v>63</v>
      </c>
      <c r="C2646" s="2" t="s">
        <v>162</v>
      </c>
      <c r="D2646" s="2" t="s">
        <v>44</v>
      </c>
      <c r="E2646" s="2" t="s">
        <v>23</v>
      </c>
      <c r="F2646" s="2">
        <v>8.540028049E9</v>
      </c>
    </row>
    <row r="2647" ht="15.75" customHeight="1">
      <c r="A2647" s="2" t="s">
        <v>1824</v>
      </c>
      <c r="B2647" s="2" t="s">
        <v>119</v>
      </c>
      <c r="C2647" s="2" t="s">
        <v>793</v>
      </c>
      <c r="D2647" s="2" t="s">
        <v>26</v>
      </c>
      <c r="E2647" s="2" t="s">
        <v>19</v>
      </c>
      <c r="F2647" s="2">
        <v>6.287673078E9</v>
      </c>
    </row>
    <row r="2648" ht="15.75" customHeight="1">
      <c r="A2648" s="2" t="s">
        <v>2527</v>
      </c>
      <c r="B2648" s="2" t="s">
        <v>220</v>
      </c>
      <c r="C2648" s="2" t="s">
        <v>235</v>
      </c>
      <c r="D2648" s="2" t="s">
        <v>26</v>
      </c>
      <c r="E2648" s="2" t="s">
        <v>19</v>
      </c>
      <c r="F2648" s="2">
        <v>8.849536512E9</v>
      </c>
    </row>
    <row r="2649" ht="15.75" customHeight="1">
      <c r="A2649" s="2" t="s">
        <v>1824</v>
      </c>
      <c r="B2649" s="2" t="s">
        <v>119</v>
      </c>
      <c r="C2649" s="2" t="s">
        <v>449</v>
      </c>
      <c r="D2649" s="2" t="s">
        <v>26</v>
      </c>
      <c r="E2649" s="2" t="s">
        <v>19</v>
      </c>
      <c r="F2649" s="2">
        <v>8.409420083E9</v>
      </c>
    </row>
    <row r="2650" ht="15.75" customHeight="1">
      <c r="A2650" s="2" t="s">
        <v>456</v>
      </c>
      <c r="B2650" s="2" t="s">
        <v>456</v>
      </c>
      <c r="C2650" s="2" t="s">
        <v>1010</v>
      </c>
      <c r="D2650" s="2" t="s">
        <v>26</v>
      </c>
      <c r="E2650" s="2" t="s">
        <v>19</v>
      </c>
      <c r="F2650" s="2">
        <v>8.210984947E9</v>
      </c>
    </row>
    <row r="2651" ht="15.75" customHeight="1">
      <c r="A2651" s="2" t="s">
        <v>2528</v>
      </c>
      <c r="B2651" s="2" t="s">
        <v>332</v>
      </c>
      <c r="C2651" s="2" t="s">
        <v>939</v>
      </c>
      <c r="D2651" s="2" t="s">
        <v>26</v>
      </c>
      <c r="E2651" s="2" t="s">
        <v>19</v>
      </c>
      <c r="F2651" s="2">
        <v>6.723345998E9</v>
      </c>
    </row>
    <row r="2652" ht="15.75" customHeight="1">
      <c r="A2652" s="2" t="s">
        <v>2529</v>
      </c>
      <c r="B2652" s="2" t="s">
        <v>2530</v>
      </c>
      <c r="C2652" s="2" t="s">
        <v>2531</v>
      </c>
      <c r="D2652" s="2" t="s">
        <v>26</v>
      </c>
      <c r="E2652" s="2" t="s">
        <v>23</v>
      </c>
      <c r="F2652" s="2">
        <v>9.431126874E9</v>
      </c>
    </row>
    <row r="2653" ht="15.75" customHeight="1">
      <c r="A2653" s="2" t="s">
        <v>1845</v>
      </c>
      <c r="B2653" s="2" t="s">
        <v>65</v>
      </c>
      <c r="C2653" s="2" t="s">
        <v>171</v>
      </c>
      <c r="D2653" s="2" t="s">
        <v>56</v>
      </c>
      <c r="E2653" s="2" t="s">
        <v>19</v>
      </c>
      <c r="F2653" s="2">
        <v>6.299039092E9</v>
      </c>
    </row>
    <row r="2654" ht="15.75" customHeight="1">
      <c r="A2654" s="2" t="s">
        <v>2532</v>
      </c>
      <c r="B2654" s="2" t="s">
        <v>2533</v>
      </c>
      <c r="C2654" s="2" t="s">
        <v>1906</v>
      </c>
      <c r="D2654" s="2" t="s">
        <v>26</v>
      </c>
      <c r="E2654" s="2" t="s">
        <v>19</v>
      </c>
      <c r="F2654" s="2">
        <v>9.110918564E9</v>
      </c>
    </row>
    <row r="2655" ht="15.75" customHeight="1">
      <c r="A2655" s="2" t="s">
        <v>2534</v>
      </c>
      <c r="B2655" s="2" t="s">
        <v>50</v>
      </c>
      <c r="C2655" s="2" t="s">
        <v>423</v>
      </c>
      <c r="D2655" s="2" t="s">
        <v>44</v>
      </c>
      <c r="E2655" s="2" t="s">
        <v>19</v>
      </c>
      <c r="F2655" s="2">
        <v>8.010836171E9</v>
      </c>
    </row>
    <row r="2656" ht="15.75" customHeight="1">
      <c r="A2656" s="2" t="s">
        <v>2535</v>
      </c>
      <c r="B2656" s="2" t="s">
        <v>2536</v>
      </c>
      <c r="C2656" s="2" t="s">
        <v>2537</v>
      </c>
      <c r="D2656" s="2" t="s">
        <v>56</v>
      </c>
      <c r="E2656" s="2" t="s">
        <v>23</v>
      </c>
      <c r="F2656" s="2">
        <v>9.431592493E9</v>
      </c>
    </row>
    <row r="2657" ht="15.75" customHeight="1">
      <c r="A2657" s="2" t="s">
        <v>516</v>
      </c>
      <c r="B2657" s="2" t="s">
        <v>63</v>
      </c>
      <c r="C2657" s="2" t="s">
        <v>2538</v>
      </c>
      <c r="D2657" s="2" t="s">
        <v>26</v>
      </c>
      <c r="E2657" s="2" t="s">
        <v>19</v>
      </c>
      <c r="F2657" s="2">
        <v>6.231763217E9</v>
      </c>
    </row>
    <row r="2658" ht="15.75" customHeight="1">
      <c r="A2658" s="2" t="s">
        <v>2539</v>
      </c>
      <c r="B2658" s="2" t="s">
        <v>2539</v>
      </c>
      <c r="C2658" s="2" t="s">
        <v>1665</v>
      </c>
      <c r="D2658" s="2" t="s">
        <v>26</v>
      </c>
      <c r="E2658" s="2" t="s">
        <v>19</v>
      </c>
      <c r="F2658" s="2">
        <v>6.203844865E9</v>
      </c>
    </row>
    <row r="2659" ht="15.75" customHeight="1">
      <c r="A2659" s="2" t="s">
        <v>125</v>
      </c>
      <c r="B2659" s="2" t="s">
        <v>1954</v>
      </c>
      <c r="C2659" s="2" t="s">
        <v>1010</v>
      </c>
      <c r="D2659" s="2" t="s">
        <v>26</v>
      </c>
      <c r="E2659" s="2" t="s">
        <v>19</v>
      </c>
      <c r="F2659" s="2">
        <v>6.299740065E9</v>
      </c>
    </row>
    <row r="2660" ht="15.75" customHeight="1">
      <c r="A2660" s="2" t="s">
        <v>2540</v>
      </c>
      <c r="B2660" s="2" t="s">
        <v>55</v>
      </c>
      <c r="C2660" s="2" t="s">
        <v>939</v>
      </c>
      <c r="D2660" s="2" t="s">
        <v>44</v>
      </c>
      <c r="E2660" s="2" t="s">
        <v>23</v>
      </c>
      <c r="F2660" s="2">
        <v>9.892435363E9</v>
      </c>
    </row>
    <row r="2661" ht="15.75" customHeight="1">
      <c r="A2661" s="2" t="s">
        <v>516</v>
      </c>
      <c r="B2661" s="2" t="s">
        <v>960</v>
      </c>
      <c r="C2661" s="2" t="s">
        <v>1036</v>
      </c>
      <c r="D2661" s="2" t="s">
        <v>14</v>
      </c>
      <c r="E2661" s="2" t="s">
        <v>19</v>
      </c>
      <c r="F2661" s="2">
        <v>7.992327988E9</v>
      </c>
    </row>
    <row r="2662" ht="15.75" customHeight="1">
      <c r="A2662" s="2" t="s">
        <v>2541</v>
      </c>
      <c r="B2662" s="2" t="s">
        <v>88</v>
      </c>
      <c r="C2662" s="2" t="s">
        <v>277</v>
      </c>
      <c r="D2662" s="2" t="s">
        <v>9</v>
      </c>
      <c r="E2662" s="2" t="s">
        <v>2542</v>
      </c>
      <c r="F2662" s="2">
        <v>8.228980388E9</v>
      </c>
    </row>
    <row r="2663" ht="15.75" customHeight="1">
      <c r="A2663" s="2" t="s">
        <v>381</v>
      </c>
      <c r="B2663" s="2" t="s">
        <v>50</v>
      </c>
      <c r="C2663" s="2" t="s">
        <v>305</v>
      </c>
      <c r="D2663" s="2" t="s">
        <v>26</v>
      </c>
      <c r="E2663" s="2" t="s">
        <v>19</v>
      </c>
      <c r="F2663" s="2">
        <v>9.155830461E9</v>
      </c>
    </row>
    <row r="2664" ht="15.75" customHeight="1">
      <c r="A2664" s="2" t="s">
        <v>2540</v>
      </c>
      <c r="B2664" s="2" t="s">
        <v>2543</v>
      </c>
      <c r="C2664" s="2" t="s">
        <v>844</v>
      </c>
      <c r="D2664" s="2" t="s">
        <v>9</v>
      </c>
      <c r="E2664" s="2" t="s">
        <v>23</v>
      </c>
      <c r="F2664" s="2">
        <v>6.298251247E9</v>
      </c>
    </row>
    <row r="2665" ht="15.75" customHeight="1">
      <c r="A2665" s="2" t="s">
        <v>446</v>
      </c>
      <c r="B2665" s="2" t="s">
        <v>50</v>
      </c>
      <c r="C2665" s="2" t="s">
        <v>2544</v>
      </c>
      <c r="D2665" s="2" t="s">
        <v>14</v>
      </c>
      <c r="E2665" s="2" t="s">
        <v>19</v>
      </c>
      <c r="F2665" s="2">
        <v>8.215507904E9</v>
      </c>
    </row>
    <row r="2666" ht="15.75" customHeight="1">
      <c r="A2666" s="2" t="s">
        <v>2545</v>
      </c>
      <c r="B2666" s="2" t="s">
        <v>2545</v>
      </c>
      <c r="C2666" s="2" t="s">
        <v>1010</v>
      </c>
      <c r="D2666" s="2" t="s">
        <v>26</v>
      </c>
      <c r="E2666" s="2" t="s">
        <v>19</v>
      </c>
      <c r="F2666" s="2">
        <v>8.936084562E9</v>
      </c>
    </row>
    <row r="2667" ht="15.75" customHeight="1">
      <c r="A2667" s="2" t="s">
        <v>2546</v>
      </c>
      <c r="B2667" s="2" t="s">
        <v>88</v>
      </c>
      <c r="C2667" s="2" t="s">
        <v>667</v>
      </c>
      <c r="D2667" s="2" t="s">
        <v>26</v>
      </c>
      <c r="E2667" s="2" t="s">
        <v>23</v>
      </c>
      <c r="F2667" s="2">
        <v>7.2059895E9</v>
      </c>
    </row>
    <row r="2668" ht="15.75" customHeight="1">
      <c r="A2668" s="2" t="s">
        <v>217</v>
      </c>
      <c r="B2668" s="2" t="s">
        <v>119</v>
      </c>
      <c r="C2668" s="2" t="s">
        <v>1443</v>
      </c>
      <c r="D2668" s="2" t="s">
        <v>56</v>
      </c>
      <c r="E2668" s="2" t="s">
        <v>19</v>
      </c>
      <c r="F2668" s="2">
        <v>9.572532143E9</v>
      </c>
    </row>
    <row r="2669" ht="15.75" customHeight="1">
      <c r="A2669" s="2" t="s">
        <v>866</v>
      </c>
      <c r="B2669" s="2" t="s">
        <v>212</v>
      </c>
      <c r="C2669" s="2" t="s">
        <v>648</v>
      </c>
      <c r="D2669" s="2" t="s">
        <v>56</v>
      </c>
      <c r="E2669" s="2" t="s">
        <v>23</v>
      </c>
      <c r="F2669" s="2">
        <v>8.409489631E9</v>
      </c>
    </row>
    <row r="2670" ht="15.75" customHeight="1">
      <c r="A2670" s="2" t="s">
        <v>2547</v>
      </c>
      <c r="B2670" s="2" t="s">
        <v>1850</v>
      </c>
      <c r="C2670" s="2" t="s">
        <v>305</v>
      </c>
      <c r="D2670" s="2" t="s">
        <v>56</v>
      </c>
      <c r="E2670" s="2" t="s">
        <v>19</v>
      </c>
      <c r="F2670" s="2">
        <v>8.210719519E9</v>
      </c>
    </row>
    <row r="2671" ht="15.75" customHeight="1">
      <c r="A2671" s="2" t="s">
        <v>2548</v>
      </c>
      <c r="B2671" s="2" t="s">
        <v>112</v>
      </c>
      <c r="C2671" s="2" t="s">
        <v>1665</v>
      </c>
      <c r="D2671" s="2" t="s">
        <v>14</v>
      </c>
      <c r="E2671" s="2" t="s">
        <v>19</v>
      </c>
      <c r="F2671" s="2">
        <v>7.520223169E9</v>
      </c>
    </row>
    <row r="2672" ht="15.75" customHeight="1">
      <c r="A2672" s="2" t="s">
        <v>728</v>
      </c>
      <c r="B2672" s="2" t="s">
        <v>207</v>
      </c>
      <c r="C2672" s="2" t="s">
        <v>2175</v>
      </c>
      <c r="D2672" s="2" t="s">
        <v>14</v>
      </c>
      <c r="E2672" s="2" t="s">
        <v>23</v>
      </c>
      <c r="F2672" s="2">
        <v>7.403920803E9</v>
      </c>
    </row>
    <row r="2673" ht="15.75" customHeight="1">
      <c r="A2673" s="2" t="s">
        <v>2445</v>
      </c>
      <c r="B2673" s="2" t="s">
        <v>2445</v>
      </c>
      <c r="C2673" s="2" t="s">
        <v>1010</v>
      </c>
      <c r="D2673" s="2" t="s">
        <v>26</v>
      </c>
      <c r="E2673" s="2" t="s">
        <v>19</v>
      </c>
      <c r="F2673" s="2">
        <v>7.634934479E9</v>
      </c>
    </row>
    <row r="2674" ht="15.75" customHeight="1">
      <c r="A2674" s="2" t="s">
        <v>2549</v>
      </c>
      <c r="B2674" s="2" t="s">
        <v>552</v>
      </c>
      <c r="C2674" s="2" t="s">
        <v>2123</v>
      </c>
      <c r="D2674" s="2" t="s">
        <v>14</v>
      </c>
      <c r="E2674" s="2" t="s">
        <v>23</v>
      </c>
      <c r="F2674" s="2">
        <v>6.206882742E9</v>
      </c>
    </row>
    <row r="2675" ht="15.75" customHeight="1">
      <c r="A2675" s="2" t="s">
        <v>1437</v>
      </c>
      <c r="B2675" s="2" t="s">
        <v>1437</v>
      </c>
      <c r="C2675" s="2" t="s">
        <v>1010</v>
      </c>
      <c r="D2675" s="2" t="s">
        <v>26</v>
      </c>
      <c r="E2675" s="2" t="s">
        <v>19</v>
      </c>
      <c r="F2675" s="2">
        <v>9.060178223E9</v>
      </c>
    </row>
    <row r="2676" ht="15.75" customHeight="1">
      <c r="A2676" s="2" t="s">
        <v>575</v>
      </c>
      <c r="B2676" s="2" t="s">
        <v>303</v>
      </c>
      <c r="C2676" s="2" t="s">
        <v>543</v>
      </c>
      <c r="D2676" s="2" t="s">
        <v>9</v>
      </c>
      <c r="E2676" s="2" t="s">
        <v>23</v>
      </c>
      <c r="F2676" s="2">
        <v>9.30484604E9</v>
      </c>
    </row>
    <row r="2677" ht="15.75" customHeight="1">
      <c r="A2677" s="2" t="s">
        <v>2550</v>
      </c>
      <c r="B2677" s="2" t="s">
        <v>276</v>
      </c>
      <c r="C2677" s="2" t="s">
        <v>2175</v>
      </c>
      <c r="D2677" s="2" t="s">
        <v>56</v>
      </c>
      <c r="E2677" s="2" t="s">
        <v>23</v>
      </c>
      <c r="F2677" s="2">
        <v>9.305201171E9</v>
      </c>
    </row>
    <row r="2678" ht="15.75" customHeight="1">
      <c r="A2678" s="2" t="s">
        <v>549</v>
      </c>
      <c r="B2678" s="2" t="s">
        <v>63</v>
      </c>
      <c r="C2678" s="2" t="s">
        <v>2070</v>
      </c>
      <c r="D2678" s="2" t="s">
        <v>44</v>
      </c>
      <c r="E2678" s="2" t="s">
        <v>19</v>
      </c>
      <c r="F2678" s="2">
        <v>7.464039092E9</v>
      </c>
    </row>
    <row r="2679" ht="15.75" customHeight="1">
      <c r="A2679" s="2" t="s">
        <v>2551</v>
      </c>
      <c r="B2679" s="2" t="s">
        <v>88</v>
      </c>
      <c r="C2679" s="2" t="s">
        <v>2552</v>
      </c>
      <c r="D2679" s="2" t="s">
        <v>44</v>
      </c>
      <c r="E2679" s="2" t="s">
        <v>23</v>
      </c>
      <c r="F2679" s="2">
        <v>9.431929307E9</v>
      </c>
    </row>
    <row r="2680" ht="15.75" customHeight="1">
      <c r="A2680" s="2" t="s">
        <v>2553</v>
      </c>
      <c r="B2680" s="2" t="s">
        <v>2553</v>
      </c>
      <c r="C2680" s="2" t="s">
        <v>1010</v>
      </c>
      <c r="D2680" s="2" t="s">
        <v>26</v>
      </c>
      <c r="E2680" s="2" t="s">
        <v>19</v>
      </c>
      <c r="F2680" s="2">
        <v>9.608012856E9</v>
      </c>
    </row>
    <row r="2681" ht="15.75" customHeight="1">
      <c r="A2681" s="2" t="s">
        <v>2554</v>
      </c>
      <c r="B2681" s="2" t="s">
        <v>382</v>
      </c>
      <c r="C2681" s="2" t="s">
        <v>867</v>
      </c>
      <c r="D2681" s="2" t="s">
        <v>44</v>
      </c>
      <c r="E2681" s="2" t="s">
        <v>19</v>
      </c>
      <c r="F2681" s="2">
        <v>9.479417775E9</v>
      </c>
    </row>
    <row r="2682" ht="15.75" customHeight="1">
      <c r="A2682" s="2" t="s">
        <v>2555</v>
      </c>
      <c r="B2682" s="2" t="s">
        <v>2556</v>
      </c>
      <c r="C2682" s="2" t="s">
        <v>713</v>
      </c>
      <c r="D2682" s="2" t="s">
        <v>56</v>
      </c>
      <c r="E2682" s="2" t="s">
        <v>23</v>
      </c>
      <c r="F2682" s="2">
        <v>7.277371445E9</v>
      </c>
    </row>
    <row r="2683" ht="15.75" customHeight="1">
      <c r="A2683" s="2" t="s">
        <v>2557</v>
      </c>
      <c r="B2683" s="2" t="s">
        <v>2557</v>
      </c>
      <c r="C2683" s="2" t="s">
        <v>2123</v>
      </c>
      <c r="D2683" s="2" t="s">
        <v>14</v>
      </c>
      <c r="E2683" s="2" t="s">
        <v>23</v>
      </c>
      <c r="F2683" s="2">
        <v>9.234763475E9</v>
      </c>
    </row>
    <row r="2684" ht="15.75" customHeight="1">
      <c r="A2684" s="2" t="s">
        <v>134</v>
      </c>
      <c r="B2684" s="2" t="s">
        <v>63</v>
      </c>
      <c r="C2684" s="2" t="s">
        <v>867</v>
      </c>
      <c r="D2684" s="2" t="s">
        <v>29</v>
      </c>
      <c r="E2684" s="2" t="s">
        <v>282</v>
      </c>
      <c r="F2684" s="2">
        <v>7.276098428E9</v>
      </c>
    </row>
    <row r="2685" ht="15.75" customHeight="1">
      <c r="A2685" s="2" t="s">
        <v>2558</v>
      </c>
      <c r="B2685" s="2" t="s">
        <v>2559</v>
      </c>
      <c r="C2685" s="2" t="s">
        <v>536</v>
      </c>
      <c r="D2685" s="2" t="s">
        <v>26</v>
      </c>
      <c r="E2685" s="2" t="s">
        <v>19</v>
      </c>
      <c r="F2685" s="2">
        <v>8.114565987E9</v>
      </c>
    </row>
    <row r="2686" ht="15.75" customHeight="1">
      <c r="A2686" s="2" t="s">
        <v>2560</v>
      </c>
      <c r="B2686" s="2" t="s">
        <v>55</v>
      </c>
      <c r="C2686" s="2" t="s">
        <v>2561</v>
      </c>
      <c r="D2686" s="2" t="s">
        <v>29</v>
      </c>
      <c r="E2686" s="2" t="s">
        <v>23</v>
      </c>
      <c r="F2686" s="2">
        <v>9.771688471E9</v>
      </c>
    </row>
    <row r="2687" ht="15.75" customHeight="1">
      <c r="A2687" s="2" t="s">
        <v>2562</v>
      </c>
      <c r="B2687" s="2" t="s">
        <v>119</v>
      </c>
      <c r="C2687" s="2" t="s">
        <v>1139</v>
      </c>
      <c r="D2687" s="2" t="s">
        <v>9</v>
      </c>
      <c r="E2687" s="2" t="s">
        <v>19</v>
      </c>
      <c r="F2687" s="2">
        <v>7.209187397E9</v>
      </c>
    </row>
    <row r="2688" ht="15.75" customHeight="1">
      <c r="A2688" s="2" t="s">
        <v>2488</v>
      </c>
      <c r="B2688" s="2" t="s">
        <v>2488</v>
      </c>
      <c r="C2688" s="2" t="s">
        <v>1010</v>
      </c>
      <c r="D2688" s="2" t="s">
        <v>26</v>
      </c>
      <c r="E2688" s="2" t="s">
        <v>19</v>
      </c>
      <c r="F2688" s="2">
        <v>8.709147117E9</v>
      </c>
    </row>
    <row r="2689" ht="15.75" customHeight="1">
      <c r="A2689" s="2" t="s">
        <v>2563</v>
      </c>
      <c r="B2689" s="2" t="s">
        <v>471</v>
      </c>
      <c r="C2689" s="2" t="s">
        <v>844</v>
      </c>
      <c r="D2689" s="2" t="s">
        <v>9</v>
      </c>
      <c r="E2689" s="2" t="s">
        <v>23</v>
      </c>
      <c r="F2689" s="2">
        <v>9.939580936E9</v>
      </c>
    </row>
    <row r="2690" ht="15.75" customHeight="1">
      <c r="A2690" s="2" t="s">
        <v>2562</v>
      </c>
      <c r="B2690" s="2" t="s">
        <v>78</v>
      </c>
      <c r="C2690" s="2" t="s">
        <v>763</v>
      </c>
      <c r="D2690" s="2" t="s">
        <v>14</v>
      </c>
      <c r="E2690" s="2" t="s">
        <v>19</v>
      </c>
      <c r="F2690" s="2">
        <v>9.204738976E9</v>
      </c>
    </row>
    <row r="2691" ht="15.75" customHeight="1">
      <c r="A2691" s="2" t="s">
        <v>1218</v>
      </c>
      <c r="B2691" s="2" t="s">
        <v>63</v>
      </c>
      <c r="C2691" s="2" t="s">
        <v>252</v>
      </c>
      <c r="D2691" s="2" t="s">
        <v>9</v>
      </c>
      <c r="E2691" s="2" t="s">
        <v>19</v>
      </c>
      <c r="F2691" s="2">
        <v>7.079893199E9</v>
      </c>
    </row>
    <row r="2692" ht="15.75" customHeight="1">
      <c r="A2692" s="2" t="s">
        <v>2564</v>
      </c>
      <c r="B2692" s="2" t="s">
        <v>225</v>
      </c>
      <c r="C2692" s="2" t="s">
        <v>1010</v>
      </c>
      <c r="D2692" s="2" t="s">
        <v>26</v>
      </c>
      <c r="E2692" s="2" t="s">
        <v>19</v>
      </c>
      <c r="F2692" s="2">
        <v>8.340605586E9</v>
      </c>
    </row>
    <row r="2693" ht="15.75" customHeight="1">
      <c r="A2693" s="2" t="s">
        <v>1230</v>
      </c>
      <c r="B2693" s="2" t="s">
        <v>21</v>
      </c>
      <c r="C2693" s="2" t="s">
        <v>246</v>
      </c>
      <c r="D2693" s="2" t="s">
        <v>9</v>
      </c>
      <c r="E2693" s="2" t="s">
        <v>23</v>
      </c>
      <c r="F2693" s="2">
        <v>8.789693109E9</v>
      </c>
    </row>
    <row r="2694" ht="15.75" customHeight="1">
      <c r="A2694" s="2" t="s">
        <v>1624</v>
      </c>
      <c r="B2694" s="2" t="s">
        <v>94</v>
      </c>
      <c r="C2694" s="2" t="s">
        <v>817</v>
      </c>
      <c r="D2694" s="2" t="s">
        <v>26</v>
      </c>
      <c r="E2694" s="2" t="s">
        <v>19</v>
      </c>
      <c r="F2694" s="2">
        <v>9.4313524E9</v>
      </c>
    </row>
    <row r="2695" ht="15.75" customHeight="1">
      <c r="A2695" s="2" t="s">
        <v>2396</v>
      </c>
      <c r="B2695" s="2" t="s">
        <v>88</v>
      </c>
      <c r="C2695" s="2" t="s">
        <v>162</v>
      </c>
      <c r="D2695" s="2" t="s">
        <v>44</v>
      </c>
      <c r="E2695" s="2" t="s">
        <v>23</v>
      </c>
      <c r="F2695" s="2">
        <v>9.835104766E9</v>
      </c>
    </row>
    <row r="2696" ht="15.75" customHeight="1">
      <c r="A2696" s="2" t="s">
        <v>2565</v>
      </c>
      <c r="B2696" s="2" t="s">
        <v>50</v>
      </c>
      <c r="C2696" s="2" t="s">
        <v>305</v>
      </c>
      <c r="D2696" s="2" t="s">
        <v>29</v>
      </c>
      <c r="E2696" s="2" t="s">
        <v>19</v>
      </c>
      <c r="F2696" s="2">
        <v>9.123247315E9</v>
      </c>
    </row>
    <row r="2697" ht="15.75" customHeight="1">
      <c r="A2697" s="2" t="s">
        <v>643</v>
      </c>
      <c r="B2697" s="2" t="s">
        <v>212</v>
      </c>
      <c r="C2697" s="2" t="s">
        <v>289</v>
      </c>
      <c r="D2697" s="2" t="s">
        <v>44</v>
      </c>
      <c r="E2697" s="2" t="s">
        <v>19</v>
      </c>
      <c r="F2697" s="2">
        <v>7.209552125E9</v>
      </c>
    </row>
    <row r="2698" ht="15.75" customHeight="1">
      <c r="A2698" s="2" t="s">
        <v>2566</v>
      </c>
      <c r="B2698" s="2" t="s">
        <v>440</v>
      </c>
      <c r="C2698" s="2" t="s">
        <v>1588</v>
      </c>
      <c r="D2698" s="2" t="s">
        <v>26</v>
      </c>
      <c r="E2698" s="2" t="s">
        <v>23</v>
      </c>
      <c r="F2698" s="2">
        <v>9.199805042E9</v>
      </c>
    </row>
    <row r="2699" ht="15.75" customHeight="1">
      <c r="A2699" s="2" t="s">
        <v>2152</v>
      </c>
      <c r="B2699" s="2" t="s">
        <v>552</v>
      </c>
      <c r="C2699" s="2" t="s">
        <v>162</v>
      </c>
      <c r="D2699" s="2" t="s">
        <v>14</v>
      </c>
      <c r="E2699" s="2" t="s">
        <v>19</v>
      </c>
      <c r="F2699" s="2">
        <v>7.970211175E9</v>
      </c>
    </row>
    <row r="2700" ht="15.75" customHeight="1">
      <c r="A2700" s="2" t="s">
        <v>1483</v>
      </c>
      <c r="B2700" s="2" t="s">
        <v>1484</v>
      </c>
      <c r="C2700" s="2" t="s">
        <v>246</v>
      </c>
      <c r="D2700" s="2" t="s">
        <v>26</v>
      </c>
      <c r="E2700" s="2" t="s">
        <v>23</v>
      </c>
      <c r="F2700" s="2">
        <v>9.661816164E9</v>
      </c>
    </row>
    <row r="2701" ht="15.75" customHeight="1">
      <c r="A2701" s="2" t="s">
        <v>772</v>
      </c>
      <c r="B2701" s="2" t="s">
        <v>55</v>
      </c>
      <c r="C2701" s="2" t="s">
        <v>79</v>
      </c>
      <c r="D2701" s="2" t="s">
        <v>44</v>
      </c>
      <c r="E2701" s="2" t="s">
        <v>19</v>
      </c>
      <c r="F2701" s="2">
        <v>9.903568676E9</v>
      </c>
    </row>
    <row r="2702" ht="15.75" customHeight="1">
      <c r="A2702" s="2" t="s">
        <v>1482</v>
      </c>
      <c r="B2702" s="2" t="s">
        <v>2567</v>
      </c>
      <c r="C2702" s="2" t="s">
        <v>741</v>
      </c>
      <c r="D2702" s="2" t="s">
        <v>56</v>
      </c>
      <c r="E2702" s="2" t="s">
        <v>23</v>
      </c>
      <c r="F2702" s="2">
        <v>9.905596176E9</v>
      </c>
    </row>
    <row r="2703" ht="15.75" customHeight="1">
      <c r="A2703" s="2" t="s">
        <v>1483</v>
      </c>
      <c r="B2703" s="2" t="s">
        <v>50</v>
      </c>
      <c r="C2703" s="2" t="s">
        <v>162</v>
      </c>
      <c r="D2703" s="2" t="s">
        <v>26</v>
      </c>
      <c r="E2703" s="2" t="s">
        <v>19</v>
      </c>
      <c r="F2703" s="2">
        <v>6.204321885E9</v>
      </c>
    </row>
    <row r="2704" ht="15.75" customHeight="1">
      <c r="A2704" s="2" t="s">
        <v>50</v>
      </c>
      <c r="B2704" s="2" t="s">
        <v>2568</v>
      </c>
      <c r="C2704" s="2" t="s">
        <v>200</v>
      </c>
      <c r="D2704" s="2" t="s">
        <v>26</v>
      </c>
      <c r="E2704" s="2" t="s">
        <v>23</v>
      </c>
      <c r="F2704" s="2">
        <v>9.835122033E9</v>
      </c>
    </row>
    <row r="2705" ht="15.75" customHeight="1">
      <c r="A2705" s="2" t="s">
        <v>186</v>
      </c>
      <c r="B2705" s="2" t="s">
        <v>212</v>
      </c>
      <c r="C2705" s="2" t="s">
        <v>2569</v>
      </c>
      <c r="D2705" s="2" t="s">
        <v>102</v>
      </c>
      <c r="E2705" s="2" t="s">
        <v>19</v>
      </c>
      <c r="F2705" s="2">
        <v>9.90509181E9</v>
      </c>
    </row>
    <row r="2706" ht="15.75" customHeight="1">
      <c r="A2706" s="2" t="s">
        <v>1822</v>
      </c>
      <c r="B2706" s="2" t="s">
        <v>50</v>
      </c>
      <c r="C2706" s="2" t="s">
        <v>162</v>
      </c>
      <c r="D2706" s="2" t="s">
        <v>26</v>
      </c>
      <c r="E2706" s="2" t="s">
        <v>23</v>
      </c>
      <c r="F2706" s="2">
        <v>7.209555606E9</v>
      </c>
    </row>
    <row r="2707" ht="15.75" customHeight="1">
      <c r="A2707" s="2" t="s">
        <v>110</v>
      </c>
      <c r="B2707" s="2" t="s">
        <v>21</v>
      </c>
      <c r="C2707" s="2" t="s">
        <v>2570</v>
      </c>
      <c r="D2707" s="2" t="s">
        <v>56</v>
      </c>
      <c r="E2707" s="2" t="s">
        <v>19</v>
      </c>
      <c r="F2707" s="2">
        <v>9.896089486E9</v>
      </c>
    </row>
    <row r="2708" ht="15.75" customHeight="1">
      <c r="A2708" s="2" t="s">
        <v>524</v>
      </c>
      <c r="B2708" s="2" t="s">
        <v>52</v>
      </c>
      <c r="C2708" s="2" t="s">
        <v>200</v>
      </c>
      <c r="D2708" s="2" t="s">
        <v>26</v>
      </c>
      <c r="E2708" s="2" t="s">
        <v>23</v>
      </c>
      <c r="F2708" s="2">
        <v>7.291056725E9</v>
      </c>
    </row>
    <row r="2709" ht="15.75" customHeight="1">
      <c r="A2709" s="2" t="s">
        <v>2547</v>
      </c>
      <c r="B2709" s="2" t="s">
        <v>212</v>
      </c>
      <c r="C2709" s="2" t="s">
        <v>289</v>
      </c>
      <c r="D2709" s="2" t="s">
        <v>14</v>
      </c>
      <c r="E2709" s="2" t="s">
        <v>19</v>
      </c>
      <c r="F2709" s="2">
        <v>7.079885197E9</v>
      </c>
    </row>
    <row r="2710" ht="15.75" customHeight="1">
      <c r="A2710" s="2" t="s">
        <v>1407</v>
      </c>
      <c r="B2710" s="2" t="s">
        <v>21</v>
      </c>
      <c r="C2710" s="2" t="s">
        <v>162</v>
      </c>
      <c r="D2710" s="2" t="s">
        <v>9</v>
      </c>
      <c r="E2710" s="2" t="s">
        <v>23</v>
      </c>
      <c r="F2710" s="2">
        <v>7.857824223E9</v>
      </c>
    </row>
    <row r="2711" ht="15.75" customHeight="1">
      <c r="A2711" s="2" t="s">
        <v>1092</v>
      </c>
      <c r="B2711" s="2" t="s">
        <v>50</v>
      </c>
      <c r="C2711" s="2" t="s">
        <v>970</v>
      </c>
      <c r="D2711" s="2" t="s">
        <v>56</v>
      </c>
      <c r="E2711" s="2" t="s">
        <v>19</v>
      </c>
      <c r="F2711" s="2">
        <v>7.65306918E9</v>
      </c>
    </row>
    <row r="2712" ht="15.75" customHeight="1">
      <c r="A2712" s="2" t="s">
        <v>381</v>
      </c>
      <c r="B2712" s="2" t="s">
        <v>50</v>
      </c>
      <c r="C2712" s="2" t="s">
        <v>162</v>
      </c>
      <c r="D2712" s="2" t="s">
        <v>56</v>
      </c>
      <c r="E2712" s="2" t="s">
        <v>23</v>
      </c>
      <c r="F2712" s="2">
        <v>7.209132877E9</v>
      </c>
    </row>
    <row r="2713" ht="15.75" customHeight="1">
      <c r="A2713" s="2" t="s">
        <v>1092</v>
      </c>
      <c r="B2713" s="2" t="s">
        <v>21</v>
      </c>
      <c r="C2713" s="2" t="s">
        <v>289</v>
      </c>
      <c r="D2713" s="2" t="s">
        <v>56</v>
      </c>
      <c r="E2713" s="2" t="s">
        <v>19</v>
      </c>
      <c r="F2713" s="2">
        <v>9.87414473E9</v>
      </c>
    </row>
    <row r="2714" ht="15.75" customHeight="1">
      <c r="A2714" s="2" t="s">
        <v>2571</v>
      </c>
      <c r="B2714" s="2" t="s">
        <v>55</v>
      </c>
      <c r="C2714" s="2" t="s">
        <v>61</v>
      </c>
      <c r="D2714" s="2" t="s">
        <v>44</v>
      </c>
      <c r="E2714" s="2" t="s">
        <v>19</v>
      </c>
      <c r="F2714" s="2">
        <v>8.873977596E9</v>
      </c>
    </row>
    <row r="2715" ht="15.75" customHeight="1">
      <c r="A2715" s="2" t="s">
        <v>2572</v>
      </c>
      <c r="B2715" s="2" t="s">
        <v>2573</v>
      </c>
      <c r="C2715" s="2" t="s">
        <v>2574</v>
      </c>
      <c r="D2715" s="2" t="s">
        <v>29</v>
      </c>
      <c r="E2715" s="2" t="s">
        <v>2575</v>
      </c>
      <c r="F2715" s="2">
        <v>7.35858018E9</v>
      </c>
    </row>
    <row r="2716" ht="15.75" customHeight="1">
      <c r="A2716" s="2" t="s">
        <v>2576</v>
      </c>
      <c r="B2716" s="2" t="s">
        <v>2577</v>
      </c>
      <c r="C2716" s="2" t="s">
        <v>2578</v>
      </c>
      <c r="D2716" s="2" t="s">
        <v>102</v>
      </c>
      <c r="E2716" s="2" t="s">
        <v>2579</v>
      </c>
      <c r="F2716" s="2">
        <v>9.18059908229E11</v>
      </c>
    </row>
    <row r="2717" ht="15.75" customHeight="1">
      <c r="A2717" s="2" t="s">
        <v>182</v>
      </c>
      <c r="B2717" s="2" t="s">
        <v>65</v>
      </c>
      <c r="C2717" s="2" t="s">
        <v>2580</v>
      </c>
      <c r="D2717" s="2" t="s">
        <v>29</v>
      </c>
      <c r="E2717" s="2" t="s">
        <v>2581</v>
      </c>
      <c r="F2717" s="2">
        <v>6.283509465E9</v>
      </c>
    </row>
    <row r="2718" ht="15.75" customHeight="1">
      <c r="A2718" s="2" t="s">
        <v>2582</v>
      </c>
      <c r="B2718" s="2" t="s">
        <v>2583</v>
      </c>
      <c r="C2718" s="2" t="s">
        <v>1742</v>
      </c>
      <c r="D2718" s="2" t="s">
        <v>14</v>
      </c>
      <c r="E2718" s="2" t="s">
        <v>282</v>
      </c>
      <c r="F2718" s="2">
        <v>9.662281869E9</v>
      </c>
    </row>
    <row r="2719" ht="15.75" customHeight="1">
      <c r="A2719" s="2" t="s">
        <v>2584</v>
      </c>
      <c r="B2719" s="2" t="s">
        <v>78</v>
      </c>
      <c r="C2719" s="2" t="s">
        <v>2585</v>
      </c>
      <c r="D2719" s="2" t="s">
        <v>44</v>
      </c>
      <c r="E2719" s="2" t="s">
        <v>45</v>
      </c>
      <c r="F2719" s="2">
        <v>9.727761336E9</v>
      </c>
    </row>
    <row r="2720" ht="15.75" customHeight="1">
      <c r="A2720" s="2" t="s">
        <v>2586</v>
      </c>
      <c r="B2720" s="2" t="s">
        <v>78</v>
      </c>
      <c r="C2720" s="2" t="s">
        <v>2587</v>
      </c>
      <c r="D2720" s="2" t="s">
        <v>9</v>
      </c>
      <c r="E2720" s="2" t="s">
        <v>282</v>
      </c>
      <c r="F2720" s="2">
        <v>9.687120476E9</v>
      </c>
    </row>
    <row r="2721" ht="15.75" customHeight="1">
      <c r="A2721" s="2" t="s">
        <v>2588</v>
      </c>
      <c r="B2721" s="2" t="s">
        <v>47</v>
      </c>
      <c r="C2721" s="2" t="s">
        <v>2589</v>
      </c>
      <c r="D2721" s="2" t="s">
        <v>44</v>
      </c>
      <c r="E2721" s="2" t="s">
        <v>45</v>
      </c>
      <c r="F2721" s="2">
        <v>7.433917204E9</v>
      </c>
    </row>
    <row r="2722" ht="15.75" customHeight="1">
      <c r="A2722" s="2" t="s">
        <v>2051</v>
      </c>
      <c r="B2722" s="2" t="s">
        <v>21</v>
      </c>
      <c r="C2722" s="2" t="s">
        <v>2590</v>
      </c>
      <c r="D2722" s="2" t="s">
        <v>14</v>
      </c>
      <c r="E2722" s="2" t="s">
        <v>282</v>
      </c>
      <c r="F2722" s="2">
        <v>9.992651597E9</v>
      </c>
    </row>
    <row r="2723" ht="15.75" customHeight="1">
      <c r="A2723" s="2" t="s">
        <v>2591</v>
      </c>
      <c r="B2723" s="2" t="s">
        <v>1364</v>
      </c>
      <c r="C2723" s="2" t="s">
        <v>2592</v>
      </c>
      <c r="D2723" s="2" t="s">
        <v>26</v>
      </c>
      <c r="E2723" s="2" t="s">
        <v>45</v>
      </c>
      <c r="F2723" s="2">
        <v>9.979588259E9</v>
      </c>
    </row>
    <row r="2724" ht="15.75" customHeight="1">
      <c r="A2724" s="2" t="s">
        <v>155</v>
      </c>
      <c r="B2724" s="2" t="s">
        <v>21</v>
      </c>
      <c r="C2724" s="2" t="s">
        <v>2593</v>
      </c>
      <c r="D2724" s="2" t="s">
        <v>26</v>
      </c>
      <c r="E2724" s="2" t="s">
        <v>282</v>
      </c>
      <c r="F2724" s="2">
        <v>9.714756533E9</v>
      </c>
    </row>
    <row r="2725" ht="15.75" customHeight="1">
      <c r="A2725" s="2" t="s">
        <v>2594</v>
      </c>
      <c r="B2725" s="2" t="s">
        <v>108</v>
      </c>
      <c r="C2725" s="2" t="s">
        <v>2592</v>
      </c>
      <c r="D2725" s="2" t="s">
        <v>44</v>
      </c>
      <c r="E2725" s="2" t="s">
        <v>45</v>
      </c>
      <c r="F2725" s="2">
        <v>9.714756533E9</v>
      </c>
    </row>
    <row r="2726" ht="15.75" customHeight="1">
      <c r="A2726" s="2" t="s">
        <v>2595</v>
      </c>
      <c r="B2726" s="2" t="s">
        <v>78</v>
      </c>
      <c r="C2726" s="2" t="s">
        <v>2596</v>
      </c>
      <c r="D2726" s="2" t="s">
        <v>56</v>
      </c>
      <c r="E2726" s="2" t="s">
        <v>282</v>
      </c>
      <c r="F2726" s="2">
        <v>9.099026492E9</v>
      </c>
    </row>
    <row r="2727" ht="15.75" customHeight="1">
      <c r="A2727" s="2" t="s">
        <v>2597</v>
      </c>
      <c r="B2727" s="2" t="s">
        <v>21</v>
      </c>
      <c r="C2727" s="2" t="s">
        <v>2598</v>
      </c>
      <c r="D2727" s="2" t="s">
        <v>56</v>
      </c>
      <c r="E2727" s="2" t="s">
        <v>45</v>
      </c>
      <c r="F2727" s="2">
        <v>9.678807088E9</v>
      </c>
    </row>
    <row r="2728" ht="15.75" customHeight="1">
      <c r="A2728" s="2" t="s">
        <v>2599</v>
      </c>
      <c r="B2728" s="2" t="s">
        <v>344</v>
      </c>
      <c r="C2728" s="2" t="s">
        <v>2600</v>
      </c>
      <c r="D2728" s="2" t="s">
        <v>56</v>
      </c>
      <c r="E2728" s="2" t="s">
        <v>282</v>
      </c>
      <c r="F2728" s="2">
        <v>9.510456309E9</v>
      </c>
    </row>
    <row r="2729" ht="15.75" customHeight="1">
      <c r="A2729" s="2" t="s">
        <v>1079</v>
      </c>
      <c r="B2729" s="2" t="s">
        <v>78</v>
      </c>
      <c r="C2729" s="2" t="s">
        <v>128</v>
      </c>
      <c r="D2729" s="2" t="s">
        <v>14</v>
      </c>
      <c r="E2729" s="2" t="s">
        <v>45</v>
      </c>
      <c r="F2729" s="2">
        <v>9.979276065E9</v>
      </c>
    </row>
    <row r="2730" ht="15.75" customHeight="1">
      <c r="A2730" s="2" t="s">
        <v>264</v>
      </c>
      <c r="B2730" s="2" t="s">
        <v>2601</v>
      </c>
      <c r="C2730" s="2" t="s">
        <v>576</v>
      </c>
      <c r="D2730" s="2" t="s">
        <v>9</v>
      </c>
      <c r="E2730" s="2" t="s">
        <v>282</v>
      </c>
      <c r="F2730" s="2">
        <v>9.825009589E9</v>
      </c>
    </row>
    <row r="2731" ht="15.75" customHeight="1">
      <c r="A2731" s="2" t="s">
        <v>2602</v>
      </c>
      <c r="B2731" s="2" t="s">
        <v>21</v>
      </c>
      <c r="C2731" s="2" t="s">
        <v>2603</v>
      </c>
      <c r="D2731" s="2" t="s">
        <v>14</v>
      </c>
      <c r="E2731" s="2" t="s">
        <v>45</v>
      </c>
      <c r="F2731" s="2">
        <v>9.879279113E9</v>
      </c>
    </row>
    <row r="2732" ht="15.75" customHeight="1">
      <c r="A2732" s="2" t="s">
        <v>486</v>
      </c>
      <c r="B2732" s="2" t="s">
        <v>63</v>
      </c>
      <c r="C2732" s="2" t="s">
        <v>2603</v>
      </c>
      <c r="D2732" s="2" t="s">
        <v>9</v>
      </c>
      <c r="E2732" s="2" t="s">
        <v>282</v>
      </c>
      <c r="F2732" s="2">
        <v>9.898002454E9</v>
      </c>
    </row>
    <row r="2733" ht="15.75" customHeight="1">
      <c r="A2733" s="2" t="s">
        <v>49</v>
      </c>
      <c r="B2733" s="2" t="s">
        <v>21</v>
      </c>
      <c r="C2733" s="2" t="s">
        <v>2603</v>
      </c>
      <c r="D2733" s="2" t="s">
        <v>26</v>
      </c>
      <c r="E2733" s="2" t="s">
        <v>45</v>
      </c>
      <c r="F2733" s="2">
        <v>8.980936712E9</v>
      </c>
    </row>
    <row r="2734" ht="15.75" customHeight="1">
      <c r="A2734" s="2" t="s">
        <v>513</v>
      </c>
      <c r="B2734" s="2" t="s">
        <v>21</v>
      </c>
      <c r="C2734" s="2" t="s">
        <v>2604</v>
      </c>
      <c r="D2734" s="2" t="s">
        <v>44</v>
      </c>
      <c r="E2734" s="2" t="s">
        <v>282</v>
      </c>
      <c r="F2734" s="2">
        <v>9.909647279E9</v>
      </c>
    </row>
    <row r="2735" ht="15.75" customHeight="1">
      <c r="A2735" s="2" t="s">
        <v>2605</v>
      </c>
      <c r="B2735" s="2" t="s">
        <v>21</v>
      </c>
      <c r="C2735" s="2" t="s">
        <v>2606</v>
      </c>
      <c r="D2735" s="2" t="s">
        <v>56</v>
      </c>
      <c r="E2735" s="2" t="s">
        <v>45</v>
      </c>
      <c r="F2735" s="2">
        <v>9.924452089E9</v>
      </c>
    </row>
    <row r="2736" ht="15.75" customHeight="1">
      <c r="A2736" s="2" t="s">
        <v>67</v>
      </c>
      <c r="B2736" s="2" t="s">
        <v>21</v>
      </c>
      <c r="C2736" s="2" t="s">
        <v>2607</v>
      </c>
      <c r="D2736" s="2" t="s">
        <v>56</v>
      </c>
      <c r="E2736" s="2" t="s">
        <v>282</v>
      </c>
      <c r="F2736" s="2">
        <v>9.999156161E9</v>
      </c>
    </row>
    <row r="2737" ht="15.75" customHeight="1">
      <c r="A2737" s="2" t="s">
        <v>2365</v>
      </c>
      <c r="B2737" s="2" t="s">
        <v>2608</v>
      </c>
      <c r="C2737" s="2" t="s">
        <v>128</v>
      </c>
      <c r="D2737" s="2" t="s">
        <v>56</v>
      </c>
      <c r="E2737" s="2" t="s">
        <v>45</v>
      </c>
      <c r="F2737" s="2">
        <v>9.825009581E9</v>
      </c>
    </row>
    <row r="2738" ht="15.75" customHeight="1">
      <c r="A2738" s="2" t="s">
        <v>2609</v>
      </c>
      <c r="B2738" s="2" t="s">
        <v>21</v>
      </c>
      <c r="C2738" s="2" t="s">
        <v>2610</v>
      </c>
      <c r="D2738" s="2" t="s">
        <v>14</v>
      </c>
      <c r="E2738" s="2" t="s">
        <v>282</v>
      </c>
      <c r="F2738" s="2">
        <v>9.974713545E9</v>
      </c>
    </row>
    <row r="2739" ht="15.75" customHeight="1">
      <c r="A2739" s="2" t="s">
        <v>2611</v>
      </c>
      <c r="B2739" s="2" t="s">
        <v>2612</v>
      </c>
      <c r="C2739" s="2" t="s">
        <v>1567</v>
      </c>
      <c r="D2739" s="2" t="s">
        <v>26</v>
      </c>
      <c r="E2739" s="2" t="s">
        <v>45</v>
      </c>
      <c r="F2739" s="2">
        <v>8.291000641E9</v>
      </c>
    </row>
    <row r="2740" ht="15.75" customHeight="1">
      <c r="A2740" s="2" t="s">
        <v>1092</v>
      </c>
      <c r="B2740" s="2" t="s">
        <v>675</v>
      </c>
      <c r="C2740" s="2" t="s">
        <v>2613</v>
      </c>
      <c r="D2740" s="2" t="s">
        <v>26</v>
      </c>
      <c r="E2740" s="2" t="s">
        <v>282</v>
      </c>
      <c r="F2740" s="2">
        <v>9.879582409E9</v>
      </c>
    </row>
    <row r="2741" ht="15.75" customHeight="1">
      <c r="A2741" s="2" t="s">
        <v>2614</v>
      </c>
      <c r="B2741" s="2" t="s">
        <v>117</v>
      </c>
      <c r="C2741" s="2" t="s">
        <v>2615</v>
      </c>
      <c r="D2741" s="2" t="s">
        <v>44</v>
      </c>
      <c r="E2741" s="2" t="s">
        <v>45</v>
      </c>
      <c r="F2741" s="2">
        <v>9.426379577E9</v>
      </c>
    </row>
    <row r="2742" ht="15.75" customHeight="1">
      <c r="A2742" s="2" t="s">
        <v>1092</v>
      </c>
      <c r="B2742" s="2" t="s">
        <v>2616</v>
      </c>
      <c r="C2742" s="2" t="s">
        <v>2617</v>
      </c>
      <c r="D2742" s="2" t="s">
        <v>44</v>
      </c>
      <c r="E2742" s="2" t="s">
        <v>282</v>
      </c>
      <c r="F2742" s="2">
        <v>9.09992749E9</v>
      </c>
    </row>
    <row r="2743" ht="15.75" customHeight="1">
      <c r="A2743" s="2" t="s">
        <v>49</v>
      </c>
      <c r="B2743" s="2" t="s">
        <v>2618</v>
      </c>
      <c r="C2743" s="2" t="s">
        <v>2619</v>
      </c>
      <c r="D2743" s="2" t="s">
        <v>44</v>
      </c>
      <c r="E2743" s="2" t="s">
        <v>45</v>
      </c>
      <c r="F2743" s="2">
        <v>9.375080075E9</v>
      </c>
    </row>
    <row r="2744" ht="15.75" customHeight="1">
      <c r="A2744" s="2" t="s">
        <v>1092</v>
      </c>
      <c r="B2744" s="2" t="s">
        <v>21</v>
      </c>
      <c r="C2744" s="2" t="s">
        <v>2603</v>
      </c>
      <c r="D2744" s="2" t="s">
        <v>44</v>
      </c>
      <c r="E2744" s="2" t="s">
        <v>282</v>
      </c>
      <c r="F2744" s="2">
        <v>9.274526106E9</v>
      </c>
    </row>
    <row r="2745" ht="15.75" customHeight="1">
      <c r="A2745" s="2" t="s">
        <v>1914</v>
      </c>
      <c r="B2745" s="2" t="s">
        <v>2620</v>
      </c>
      <c r="C2745" s="2" t="s">
        <v>2621</v>
      </c>
      <c r="D2745" s="2" t="s">
        <v>44</v>
      </c>
      <c r="E2745" s="2" t="s">
        <v>45</v>
      </c>
      <c r="F2745" s="2">
        <v>9.898643519E9</v>
      </c>
    </row>
    <row r="2746" ht="15.75" customHeight="1">
      <c r="A2746" s="2" t="s">
        <v>2622</v>
      </c>
      <c r="B2746" s="2" t="s">
        <v>65</v>
      </c>
      <c r="C2746" s="2" t="s">
        <v>2603</v>
      </c>
      <c r="D2746" s="2" t="s">
        <v>44</v>
      </c>
      <c r="E2746" s="2" t="s">
        <v>282</v>
      </c>
      <c r="F2746" s="2">
        <v>9.898821971E9</v>
      </c>
    </row>
    <row r="2747" ht="15.75" customHeight="1">
      <c r="A2747" s="2" t="s">
        <v>2623</v>
      </c>
      <c r="B2747" s="2" t="s">
        <v>2624</v>
      </c>
      <c r="C2747" s="2" t="s">
        <v>83</v>
      </c>
      <c r="D2747" s="2" t="s">
        <v>14</v>
      </c>
      <c r="E2747" s="2" t="s">
        <v>45</v>
      </c>
      <c r="F2747" s="2">
        <v>9.712838961E9</v>
      </c>
    </row>
    <row r="2748" ht="15.75" customHeight="1">
      <c r="A2748" s="2" t="s">
        <v>1437</v>
      </c>
      <c r="B2748" s="2" t="s">
        <v>2625</v>
      </c>
      <c r="C2748" s="2" t="s">
        <v>2626</v>
      </c>
      <c r="D2748" s="2" t="s">
        <v>29</v>
      </c>
      <c r="E2748" s="2" t="s">
        <v>282</v>
      </c>
      <c r="F2748" s="2">
        <v>9.898011575E9</v>
      </c>
    </row>
    <row r="2749" ht="15.75" customHeight="1">
      <c r="A2749" s="2" t="s">
        <v>2627</v>
      </c>
      <c r="B2749" s="2" t="s">
        <v>21</v>
      </c>
      <c r="C2749" s="2" t="s">
        <v>2603</v>
      </c>
      <c r="D2749" s="2" t="s">
        <v>56</v>
      </c>
      <c r="E2749" s="2" t="s">
        <v>45</v>
      </c>
      <c r="F2749" s="2">
        <v>9.429367571E9</v>
      </c>
    </row>
    <row r="2750" ht="15.75" customHeight="1">
      <c r="A2750" s="2" t="s">
        <v>2628</v>
      </c>
      <c r="B2750" s="2" t="s">
        <v>21</v>
      </c>
      <c r="C2750" s="2" t="s">
        <v>2629</v>
      </c>
      <c r="D2750" s="2" t="s">
        <v>9</v>
      </c>
      <c r="E2750" s="2" t="s">
        <v>282</v>
      </c>
      <c r="F2750" s="2">
        <v>8.141364002E9</v>
      </c>
    </row>
    <row r="2751" ht="15.75" customHeight="1">
      <c r="A2751" s="2" t="s">
        <v>1079</v>
      </c>
      <c r="B2751" s="2" t="s">
        <v>2017</v>
      </c>
      <c r="C2751" s="2" t="s">
        <v>2629</v>
      </c>
      <c r="D2751" s="2" t="s">
        <v>9</v>
      </c>
      <c r="E2751" s="2" t="s">
        <v>45</v>
      </c>
      <c r="F2751" s="2">
        <v>9.879940814E9</v>
      </c>
    </row>
    <row r="2752" ht="15.75" customHeight="1">
      <c r="A2752" s="2" t="s">
        <v>2630</v>
      </c>
      <c r="B2752" s="2" t="s">
        <v>2631</v>
      </c>
      <c r="C2752" s="2" t="s">
        <v>2604</v>
      </c>
      <c r="D2752" s="2" t="s">
        <v>56</v>
      </c>
      <c r="E2752" s="2" t="s">
        <v>282</v>
      </c>
      <c r="F2752" s="2">
        <v>8.469526538E9</v>
      </c>
    </row>
    <row r="2753" ht="15.75" customHeight="1">
      <c r="A2753" s="2" t="s">
        <v>78</v>
      </c>
      <c r="B2753" s="2" t="s">
        <v>2632</v>
      </c>
      <c r="C2753" s="2" t="s">
        <v>2633</v>
      </c>
      <c r="D2753" s="2" t="s">
        <v>9</v>
      </c>
      <c r="E2753" s="2" t="s">
        <v>45</v>
      </c>
      <c r="F2753" s="2">
        <v>9.173603538E9</v>
      </c>
    </row>
    <row r="2754" ht="15.75" customHeight="1">
      <c r="A2754" s="2" t="s">
        <v>2634</v>
      </c>
      <c r="B2754" s="2" t="s">
        <v>21</v>
      </c>
      <c r="C2754" s="2" t="s">
        <v>2603</v>
      </c>
      <c r="D2754" s="2" t="s">
        <v>9</v>
      </c>
      <c r="E2754" s="2" t="s">
        <v>282</v>
      </c>
      <c r="F2754" s="2">
        <v>9.601039575E9</v>
      </c>
    </row>
    <row r="2755" ht="15.75" customHeight="1">
      <c r="A2755" s="2" t="s">
        <v>2635</v>
      </c>
      <c r="B2755" s="2" t="s">
        <v>78</v>
      </c>
      <c r="C2755" s="2" t="s">
        <v>2636</v>
      </c>
      <c r="D2755" s="2" t="s">
        <v>29</v>
      </c>
      <c r="E2755" s="2" t="s">
        <v>45</v>
      </c>
      <c r="F2755" s="2">
        <v>8.000321077E9</v>
      </c>
    </row>
    <row r="2756" ht="15.75" customHeight="1">
      <c r="A2756" s="2" t="s">
        <v>344</v>
      </c>
      <c r="B2756" s="2" t="s">
        <v>146</v>
      </c>
      <c r="C2756" s="2" t="s">
        <v>2637</v>
      </c>
      <c r="D2756" s="2" t="s">
        <v>14</v>
      </c>
      <c r="E2756" s="2" t="s">
        <v>282</v>
      </c>
      <c r="F2756" s="2">
        <v>9.725007857E9</v>
      </c>
    </row>
    <row r="2757" ht="15.75" customHeight="1">
      <c r="A2757" s="2" t="s">
        <v>2638</v>
      </c>
      <c r="B2757" s="2" t="s">
        <v>2639</v>
      </c>
      <c r="C2757" s="2" t="s">
        <v>2604</v>
      </c>
      <c r="D2757" s="2" t="s">
        <v>44</v>
      </c>
      <c r="E2757" s="2" t="s">
        <v>45</v>
      </c>
      <c r="F2757" s="2">
        <v>9.602190364E9</v>
      </c>
    </row>
    <row r="2758" ht="15.75" customHeight="1">
      <c r="A2758" s="2" t="s">
        <v>785</v>
      </c>
      <c r="B2758" s="2" t="s">
        <v>1357</v>
      </c>
      <c r="C2758" s="2" t="s">
        <v>2592</v>
      </c>
      <c r="D2758" s="2" t="s">
        <v>56</v>
      </c>
      <c r="E2758" s="2" t="s">
        <v>282</v>
      </c>
      <c r="F2758" s="2">
        <v>9.727084323E9</v>
      </c>
    </row>
    <row r="2759" ht="15.75" customHeight="1">
      <c r="A2759" s="2" t="s">
        <v>1260</v>
      </c>
      <c r="B2759" s="2" t="s">
        <v>2640</v>
      </c>
      <c r="C2759" s="2" t="s">
        <v>2641</v>
      </c>
      <c r="D2759" s="2" t="s">
        <v>56</v>
      </c>
      <c r="E2759" s="2" t="s">
        <v>45</v>
      </c>
      <c r="F2759" s="2">
        <v>8.72866776E9</v>
      </c>
    </row>
    <row r="2760" ht="15.75" customHeight="1">
      <c r="A2760" s="2" t="s">
        <v>1814</v>
      </c>
      <c r="B2760" s="2" t="s">
        <v>1343</v>
      </c>
      <c r="C2760" s="2" t="s">
        <v>2642</v>
      </c>
      <c r="D2760" s="2" t="s">
        <v>44</v>
      </c>
      <c r="E2760" s="2" t="s">
        <v>282</v>
      </c>
      <c r="F2760" s="2">
        <v>9.926550749E9</v>
      </c>
    </row>
    <row r="2761" ht="15.75" customHeight="1">
      <c r="A2761" s="2" t="s">
        <v>786</v>
      </c>
      <c r="B2761" s="2" t="s">
        <v>2643</v>
      </c>
      <c r="C2761" s="2" t="s">
        <v>786</v>
      </c>
      <c r="D2761" s="2" t="s">
        <v>102</v>
      </c>
      <c r="E2761" s="2" t="s">
        <v>2644</v>
      </c>
      <c r="F2761" s="2">
        <v>1.222345561E9</v>
      </c>
    </row>
    <row r="2762" ht="15.75" customHeight="1">
      <c r="A2762" s="2" t="s">
        <v>2645</v>
      </c>
      <c r="B2762" s="2" t="s">
        <v>2646</v>
      </c>
      <c r="C2762" s="2" t="s">
        <v>2647</v>
      </c>
      <c r="D2762" s="2" t="s">
        <v>26</v>
      </c>
      <c r="E2762" s="2" t="s">
        <v>45</v>
      </c>
      <c r="F2762" s="2">
        <v>9.71411217E9</v>
      </c>
    </row>
    <row r="2763" ht="15.75" customHeight="1">
      <c r="A2763" s="2" t="s">
        <v>344</v>
      </c>
      <c r="B2763" s="2" t="s">
        <v>2648</v>
      </c>
      <c r="C2763" s="2" t="s">
        <v>2649</v>
      </c>
      <c r="D2763" s="2" t="s">
        <v>56</v>
      </c>
      <c r="E2763" s="2" t="s">
        <v>193</v>
      </c>
      <c r="F2763" s="2">
        <v>9.638922367E9</v>
      </c>
    </row>
    <row r="2764" ht="15.75" customHeight="1">
      <c r="A2764" s="2" t="s">
        <v>2650</v>
      </c>
      <c r="B2764" s="2" t="s">
        <v>997</v>
      </c>
      <c r="C2764" s="2" t="s">
        <v>2649</v>
      </c>
      <c r="D2764" s="2" t="s">
        <v>44</v>
      </c>
      <c r="E2764" s="2" t="s">
        <v>193</v>
      </c>
      <c r="F2764" s="2">
        <v>9.825875641E9</v>
      </c>
    </row>
    <row r="2765" ht="15.75" customHeight="1">
      <c r="A2765" s="2" t="s">
        <v>2651</v>
      </c>
      <c r="B2765" s="2" t="s">
        <v>2652</v>
      </c>
      <c r="C2765" s="2" t="s">
        <v>2653</v>
      </c>
      <c r="D2765" s="2" t="s">
        <v>56</v>
      </c>
      <c r="E2765" s="2" t="s">
        <v>193</v>
      </c>
      <c r="F2765" s="2">
        <v>9.974058052E9</v>
      </c>
    </row>
    <row r="2766" ht="15.75" customHeight="1">
      <c r="A2766" s="2" t="s">
        <v>2654</v>
      </c>
      <c r="B2766" s="2" t="s">
        <v>2655</v>
      </c>
      <c r="C2766" s="2" t="s">
        <v>2656</v>
      </c>
      <c r="D2766" s="2" t="s">
        <v>102</v>
      </c>
      <c r="E2766" s="2" t="s">
        <v>45</v>
      </c>
      <c r="F2766" s="2">
        <v>9.811655253E9</v>
      </c>
    </row>
    <row r="2767" ht="15.75" customHeight="1">
      <c r="A2767" s="2" t="s">
        <v>2657</v>
      </c>
      <c r="B2767" s="2" t="s">
        <v>2658</v>
      </c>
      <c r="C2767" s="2" t="s">
        <v>2659</v>
      </c>
      <c r="D2767" s="2" t="s">
        <v>102</v>
      </c>
      <c r="E2767" s="2" t="s">
        <v>45</v>
      </c>
      <c r="F2767" s="2">
        <v>9.909261752E9</v>
      </c>
    </row>
    <row r="2768" ht="15.75" customHeight="1">
      <c r="A2768" s="2" t="s">
        <v>2660</v>
      </c>
      <c r="B2768" s="2" t="s">
        <v>606</v>
      </c>
      <c r="C2768" s="2" t="s">
        <v>2661</v>
      </c>
      <c r="D2768" s="2" t="s">
        <v>102</v>
      </c>
      <c r="E2768" s="2" t="s">
        <v>45</v>
      </c>
      <c r="F2768" s="2">
        <v>7.567220085E9</v>
      </c>
    </row>
    <row r="2769" ht="15.75" customHeight="1">
      <c r="A2769" s="2" t="s">
        <v>2662</v>
      </c>
      <c r="B2769" s="2" t="s">
        <v>337</v>
      </c>
      <c r="C2769" s="2" t="s">
        <v>2603</v>
      </c>
      <c r="D2769" s="2" t="s">
        <v>102</v>
      </c>
      <c r="E2769" s="2" t="s">
        <v>45</v>
      </c>
      <c r="F2769" s="2">
        <v>9.099802508E9</v>
      </c>
    </row>
    <row r="2770" ht="15.75" customHeight="1">
      <c r="A2770" s="2" t="s">
        <v>2663</v>
      </c>
      <c r="B2770" s="2" t="s">
        <v>21</v>
      </c>
      <c r="C2770" s="2" t="s">
        <v>2603</v>
      </c>
      <c r="D2770" s="2" t="s">
        <v>102</v>
      </c>
      <c r="E2770" s="2" t="s">
        <v>45</v>
      </c>
      <c r="F2770" s="2">
        <v>9.998334272E9</v>
      </c>
    </row>
    <row r="2771" ht="15.75" customHeight="1">
      <c r="A2771" s="2" t="s">
        <v>2664</v>
      </c>
      <c r="B2771" s="2" t="s">
        <v>2665</v>
      </c>
      <c r="C2771" s="2" t="s">
        <v>2603</v>
      </c>
      <c r="D2771" s="2" t="s">
        <v>102</v>
      </c>
      <c r="E2771" s="2" t="s">
        <v>45</v>
      </c>
      <c r="F2771" s="2">
        <v>8.23825075E9</v>
      </c>
    </row>
    <row r="2772" ht="15.75" customHeight="1">
      <c r="A2772" s="2" t="s">
        <v>2666</v>
      </c>
      <c r="B2772" s="2" t="s">
        <v>78</v>
      </c>
      <c r="C2772" s="2" t="s">
        <v>2667</v>
      </c>
      <c r="D2772" s="2" t="s">
        <v>44</v>
      </c>
      <c r="E2772" s="2" t="s">
        <v>45</v>
      </c>
      <c r="F2772" s="2">
        <v>9.638752887E9</v>
      </c>
    </row>
    <row r="2773" ht="15.75" customHeight="1">
      <c r="A2773" s="2" t="s">
        <v>2668</v>
      </c>
      <c r="B2773" s="2" t="s">
        <v>21</v>
      </c>
      <c r="C2773" s="2" t="s">
        <v>2603</v>
      </c>
      <c r="D2773" s="2" t="s">
        <v>26</v>
      </c>
      <c r="E2773" s="2" t="s">
        <v>45</v>
      </c>
      <c r="F2773" s="2">
        <v>9.173797767E9</v>
      </c>
    </row>
    <row r="2774" ht="15.75" customHeight="1">
      <c r="A2774" s="2" t="s">
        <v>2669</v>
      </c>
      <c r="B2774" s="2" t="s">
        <v>2670</v>
      </c>
      <c r="C2774" s="2" t="s">
        <v>2603</v>
      </c>
      <c r="D2774" s="2" t="s">
        <v>44</v>
      </c>
      <c r="E2774" s="2" t="s">
        <v>45</v>
      </c>
      <c r="F2774" s="2">
        <v>9.426615334E9</v>
      </c>
    </row>
    <row r="2775" ht="15.75" customHeight="1">
      <c r="A2775" s="2" t="s">
        <v>2671</v>
      </c>
      <c r="B2775" s="2" t="s">
        <v>21</v>
      </c>
      <c r="C2775" s="2" t="s">
        <v>2603</v>
      </c>
      <c r="D2775" s="2" t="s">
        <v>9</v>
      </c>
      <c r="E2775" s="2" t="s">
        <v>45</v>
      </c>
      <c r="F2775" s="2">
        <v>9.909966733E9</v>
      </c>
    </row>
    <row r="2776" ht="15.75" customHeight="1">
      <c r="A2776" s="2" t="s">
        <v>2672</v>
      </c>
      <c r="B2776" s="2" t="s">
        <v>1954</v>
      </c>
      <c r="C2776" s="2" t="s">
        <v>2673</v>
      </c>
      <c r="D2776" s="2" t="s">
        <v>56</v>
      </c>
      <c r="E2776" s="2" t="s">
        <v>282</v>
      </c>
      <c r="F2776" s="2">
        <v>9.898640081E9</v>
      </c>
    </row>
    <row r="2777" ht="15.75" customHeight="1">
      <c r="A2777" s="2" t="s">
        <v>2674</v>
      </c>
      <c r="B2777" s="2" t="s">
        <v>21</v>
      </c>
      <c r="C2777" s="2" t="s">
        <v>2675</v>
      </c>
      <c r="D2777" s="2" t="s">
        <v>9</v>
      </c>
      <c r="E2777" s="2" t="s">
        <v>45</v>
      </c>
      <c r="F2777" s="2">
        <v>9.426582692E9</v>
      </c>
    </row>
    <row r="2778" ht="15.75" customHeight="1">
      <c r="A2778" s="2" t="s">
        <v>113</v>
      </c>
      <c r="B2778" s="2" t="s">
        <v>922</v>
      </c>
      <c r="C2778" s="2" t="s">
        <v>1458</v>
      </c>
      <c r="D2778" s="2" t="s">
        <v>29</v>
      </c>
      <c r="E2778" s="2" t="s">
        <v>19</v>
      </c>
      <c r="F2778" s="2">
        <v>8.340382958E9</v>
      </c>
    </row>
    <row r="2779" ht="15.75" customHeight="1">
      <c r="A2779" s="2" t="s">
        <v>2676</v>
      </c>
      <c r="B2779" s="2" t="s">
        <v>108</v>
      </c>
      <c r="C2779" s="2" t="s">
        <v>2677</v>
      </c>
      <c r="D2779" s="2" t="s">
        <v>14</v>
      </c>
      <c r="E2779" s="2" t="s">
        <v>19</v>
      </c>
      <c r="F2779" s="2">
        <v>9.334712852E9</v>
      </c>
    </row>
    <row r="2780" ht="15.75" customHeight="1">
      <c r="A2780" s="2" t="s">
        <v>234</v>
      </c>
      <c r="B2780" s="2" t="s">
        <v>2678</v>
      </c>
      <c r="C2780" s="2" t="s">
        <v>305</v>
      </c>
      <c r="D2780" s="2" t="s">
        <v>26</v>
      </c>
      <c r="E2780" s="2" t="s">
        <v>19</v>
      </c>
      <c r="F2780" s="2">
        <v>9.234705925E9</v>
      </c>
    </row>
    <row r="2781" ht="15.75" customHeight="1">
      <c r="A2781" s="2" t="s">
        <v>1386</v>
      </c>
      <c r="B2781" s="2" t="s">
        <v>2679</v>
      </c>
      <c r="C2781" s="2" t="s">
        <v>235</v>
      </c>
      <c r="D2781" s="2" t="s">
        <v>26</v>
      </c>
      <c r="E2781" s="2" t="s">
        <v>19</v>
      </c>
      <c r="F2781" s="2">
        <v>7.250911423E9</v>
      </c>
    </row>
    <row r="2782" ht="15.75" customHeight="1">
      <c r="A2782" s="2" t="s">
        <v>2680</v>
      </c>
      <c r="B2782" s="2" t="s">
        <v>50</v>
      </c>
      <c r="C2782" s="2" t="s">
        <v>2681</v>
      </c>
      <c r="D2782" s="2" t="s">
        <v>44</v>
      </c>
      <c r="E2782" s="2" t="s">
        <v>19</v>
      </c>
      <c r="F2782" s="2">
        <v>9.431978334E9</v>
      </c>
    </row>
    <row r="2783" ht="15.75" customHeight="1">
      <c r="A2783" s="2" t="s">
        <v>2682</v>
      </c>
      <c r="B2783" s="2" t="s">
        <v>75</v>
      </c>
      <c r="C2783" s="2" t="s">
        <v>1792</v>
      </c>
      <c r="D2783" s="2" t="s">
        <v>29</v>
      </c>
      <c r="E2783" s="2" t="s">
        <v>19</v>
      </c>
      <c r="F2783" s="2">
        <v>9.4701598E9</v>
      </c>
    </row>
    <row r="2784" ht="15.75" customHeight="1">
      <c r="A2784" s="2" t="s">
        <v>146</v>
      </c>
      <c r="B2784" s="2" t="s">
        <v>280</v>
      </c>
      <c r="C2784" s="2" t="s">
        <v>2683</v>
      </c>
      <c r="D2784" s="2" t="s">
        <v>56</v>
      </c>
      <c r="E2784" s="2" t="s">
        <v>282</v>
      </c>
      <c r="F2784" s="2">
        <v>9.426582692E9</v>
      </c>
    </row>
    <row r="2785" ht="15.75" customHeight="1">
      <c r="A2785" s="2" t="s">
        <v>87</v>
      </c>
      <c r="B2785" s="2" t="s">
        <v>2684</v>
      </c>
      <c r="C2785" s="2" t="s">
        <v>412</v>
      </c>
      <c r="D2785" s="2" t="s">
        <v>44</v>
      </c>
      <c r="E2785" s="2" t="s">
        <v>19</v>
      </c>
      <c r="F2785" s="2">
        <v>9.69337331E9</v>
      </c>
    </row>
    <row r="2786" ht="15.75" customHeight="1">
      <c r="A2786" s="2" t="s">
        <v>1276</v>
      </c>
      <c r="B2786" s="2" t="s">
        <v>2685</v>
      </c>
      <c r="C2786" s="2" t="s">
        <v>412</v>
      </c>
      <c r="D2786" s="2" t="s">
        <v>44</v>
      </c>
      <c r="E2786" s="2" t="s">
        <v>19</v>
      </c>
      <c r="F2786" s="2">
        <v>9.304207779E9</v>
      </c>
    </row>
    <row r="2787" ht="15.75" customHeight="1">
      <c r="A2787" s="2" t="s">
        <v>430</v>
      </c>
      <c r="B2787" s="2" t="s">
        <v>2686</v>
      </c>
      <c r="C2787" s="2" t="s">
        <v>2687</v>
      </c>
      <c r="D2787" s="2" t="s">
        <v>56</v>
      </c>
      <c r="E2787" s="2" t="s">
        <v>45</v>
      </c>
      <c r="F2787" s="2">
        <v>9.099300374E9</v>
      </c>
    </row>
    <row r="2788" ht="15.75" customHeight="1">
      <c r="A2788" s="2" t="s">
        <v>2688</v>
      </c>
      <c r="B2788" s="2" t="s">
        <v>2689</v>
      </c>
      <c r="C2788" s="2" t="s">
        <v>741</v>
      </c>
      <c r="D2788" s="2" t="s">
        <v>26</v>
      </c>
      <c r="E2788" s="2" t="s">
        <v>19</v>
      </c>
      <c r="F2788" s="2">
        <v>7.870206046E9</v>
      </c>
    </row>
    <row r="2789" ht="15.75" customHeight="1">
      <c r="A2789" s="2" t="s">
        <v>381</v>
      </c>
      <c r="B2789" s="2" t="s">
        <v>50</v>
      </c>
      <c r="C2789" s="2" t="s">
        <v>412</v>
      </c>
      <c r="D2789" s="2" t="s">
        <v>44</v>
      </c>
      <c r="E2789" s="2" t="s">
        <v>19</v>
      </c>
      <c r="F2789" s="2">
        <v>8.709012408E9</v>
      </c>
    </row>
    <row r="2790" ht="15.75" customHeight="1">
      <c r="A2790" s="2" t="s">
        <v>1453</v>
      </c>
      <c r="B2790" s="2" t="s">
        <v>2690</v>
      </c>
      <c r="C2790" s="2" t="s">
        <v>2691</v>
      </c>
      <c r="D2790" s="2" t="s">
        <v>9</v>
      </c>
      <c r="E2790" s="2" t="s">
        <v>19</v>
      </c>
      <c r="F2790" s="2">
        <v>8.987549885E9</v>
      </c>
    </row>
    <row r="2791" ht="15.75" customHeight="1">
      <c r="A2791" s="2" t="s">
        <v>1389</v>
      </c>
      <c r="B2791" s="2" t="s">
        <v>63</v>
      </c>
      <c r="C2791" s="2" t="s">
        <v>1458</v>
      </c>
      <c r="D2791" s="2" t="s">
        <v>29</v>
      </c>
      <c r="E2791" s="2" t="s">
        <v>19</v>
      </c>
      <c r="F2791" s="2">
        <v>7.63297112E9</v>
      </c>
    </row>
    <row r="2792" ht="15.75" customHeight="1">
      <c r="A2792" s="2" t="s">
        <v>2692</v>
      </c>
      <c r="B2792" s="2" t="s">
        <v>520</v>
      </c>
      <c r="C2792" s="2" t="s">
        <v>1042</v>
      </c>
      <c r="D2792" s="2" t="s">
        <v>26</v>
      </c>
      <c r="E2792" s="2" t="s">
        <v>19</v>
      </c>
      <c r="F2792" s="2">
        <v>8.084686367E9</v>
      </c>
    </row>
    <row r="2793" ht="15.75" customHeight="1">
      <c r="A2793" s="2" t="s">
        <v>405</v>
      </c>
      <c r="B2793" s="2" t="s">
        <v>63</v>
      </c>
      <c r="C2793" s="2" t="s">
        <v>1042</v>
      </c>
      <c r="D2793" s="2" t="s">
        <v>14</v>
      </c>
      <c r="E2793" s="2" t="s">
        <v>19</v>
      </c>
      <c r="F2793" s="2">
        <v>9.934371254E9</v>
      </c>
    </row>
    <row r="2794" ht="15.75" customHeight="1">
      <c r="A2794" s="2" t="s">
        <v>579</v>
      </c>
      <c r="B2794" s="2" t="s">
        <v>50</v>
      </c>
      <c r="C2794" s="2" t="s">
        <v>1042</v>
      </c>
      <c r="D2794" s="2" t="s">
        <v>44</v>
      </c>
      <c r="E2794" s="2" t="s">
        <v>19</v>
      </c>
      <c r="F2794" s="2">
        <v>9.234430958E9</v>
      </c>
    </row>
    <row r="2795" ht="15.75" customHeight="1">
      <c r="A2795" s="2" t="s">
        <v>2693</v>
      </c>
      <c r="B2795" s="2" t="s">
        <v>50</v>
      </c>
      <c r="C2795" s="2" t="s">
        <v>1042</v>
      </c>
      <c r="D2795" s="2" t="s">
        <v>44</v>
      </c>
      <c r="E2795" s="2" t="s">
        <v>19</v>
      </c>
      <c r="F2795" s="2">
        <v>7.763818284E9</v>
      </c>
    </row>
    <row r="2796" ht="15.75" customHeight="1">
      <c r="A2796" s="2" t="s">
        <v>2694</v>
      </c>
      <c r="B2796" s="2" t="s">
        <v>2695</v>
      </c>
      <c r="C2796" s="2" t="s">
        <v>2590</v>
      </c>
      <c r="D2796" s="2" t="s">
        <v>44</v>
      </c>
      <c r="E2796" s="2" t="s">
        <v>282</v>
      </c>
      <c r="F2796" s="2">
        <v>7.2838388E9</v>
      </c>
    </row>
    <row r="2797" ht="15.75" customHeight="1">
      <c r="A2797" s="2" t="s">
        <v>1477</v>
      </c>
      <c r="B2797" s="2" t="s">
        <v>50</v>
      </c>
      <c r="C2797" s="2" t="s">
        <v>1042</v>
      </c>
      <c r="D2797" s="2" t="s">
        <v>14</v>
      </c>
      <c r="E2797" s="2" t="s">
        <v>19</v>
      </c>
      <c r="F2797" s="2">
        <v>9.204040084E9</v>
      </c>
    </row>
    <row r="2798" ht="15.75" customHeight="1">
      <c r="A2798" s="2" t="s">
        <v>2696</v>
      </c>
      <c r="B2798" s="2" t="s">
        <v>2697</v>
      </c>
      <c r="C2798" s="2" t="s">
        <v>2698</v>
      </c>
      <c r="D2798" s="2" t="s">
        <v>26</v>
      </c>
      <c r="E2798" s="2" t="s">
        <v>45</v>
      </c>
      <c r="F2798" s="2">
        <v>9.87942983E9</v>
      </c>
    </row>
    <row r="2799" ht="15.75" customHeight="1">
      <c r="A2799" s="2" t="s">
        <v>707</v>
      </c>
      <c r="B2799" s="2" t="s">
        <v>50</v>
      </c>
      <c r="C2799" s="2" t="s">
        <v>500</v>
      </c>
      <c r="D2799" s="2" t="s">
        <v>44</v>
      </c>
      <c r="E2799" s="2" t="s">
        <v>19</v>
      </c>
      <c r="F2799" s="2">
        <v>9.234920896E9</v>
      </c>
    </row>
    <row r="2800" ht="15.75" customHeight="1">
      <c r="A2800" s="2" t="s">
        <v>2699</v>
      </c>
      <c r="B2800" s="2" t="s">
        <v>21</v>
      </c>
      <c r="C2800" s="2" t="s">
        <v>2700</v>
      </c>
      <c r="D2800" s="2" t="s">
        <v>14</v>
      </c>
      <c r="E2800" s="2" t="s">
        <v>282</v>
      </c>
      <c r="F2800" s="2">
        <v>8.141022336E9</v>
      </c>
    </row>
    <row r="2801" ht="15.75" customHeight="1">
      <c r="A2801" s="2" t="s">
        <v>2701</v>
      </c>
      <c r="B2801" s="2" t="s">
        <v>78</v>
      </c>
      <c r="C2801" s="2" t="s">
        <v>2603</v>
      </c>
      <c r="D2801" s="2" t="s">
        <v>14</v>
      </c>
      <c r="E2801" s="2" t="s">
        <v>45</v>
      </c>
      <c r="F2801" s="2">
        <v>8.866552234E9</v>
      </c>
    </row>
    <row r="2802" ht="15.75" customHeight="1">
      <c r="A2802" s="2" t="s">
        <v>2702</v>
      </c>
      <c r="B2802" s="2" t="s">
        <v>2703</v>
      </c>
      <c r="C2802" s="2" t="s">
        <v>500</v>
      </c>
      <c r="D2802" s="2" t="s">
        <v>44</v>
      </c>
      <c r="E2802" s="2" t="s">
        <v>19</v>
      </c>
      <c r="F2802" s="2">
        <v>7.979783431E9</v>
      </c>
    </row>
    <row r="2803" ht="15.75" customHeight="1">
      <c r="A2803" s="2" t="s">
        <v>2704</v>
      </c>
      <c r="B2803" s="2" t="s">
        <v>50</v>
      </c>
      <c r="C2803" s="2" t="s">
        <v>500</v>
      </c>
      <c r="D2803" s="2" t="s">
        <v>56</v>
      </c>
      <c r="E2803" s="2" t="s">
        <v>19</v>
      </c>
      <c r="F2803" s="2">
        <v>7.488463659E9</v>
      </c>
    </row>
    <row r="2804" ht="15.75" customHeight="1">
      <c r="A2804" s="2" t="s">
        <v>296</v>
      </c>
      <c r="B2804" s="2" t="s">
        <v>2705</v>
      </c>
      <c r="C2804" s="2" t="s">
        <v>2687</v>
      </c>
      <c r="D2804" s="2" t="s">
        <v>44</v>
      </c>
      <c r="E2804" s="2" t="s">
        <v>282</v>
      </c>
      <c r="F2804" s="2">
        <v>9.979135381E9</v>
      </c>
    </row>
    <row r="2805" ht="15.75" customHeight="1">
      <c r="A2805" s="2" t="s">
        <v>940</v>
      </c>
      <c r="B2805" s="2" t="s">
        <v>21</v>
      </c>
      <c r="C2805" s="2" t="s">
        <v>2603</v>
      </c>
      <c r="D2805" s="2" t="s">
        <v>14</v>
      </c>
      <c r="E2805" s="2" t="s">
        <v>45</v>
      </c>
      <c r="F2805" s="2">
        <v>9.374473725E9</v>
      </c>
    </row>
    <row r="2806" ht="15.75" customHeight="1">
      <c r="A2806" s="2" t="s">
        <v>1737</v>
      </c>
      <c r="B2806" s="2" t="s">
        <v>78</v>
      </c>
      <c r="C2806" s="2" t="s">
        <v>2603</v>
      </c>
      <c r="D2806" s="2" t="s">
        <v>44</v>
      </c>
      <c r="E2806" s="2" t="s">
        <v>282</v>
      </c>
      <c r="F2806" s="2">
        <v>8.128697499E9</v>
      </c>
    </row>
    <row r="2807" ht="15.75" customHeight="1">
      <c r="A2807" s="2" t="s">
        <v>2351</v>
      </c>
      <c r="B2807" s="2" t="s">
        <v>63</v>
      </c>
      <c r="C2807" s="2" t="s">
        <v>1420</v>
      </c>
      <c r="D2807" s="2" t="s">
        <v>44</v>
      </c>
      <c r="E2807" s="2" t="s">
        <v>19</v>
      </c>
      <c r="F2807" s="2">
        <v>8.34059128E9</v>
      </c>
    </row>
    <row r="2808" ht="15.75" customHeight="1">
      <c r="A2808" s="2" t="s">
        <v>381</v>
      </c>
      <c r="B2808" s="2" t="s">
        <v>50</v>
      </c>
      <c r="C2808" s="2" t="s">
        <v>1420</v>
      </c>
      <c r="D2808" s="2" t="s">
        <v>44</v>
      </c>
      <c r="E2808" s="2" t="s">
        <v>19</v>
      </c>
      <c r="F2808" s="2">
        <v>9.718456438E9</v>
      </c>
    </row>
    <row r="2809" ht="15.75" customHeight="1">
      <c r="A2809" s="2" t="s">
        <v>2706</v>
      </c>
      <c r="B2809" s="2" t="s">
        <v>2707</v>
      </c>
      <c r="C2809" s="2" t="s">
        <v>2708</v>
      </c>
      <c r="D2809" s="2" t="s">
        <v>14</v>
      </c>
      <c r="E2809" s="2" t="s">
        <v>45</v>
      </c>
      <c r="F2809" s="2">
        <v>9.016921253E9</v>
      </c>
    </row>
    <row r="2810" ht="15.75" customHeight="1">
      <c r="A2810" s="2" t="s">
        <v>2709</v>
      </c>
      <c r="B2810" s="2" t="s">
        <v>21</v>
      </c>
      <c r="C2810" s="2" t="s">
        <v>2710</v>
      </c>
      <c r="D2810" s="2" t="s">
        <v>44</v>
      </c>
      <c r="E2810" s="2" t="s">
        <v>282</v>
      </c>
      <c r="F2810" s="2">
        <v>9.424301381E9</v>
      </c>
    </row>
    <row r="2811" ht="15.75" customHeight="1">
      <c r="A2811" s="2" t="s">
        <v>446</v>
      </c>
      <c r="B2811" s="2" t="s">
        <v>50</v>
      </c>
      <c r="C2811" s="2" t="s">
        <v>1420</v>
      </c>
      <c r="D2811" s="2" t="s">
        <v>56</v>
      </c>
      <c r="E2811" s="2" t="s">
        <v>19</v>
      </c>
      <c r="F2811" s="2">
        <v>9.835941505E9</v>
      </c>
    </row>
    <row r="2812" ht="15.75" customHeight="1">
      <c r="A2812" s="2" t="s">
        <v>2711</v>
      </c>
      <c r="B2812" s="2" t="s">
        <v>1691</v>
      </c>
      <c r="C2812" s="2" t="s">
        <v>2708</v>
      </c>
      <c r="D2812" s="2" t="s">
        <v>14</v>
      </c>
      <c r="E2812" s="2" t="s">
        <v>45</v>
      </c>
      <c r="F2812" s="2">
        <v>7.016726055E9</v>
      </c>
    </row>
    <row r="2813" ht="15.75" customHeight="1">
      <c r="A2813" s="2" t="s">
        <v>234</v>
      </c>
      <c r="B2813" s="2" t="s">
        <v>50</v>
      </c>
      <c r="C2813" s="2" t="s">
        <v>1420</v>
      </c>
      <c r="D2813" s="2" t="s">
        <v>56</v>
      </c>
      <c r="E2813" s="2" t="s">
        <v>19</v>
      </c>
      <c r="F2813" s="2">
        <v>9.504014115E9</v>
      </c>
    </row>
    <row r="2814" ht="15.75" customHeight="1">
      <c r="A2814" s="2" t="s">
        <v>2712</v>
      </c>
      <c r="B2814" s="2" t="s">
        <v>2713</v>
      </c>
      <c r="C2814" s="2" t="s">
        <v>2714</v>
      </c>
      <c r="D2814" s="2" t="s">
        <v>44</v>
      </c>
      <c r="E2814" s="2" t="s">
        <v>282</v>
      </c>
      <c r="F2814" s="2">
        <v>9.819989905E9</v>
      </c>
    </row>
    <row r="2815" ht="15.75" customHeight="1">
      <c r="A2815" s="2" t="s">
        <v>2715</v>
      </c>
      <c r="B2815" s="2" t="s">
        <v>21</v>
      </c>
      <c r="C2815" s="2" t="s">
        <v>576</v>
      </c>
      <c r="D2815" s="2" t="s">
        <v>56</v>
      </c>
      <c r="E2815" s="2" t="s">
        <v>45</v>
      </c>
      <c r="F2815" s="2">
        <v>9.967657343E9</v>
      </c>
    </row>
    <row r="2816" ht="15.75" customHeight="1">
      <c r="A2816" s="2" t="s">
        <v>54</v>
      </c>
      <c r="B2816" s="2" t="s">
        <v>1380</v>
      </c>
      <c r="C2816" s="2" t="s">
        <v>1998</v>
      </c>
      <c r="D2816" s="2" t="s">
        <v>44</v>
      </c>
      <c r="E2816" s="2" t="s">
        <v>19</v>
      </c>
      <c r="F2816" s="2">
        <v>8.863871891E9</v>
      </c>
    </row>
    <row r="2817" ht="15.75" customHeight="1">
      <c r="A2817" s="2" t="s">
        <v>565</v>
      </c>
      <c r="B2817" s="2" t="s">
        <v>882</v>
      </c>
      <c r="C2817" s="2" t="s">
        <v>1998</v>
      </c>
      <c r="D2817" s="2" t="s">
        <v>14</v>
      </c>
      <c r="E2817" s="2" t="s">
        <v>19</v>
      </c>
      <c r="F2817" s="2">
        <v>9.334317727E9</v>
      </c>
    </row>
    <row r="2818" ht="15.75" customHeight="1">
      <c r="A2818" s="2" t="s">
        <v>1248</v>
      </c>
      <c r="B2818" s="2" t="s">
        <v>21</v>
      </c>
      <c r="C2818" s="2" t="s">
        <v>1513</v>
      </c>
      <c r="D2818" s="2" t="s">
        <v>26</v>
      </c>
      <c r="E2818" s="2" t="s">
        <v>282</v>
      </c>
      <c r="F2818" s="2">
        <v>9.228719551E9</v>
      </c>
    </row>
    <row r="2819" ht="15.75" customHeight="1">
      <c r="A2819" s="2" t="s">
        <v>2716</v>
      </c>
      <c r="B2819" s="2" t="s">
        <v>312</v>
      </c>
      <c r="C2819" s="2" t="s">
        <v>1998</v>
      </c>
      <c r="D2819" s="2" t="s">
        <v>56</v>
      </c>
      <c r="E2819" s="2" t="s">
        <v>19</v>
      </c>
      <c r="F2819" s="2">
        <v>9.097734306E9</v>
      </c>
    </row>
    <row r="2820" ht="15.75" customHeight="1">
      <c r="A2820" s="2" t="s">
        <v>2717</v>
      </c>
      <c r="B2820" s="2" t="s">
        <v>78</v>
      </c>
      <c r="C2820" s="2" t="s">
        <v>2718</v>
      </c>
      <c r="D2820" s="2" t="s">
        <v>26</v>
      </c>
      <c r="E2820" s="2" t="s">
        <v>45</v>
      </c>
      <c r="F2820" s="2">
        <v>8.401320131E9</v>
      </c>
    </row>
    <row r="2821" ht="15.75" customHeight="1">
      <c r="A2821" s="2" t="s">
        <v>2719</v>
      </c>
      <c r="B2821" s="2" t="s">
        <v>2720</v>
      </c>
      <c r="C2821" s="2" t="s">
        <v>1998</v>
      </c>
      <c r="D2821" s="2" t="s">
        <v>26</v>
      </c>
      <c r="E2821" s="2" t="s">
        <v>19</v>
      </c>
      <c r="F2821" s="2">
        <v>7.903570918E9</v>
      </c>
    </row>
    <row r="2822" ht="15.75" customHeight="1">
      <c r="A2822" s="2" t="s">
        <v>2721</v>
      </c>
      <c r="B2822" s="2" t="s">
        <v>21</v>
      </c>
      <c r="C2822" s="2" t="s">
        <v>2722</v>
      </c>
      <c r="D2822" s="2" t="s">
        <v>29</v>
      </c>
      <c r="E2822" s="2" t="s">
        <v>282</v>
      </c>
      <c r="F2822" s="2">
        <v>9.228234297E9</v>
      </c>
    </row>
    <row r="2823" ht="15.75" customHeight="1">
      <c r="A2823" s="2" t="s">
        <v>2723</v>
      </c>
      <c r="B2823" s="2" t="s">
        <v>1646</v>
      </c>
      <c r="C2823" s="2" t="s">
        <v>2724</v>
      </c>
      <c r="D2823" s="2" t="s">
        <v>26</v>
      </c>
      <c r="E2823" s="2" t="s">
        <v>45</v>
      </c>
      <c r="F2823" s="2">
        <v>9.726232017E9</v>
      </c>
    </row>
    <row r="2824" ht="15.75" customHeight="1">
      <c r="A2824" s="2" t="s">
        <v>2384</v>
      </c>
      <c r="B2824" s="2" t="s">
        <v>47</v>
      </c>
      <c r="C2824" s="2" t="s">
        <v>1998</v>
      </c>
      <c r="D2824" s="2" t="s">
        <v>56</v>
      </c>
      <c r="E2824" s="2" t="s">
        <v>19</v>
      </c>
      <c r="F2824" s="2">
        <v>9.308823168E9</v>
      </c>
    </row>
    <row r="2825" ht="15.75" customHeight="1">
      <c r="A2825" s="2" t="s">
        <v>2725</v>
      </c>
      <c r="B2825" s="2" t="s">
        <v>675</v>
      </c>
      <c r="C2825" s="2" t="s">
        <v>2726</v>
      </c>
      <c r="D2825" s="2" t="s">
        <v>29</v>
      </c>
      <c r="E2825" s="2" t="s">
        <v>282</v>
      </c>
      <c r="F2825" s="2">
        <v>9.601766656E9</v>
      </c>
    </row>
    <row r="2826" ht="15.75" customHeight="1">
      <c r="A2826" s="2" t="s">
        <v>109</v>
      </c>
      <c r="B2826" s="2" t="s">
        <v>50</v>
      </c>
      <c r="C2826" s="2" t="s">
        <v>423</v>
      </c>
      <c r="D2826" s="2" t="s">
        <v>56</v>
      </c>
      <c r="E2826" s="2" t="s">
        <v>19</v>
      </c>
      <c r="F2826" s="2">
        <v>8.877102975E9</v>
      </c>
    </row>
    <row r="2827" ht="15.75" customHeight="1">
      <c r="A2827" s="2" t="s">
        <v>2727</v>
      </c>
      <c r="B2827" s="2" t="s">
        <v>2728</v>
      </c>
      <c r="C2827" s="2" t="s">
        <v>2729</v>
      </c>
      <c r="D2827" s="2" t="s">
        <v>26</v>
      </c>
      <c r="E2827" s="2" t="s">
        <v>45</v>
      </c>
      <c r="F2827" s="2">
        <v>9.819635957E9</v>
      </c>
    </row>
    <row r="2828" ht="15.75" customHeight="1">
      <c r="A2828" s="2" t="s">
        <v>49</v>
      </c>
      <c r="B2828" s="2" t="s">
        <v>1056</v>
      </c>
      <c r="C2828" s="2" t="s">
        <v>423</v>
      </c>
      <c r="D2828" s="2" t="s">
        <v>14</v>
      </c>
      <c r="E2828" s="2" t="s">
        <v>19</v>
      </c>
      <c r="F2828" s="2">
        <v>9.835166315E9</v>
      </c>
    </row>
    <row r="2829" ht="15.75" customHeight="1">
      <c r="A2829" s="2" t="s">
        <v>2730</v>
      </c>
      <c r="B2829" s="2" t="s">
        <v>78</v>
      </c>
      <c r="C2829" s="2" t="s">
        <v>2731</v>
      </c>
      <c r="D2829" s="2" t="s">
        <v>14</v>
      </c>
      <c r="E2829" s="2" t="s">
        <v>282</v>
      </c>
      <c r="F2829" s="2">
        <v>9.979972017E9</v>
      </c>
    </row>
    <row r="2830" ht="15.75" customHeight="1">
      <c r="A2830" s="2" t="s">
        <v>2732</v>
      </c>
      <c r="B2830" s="2" t="s">
        <v>2733</v>
      </c>
      <c r="C2830" s="2" t="s">
        <v>2734</v>
      </c>
      <c r="D2830" s="2" t="s">
        <v>29</v>
      </c>
      <c r="E2830" s="2" t="s">
        <v>45</v>
      </c>
      <c r="F2830" s="2">
        <v>9.461530322E9</v>
      </c>
    </row>
    <row r="2831" ht="15.75" customHeight="1">
      <c r="A2831" s="2" t="s">
        <v>2735</v>
      </c>
      <c r="B2831" s="2" t="s">
        <v>245</v>
      </c>
      <c r="C2831" s="2" t="s">
        <v>423</v>
      </c>
      <c r="D2831" s="2" t="s">
        <v>44</v>
      </c>
      <c r="E2831" s="2" t="s">
        <v>19</v>
      </c>
      <c r="F2831" s="2">
        <v>9.8353911E9</v>
      </c>
    </row>
    <row r="2832" ht="15.75" customHeight="1">
      <c r="A2832" s="2" t="s">
        <v>2736</v>
      </c>
      <c r="B2832" s="2" t="s">
        <v>743</v>
      </c>
      <c r="C2832" s="2" t="s">
        <v>2737</v>
      </c>
      <c r="D2832" s="2" t="s">
        <v>26</v>
      </c>
      <c r="E2832" s="2" t="s">
        <v>282</v>
      </c>
      <c r="F2832" s="2">
        <v>8.630289273E9</v>
      </c>
    </row>
    <row r="2833" ht="15.75" customHeight="1">
      <c r="A2833" s="2" t="s">
        <v>234</v>
      </c>
      <c r="B2833" s="2" t="s">
        <v>50</v>
      </c>
      <c r="C2833" s="2" t="s">
        <v>423</v>
      </c>
      <c r="D2833" s="2" t="s">
        <v>14</v>
      </c>
      <c r="E2833" s="2" t="s">
        <v>19</v>
      </c>
      <c r="F2833" s="2">
        <v>9.163252648E9</v>
      </c>
    </row>
    <row r="2834" ht="15.75" customHeight="1">
      <c r="A2834" s="2" t="s">
        <v>2738</v>
      </c>
      <c r="B2834" s="2" t="s">
        <v>63</v>
      </c>
      <c r="C2834" s="2" t="s">
        <v>426</v>
      </c>
      <c r="D2834" s="2" t="s">
        <v>26</v>
      </c>
      <c r="E2834" s="2" t="s">
        <v>45</v>
      </c>
      <c r="F2834" s="2">
        <v>9.099944415E9</v>
      </c>
    </row>
    <row r="2835" ht="15.75" customHeight="1">
      <c r="A2835" s="2" t="s">
        <v>1380</v>
      </c>
      <c r="B2835" s="2" t="s">
        <v>382</v>
      </c>
      <c r="C2835" s="2" t="s">
        <v>423</v>
      </c>
      <c r="D2835" s="2" t="s">
        <v>56</v>
      </c>
      <c r="E2835" s="2" t="s">
        <v>19</v>
      </c>
      <c r="F2835" s="2">
        <v>9.608823332E9</v>
      </c>
    </row>
    <row r="2836" ht="15.75" customHeight="1">
      <c r="A2836" s="2" t="s">
        <v>2672</v>
      </c>
      <c r="B2836" s="2" t="s">
        <v>78</v>
      </c>
      <c r="C2836" s="2" t="s">
        <v>2739</v>
      </c>
      <c r="D2836" s="2" t="s">
        <v>9</v>
      </c>
      <c r="E2836" s="2" t="s">
        <v>282</v>
      </c>
      <c r="F2836" s="2">
        <v>9.429439401E9</v>
      </c>
    </row>
    <row r="2837" ht="15.75" customHeight="1">
      <c r="A2837" s="2" t="s">
        <v>1915</v>
      </c>
      <c r="B2837" s="2" t="s">
        <v>2740</v>
      </c>
      <c r="C2837" s="2" t="s">
        <v>2729</v>
      </c>
      <c r="D2837" s="2" t="s">
        <v>26</v>
      </c>
      <c r="E2837" s="2" t="s">
        <v>45</v>
      </c>
      <c r="F2837" s="2">
        <v>7.715034347E9</v>
      </c>
    </row>
    <row r="2838" ht="15.75" customHeight="1">
      <c r="A2838" s="2" t="s">
        <v>125</v>
      </c>
      <c r="B2838" s="2" t="s">
        <v>308</v>
      </c>
      <c r="C2838" s="2" t="s">
        <v>133</v>
      </c>
      <c r="D2838" s="2" t="s">
        <v>44</v>
      </c>
      <c r="E2838" s="2" t="s">
        <v>19</v>
      </c>
      <c r="F2838" s="2">
        <v>9.113461294E9</v>
      </c>
    </row>
    <row r="2839" ht="15.75" customHeight="1">
      <c r="A2839" s="2" t="s">
        <v>2741</v>
      </c>
      <c r="B2839" s="2" t="s">
        <v>2742</v>
      </c>
      <c r="C2839" s="2" t="s">
        <v>576</v>
      </c>
      <c r="D2839" s="2" t="s">
        <v>9</v>
      </c>
      <c r="E2839" s="2" t="s">
        <v>282</v>
      </c>
      <c r="F2839" s="2">
        <v>9.898095394E9</v>
      </c>
    </row>
    <row r="2840" ht="15.75" customHeight="1">
      <c r="A2840" s="2" t="s">
        <v>446</v>
      </c>
      <c r="B2840" s="2" t="s">
        <v>125</v>
      </c>
      <c r="C2840" s="2" t="s">
        <v>133</v>
      </c>
      <c r="D2840" s="2" t="s">
        <v>56</v>
      </c>
      <c r="E2840" s="2" t="s">
        <v>19</v>
      </c>
      <c r="F2840" s="2">
        <v>7.463887777E9</v>
      </c>
    </row>
    <row r="2841" ht="15.75" customHeight="1">
      <c r="A2841" s="2" t="s">
        <v>2743</v>
      </c>
      <c r="B2841" s="2" t="s">
        <v>2388</v>
      </c>
      <c r="C2841" s="2" t="s">
        <v>2710</v>
      </c>
      <c r="D2841" s="2" t="s">
        <v>14</v>
      </c>
      <c r="E2841" s="2" t="s">
        <v>45</v>
      </c>
      <c r="F2841" s="2">
        <v>9.97414136E9</v>
      </c>
    </row>
    <row r="2842" ht="15.75" customHeight="1">
      <c r="A2842" s="2" t="s">
        <v>507</v>
      </c>
      <c r="B2842" s="2" t="s">
        <v>63</v>
      </c>
      <c r="C2842" s="2" t="s">
        <v>133</v>
      </c>
      <c r="D2842" s="2" t="s">
        <v>14</v>
      </c>
      <c r="E2842" s="2" t="s">
        <v>19</v>
      </c>
      <c r="F2842" s="2">
        <v>7.004396865E9</v>
      </c>
    </row>
    <row r="2843" ht="15.75" customHeight="1">
      <c r="A2843" s="2" t="s">
        <v>496</v>
      </c>
      <c r="B2843" s="2" t="s">
        <v>21</v>
      </c>
      <c r="C2843" s="2" t="s">
        <v>2744</v>
      </c>
      <c r="D2843" s="2" t="s">
        <v>29</v>
      </c>
      <c r="E2843" s="2" t="s">
        <v>282</v>
      </c>
      <c r="F2843" s="2">
        <v>7.2280609E9</v>
      </c>
    </row>
    <row r="2844" ht="15.75" customHeight="1">
      <c r="A2844" s="2" t="s">
        <v>2745</v>
      </c>
      <c r="B2844" s="2" t="s">
        <v>78</v>
      </c>
      <c r="C2844" s="2" t="s">
        <v>2746</v>
      </c>
      <c r="D2844" s="2" t="s">
        <v>56</v>
      </c>
      <c r="E2844" s="2" t="s">
        <v>45</v>
      </c>
      <c r="F2844" s="2">
        <v>9.925812886E9</v>
      </c>
    </row>
    <row r="2845" ht="15.75" customHeight="1">
      <c r="A2845" s="2" t="s">
        <v>1806</v>
      </c>
      <c r="B2845" s="2" t="s">
        <v>50</v>
      </c>
      <c r="C2845" s="2" t="s">
        <v>1042</v>
      </c>
      <c r="D2845" s="2" t="s">
        <v>56</v>
      </c>
      <c r="E2845" s="2" t="s">
        <v>19</v>
      </c>
      <c r="F2845" s="2">
        <v>9.905238601E9</v>
      </c>
    </row>
    <row r="2846" ht="15.75" customHeight="1">
      <c r="A2846" s="2" t="s">
        <v>940</v>
      </c>
      <c r="B2846" s="2" t="s">
        <v>65</v>
      </c>
      <c r="C2846" s="2" t="s">
        <v>2708</v>
      </c>
      <c r="D2846" s="2" t="s">
        <v>26</v>
      </c>
      <c r="E2846" s="2" t="s">
        <v>282</v>
      </c>
      <c r="F2846" s="2">
        <v>7.016230462E9</v>
      </c>
    </row>
    <row r="2847" ht="15.75" customHeight="1">
      <c r="A2847" s="2" t="s">
        <v>2747</v>
      </c>
      <c r="B2847" s="2" t="s">
        <v>69</v>
      </c>
      <c r="C2847" s="2" t="s">
        <v>2748</v>
      </c>
      <c r="D2847" s="2" t="s">
        <v>56</v>
      </c>
      <c r="E2847" s="2" t="s">
        <v>45</v>
      </c>
      <c r="F2847" s="2">
        <v>9.016526602E9</v>
      </c>
    </row>
    <row r="2848" ht="15.75" customHeight="1">
      <c r="A2848" s="2" t="s">
        <v>2448</v>
      </c>
      <c r="B2848" s="2" t="s">
        <v>65</v>
      </c>
      <c r="C2848" s="2" t="s">
        <v>729</v>
      </c>
      <c r="D2848" s="2" t="s">
        <v>26</v>
      </c>
      <c r="E2848" s="2" t="s">
        <v>19</v>
      </c>
      <c r="F2848" s="2">
        <v>9.79552639E9</v>
      </c>
    </row>
    <row r="2849" ht="15.75" customHeight="1">
      <c r="A2849" s="2" t="s">
        <v>178</v>
      </c>
      <c r="B2849" s="2" t="s">
        <v>312</v>
      </c>
      <c r="C2849" s="2" t="s">
        <v>1042</v>
      </c>
      <c r="D2849" s="2" t="s">
        <v>14</v>
      </c>
      <c r="E2849" s="2" t="s">
        <v>19</v>
      </c>
      <c r="F2849" s="2">
        <v>9.693117586E9</v>
      </c>
    </row>
    <row r="2850" ht="15.75" customHeight="1">
      <c r="A2850" s="2" t="s">
        <v>2749</v>
      </c>
      <c r="B2850" s="2" t="s">
        <v>21</v>
      </c>
      <c r="C2850" s="2" t="s">
        <v>2714</v>
      </c>
      <c r="D2850" s="2" t="s">
        <v>26</v>
      </c>
      <c r="E2850" s="2" t="s">
        <v>45</v>
      </c>
      <c r="F2850" s="2">
        <v>9.428046811E9</v>
      </c>
    </row>
    <row r="2851" ht="15.75" customHeight="1">
      <c r="A2851" s="2" t="s">
        <v>2741</v>
      </c>
      <c r="B2851" s="2" t="s">
        <v>78</v>
      </c>
      <c r="C2851" s="2" t="s">
        <v>2750</v>
      </c>
      <c r="D2851" s="2" t="s">
        <v>44</v>
      </c>
      <c r="E2851" s="2" t="s">
        <v>282</v>
      </c>
      <c r="F2851" s="2">
        <v>9.978342734E9</v>
      </c>
    </row>
    <row r="2852" ht="15.75" customHeight="1">
      <c r="A2852" s="2" t="s">
        <v>2751</v>
      </c>
      <c r="B2852" s="2" t="s">
        <v>50</v>
      </c>
      <c r="C2852" s="2" t="s">
        <v>1042</v>
      </c>
      <c r="D2852" s="2" t="s">
        <v>44</v>
      </c>
      <c r="E2852" s="2" t="s">
        <v>19</v>
      </c>
      <c r="F2852" s="2">
        <v>8.387460808E9</v>
      </c>
    </row>
    <row r="2853" ht="15.75" customHeight="1">
      <c r="A2853" s="2" t="s">
        <v>2752</v>
      </c>
      <c r="B2853" s="2" t="s">
        <v>997</v>
      </c>
      <c r="C2853" s="2" t="s">
        <v>171</v>
      </c>
      <c r="D2853" s="2" t="s">
        <v>14</v>
      </c>
      <c r="E2853" s="2" t="s">
        <v>45</v>
      </c>
      <c r="F2853" s="2">
        <v>9.824019047E9</v>
      </c>
    </row>
    <row r="2854" ht="15.75" customHeight="1">
      <c r="A2854" s="2" t="s">
        <v>1278</v>
      </c>
      <c r="B2854" s="2" t="s">
        <v>675</v>
      </c>
      <c r="C2854" s="2" t="s">
        <v>2753</v>
      </c>
      <c r="D2854" s="2" t="s">
        <v>56</v>
      </c>
      <c r="E2854" s="2" t="s">
        <v>282</v>
      </c>
      <c r="F2854" s="2">
        <v>9.82409255E9</v>
      </c>
    </row>
    <row r="2855" ht="15.75" customHeight="1">
      <c r="A2855" s="2" t="s">
        <v>2754</v>
      </c>
      <c r="B2855" s="2" t="s">
        <v>2755</v>
      </c>
      <c r="C2855" s="2" t="s">
        <v>1039</v>
      </c>
      <c r="D2855" s="2" t="s">
        <v>56</v>
      </c>
      <c r="E2855" s="2" t="s">
        <v>19</v>
      </c>
      <c r="F2855" s="2">
        <v>9.304786362E9</v>
      </c>
    </row>
    <row r="2856" ht="15.75" customHeight="1">
      <c r="A2856" s="2" t="s">
        <v>2756</v>
      </c>
      <c r="B2856" s="2" t="s">
        <v>78</v>
      </c>
      <c r="C2856" s="2" t="s">
        <v>2757</v>
      </c>
      <c r="D2856" s="2" t="s">
        <v>44</v>
      </c>
      <c r="E2856" s="2" t="s">
        <v>45</v>
      </c>
      <c r="F2856" s="2">
        <v>9.909844558E9</v>
      </c>
    </row>
    <row r="2857" ht="15.75" customHeight="1">
      <c r="A2857" s="2" t="s">
        <v>1227</v>
      </c>
      <c r="B2857" s="2" t="s">
        <v>75</v>
      </c>
      <c r="C2857" s="2" t="s">
        <v>171</v>
      </c>
      <c r="D2857" s="2" t="s">
        <v>26</v>
      </c>
      <c r="E2857" s="2" t="s">
        <v>19</v>
      </c>
      <c r="F2857" s="2">
        <v>9.805472889E9</v>
      </c>
    </row>
    <row r="2858" ht="15.75" customHeight="1">
      <c r="A2858" s="2" t="s">
        <v>2743</v>
      </c>
      <c r="B2858" s="2" t="s">
        <v>2758</v>
      </c>
      <c r="C2858" s="2" t="s">
        <v>2739</v>
      </c>
      <c r="D2858" s="2" t="s">
        <v>56</v>
      </c>
      <c r="E2858" s="2" t="s">
        <v>282</v>
      </c>
      <c r="F2858" s="2">
        <v>9.825612437E9</v>
      </c>
    </row>
    <row r="2859" ht="15.75" customHeight="1">
      <c r="A2859" s="2" t="s">
        <v>2759</v>
      </c>
      <c r="B2859" s="2" t="s">
        <v>765</v>
      </c>
      <c r="C2859" s="2" t="s">
        <v>1818</v>
      </c>
      <c r="D2859" s="2" t="s">
        <v>56</v>
      </c>
      <c r="E2859" s="2" t="s">
        <v>19</v>
      </c>
      <c r="F2859" s="2">
        <v>9.308112854E9</v>
      </c>
    </row>
    <row r="2860" ht="15.75" customHeight="1">
      <c r="A2860" s="2" t="s">
        <v>2760</v>
      </c>
      <c r="B2860" s="2" t="s">
        <v>2761</v>
      </c>
      <c r="C2860" s="2" t="s">
        <v>2762</v>
      </c>
      <c r="D2860" s="2" t="s">
        <v>14</v>
      </c>
      <c r="E2860" s="2" t="s">
        <v>45</v>
      </c>
      <c r="F2860" s="2">
        <v>9.82569798E9</v>
      </c>
    </row>
    <row r="2861" ht="15.75" customHeight="1">
      <c r="A2861" s="2" t="s">
        <v>2672</v>
      </c>
      <c r="B2861" s="2" t="s">
        <v>675</v>
      </c>
      <c r="C2861" s="2" t="s">
        <v>2763</v>
      </c>
      <c r="D2861" s="2" t="s">
        <v>56</v>
      </c>
      <c r="E2861" s="2" t="s">
        <v>282</v>
      </c>
      <c r="F2861" s="2">
        <v>9.998083451E9</v>
      </c>
    </row>
    <row r="2862" ht="15.75" customHeight="1">
      <c r="A2862" s="2" t="s">
        <v>2764</v>
      </c>
      <c r="B2862" s="2" t="s">
        <v>65</v>
      </c>
      <c r="C2862" s="2" t="s">
        <v>2518</v>
      </c>
      <c r="D2862" s="2" t="s">
        <v>56</v>
      </c>
      <c r="E2862" s="2" t="s">
        <v>19</v>
      </c>
      <c r="F2862" s="2">
        <v>9.708112884E9</v>
      </c>
    </row>
    <row r="2863" ht="15.75" customHeight="1">
      <c r="A2863" s="2" t="s">
        <v>2765</v>
      </c>
      <c r="B2863" s="2" t="s">
        <v>675</v>
      </c>
      <c r="C2863" s="2" t="s">
        <v>2766</v>
      </c>
      <c r="D2863" s="2" t="s">
        <v>26</v>
      </c>
      <c r="E2863" s="2" t="s">
        <v>45</v>
      </c>
      <c r="F2863" s="2">
        <v>9.327761066E9</v>
      </c>
    </row>
    <row r="2864" ht="15.75" customHeight="1">
      <c r="A2864" s="2" t="s">
        <v>2767</v>
      </c>
      <c r="B2864" s="2" t="s">
        <v>78</v>
      </c>
      <c r="C2864" s="2" t="s">
        <v>2739</v>
      </c>
      <c r="D2864" s="2" t="s">
        <v>29</v>
      </c>
      <c r="E2864" s="2" t="s">
        <v>282</v>
      </c>
      <c r="F2864" s="2">
        <v>9.825408344E9</v>
      </c>
    </row>
    <row r="2865" ht="15.75" customHeight="1">
      <c r="A2865" s="2" t="s">
        <v>2768</v>
      </c>
      <c r="B2865" s="2" t="s">
        <v>50</v>
      </c>
      <c r="C2865" s="2" t="s">
        <v>305</v>
      </c>
      <c r="D2865" s="2" t="s">
        <v>26</v>
      </c>
      <c r="E2865" s="2" t="s">
        <v>19</v>
      </c>
      <c r="F2865" s="2">
        <v>8.987549885E9</v>
      </c>
    </row>
    <row r="2866" ht="15.75" customHeight="1">
      <c r="A2866" s="2" t="s">
        <v>2769</v>
      </c>
      <c r="B2866" s="2" t="s">
        <v>483</v>
      </c>
      <c r="C2866" s="2" t="s">
        <v>2734</v>
      </c>
      <c r="D2866" s="2" t="s">
        <v>29</v>
      </c>
      <c r="E2866" s="2" t="s">
        <v>45</v>
      </c>
      <c r="F2866" s="2">
        <v>9.377731173E9</v>
      </c>
    </row>
    <row r="2867" ht="15.75" customHeight="1">
      <c r="A2867" s="2" t="s">
        <v>1672</v>
      </c>
      <c r="B2867" s="2" t="s">
        <v>21</v>
      </c>
      <c r="C2867" s="2" t="s">
        <v>2770</v>
      </c>
      <c r="D2867" s="2" t="s">
        <v>9</v>
      </c>
      <c r="E2867" s="2" t="s">
        <v>282</v>
      </c>
      <c r="F2867" s="2">
        <v>9.106820002E9</v>
      </c>
    </row>
    <row r="2868" ht="15.75" customHeight="1">
      <c r="A2868" s="2" t="s">
        <v>565</v>
      </c>
      <c r="B2868" s="2" t="s">
        <v>63</v>
      </c>
      <c r="C2868" s="2" t="s">
        <v>200</v>
      </c>
      <c r="D2868" s="2" t="s">
        <v>26</v>
      </c>
      <c r="E2868" s="2" t="s">
        <v>19</v>
      </c>
      <c r="F2868" s="2">
        <v>9.876345621E9</v>
      </c>
    </row>
    <row r="2869" ht="15.75" customHeight="1">
      <c r="A2869" s="2" t="s">
        <v>996</v>
      </c>
      <c r="B2869" s="2" t="s">
        <v>2733</v>
      </c>
      <c r="C2869" s="2" t="s">
        <v>2771</v>
      </c>
      <c r="D2869" s="2" t="s">
        <v>14</v>
      </c>
      <c r="E2869" s="2" t="s">
        <v>45</v>
      </c>
      <c r="F2869" s="2">
        <v>9.712970753E9</v>
      </c>
    </row>
    <row r="2870" ht="15.75" customHeight="1">
      <c r="A2870" s="2" t="s">
        <v>2772</v>
      </c>
      <c r="B2870" s="2" t="s">
        <v>2773</v>
      </c>
      <c r="C2870" s="2" t="s">
        <v>2753</v>
      </c>
      <c r="D2870" s="2" t="s">
        <v>56</v>
      </c>
      <c r="E2870" s="2" t="s">
        <v>282</v>
      </c>
      <c r="F2870" s="2">
        <v>9.687161021E9</v>
      </c>
    </row>
    <row r="2871" ht="15.75" customHeight="1">
      <c r="A2871" s="2" t="s">
        <v>2774</v>
      </c>
      <c r="B2871" s="2" t="s">
        <v>50</v>
      </c>
      <c r="C2871" s="2" t="s">
        <v>1039</v>
      </c>
      <c r="D2871" s="2" t="s">
        <v>26</v>
      </c>
      <c r="E2871" s="2" t="s">
        <v>19</v>
      </c>
      <c r="F2871" s="2">
        <v>9.507965009E9</v>
      </c>
    </row>
    <row r="2872" ht="15.75" customHeight="1">
      <c r="A2872" s="2" t="s">
        <v>2775</v>
      </c>
      <c r="B2872" s="2" t="s">
        <v>483</v>
      </c>
      <c r="C2872" s="2" t="s">
        <v>2776</v>
      </c>
      <c r="D2872" s="2" t="s">
        <v>26</v>
      </c>
      <c r="E2872" s="2" t="s">
        <v>45</v>
      </c>
      <c r="F2872" s="2">
        <v>9.92443379E9</v>
      </c>
    </row>
    <row r="2873" ht="15.75" customHeight="1">
      <c r="A2873" s="2" t="s">
        <v>2777</v>
      </c>
      <c r="B2873" s="2" t="s">
        <v>2778</v>
      </c>
      <c r="C2873" s="2" t="s">
        <v>2779</v>
      </c>
      <c r="D2873" s="2" t="s">
        <v>14</v>
      </c>
      <c r="E2873" s="2" t="s">
        <v>282</v>
      </c>
      <c r="F2873" s="2">
        <v>9.825764035E9</v>
      </c>
    </row>
    <row r="2874" ht="15.75" customHeight="1">
      <c r="A2874" s="2" t="s">
        <v>406</v>
      </c>
      <c r="B2874" s="2" t="s">
        <v>21</v>
      </c>
      <c r="C2874" s="2" t="s">
        <v>1024</v>
      </c>
      <c r="D2874" s="2" t="s">
        <v>56</v>
      </c>
      <c r="E2874" s="2" t="s">
        <v>23</v>
      </c>
      <c r="F2874" s="2">
        <v>9.109557806E9</v>
      </c>
    </row>
    <row r="2875" ht="15.75" customHeight="1">
      <c r="A2875" s="2" t="s">
        <v>871</v>
      </c>
      <c r="B2875" s="2" t="s">
        <v>1058</v>
      </c>
      <c r="C2875" s="2" t="s">
        <v>289</v>
      </c>
      <c r="D2875" s="2" t="s">
        <v>26</v>
      </c>
      <c r="E2875" s="2" t="s">
        <v>19</v>
      </c>
      <c r="F2875" s="2">
        <v>7.20990117E9</v>
      </c>
    </row>
    <row r="2876" ht="15.75" customHeight="1">
      <c r="A2876" s="2" t="s">
        <v>1386</v>
      </c>
      <c r="B2876" s="2" t="s">
        <v>63</v>
      </c>
      <c r="C2876" s="2" t="s">
        <v>553</v>
      </c>
      <c r="D2876" s="2" t="s">
        <v>26</v>
      </c>
      <c r="E2876" s="2" t="s">
        <v>23</v>
      </c>
      <c r="F2876" s="2">
        <v>6.201469942E9</v>
      </c>
    </row>
    <row r="2877" ht="15.75" customHeight="1">
      <c r="A2877" s="2" t="s">
        <v>2780</v>
      </c>
      <c r="B2877" s="2" t="s">
        <v>63</v>
      </c>
      <c r="C2877" s="2" t="s">
        <v>2781</v>
      </c>
      <c r="D2877" s="2" t="s">
        <v>9</v>
      </c>
      <c r="E2877" s="2" t="s">
        <v>19</v>
      </c>
      <c r="F2877" s="2">
        <v>8.792864754E9</v>
      </c>
    </row>
    <row r="2878" ht="15.75" customHeight="1">
      <c r="A2878" s="2" t="s">
        <v>2305</v>
      </c>
      <c r="B2878" s="2" t="s">
        <v>65</v>
      </c>
      <c r="C2878" s="2" t="s">
        <v>763</v>
      </c>
      <c r="D2878" s="2" t="s">
        <v>56</v>
      </c>
      <c r="E2878" s="2" t="s">
        <v>23</v>
      </c>
      <c r="F2878" s="2">
        <v>7.250791717E9</v>
      </c>
    </row>
    <row r="2879" ht="15.75" customHeight="1">
      <c r="A2879" s="2" t="s">
        <v>1422</v>
      </c>
      <c r="B2879" s="2" t="s">
        <v>50</v>
      </c>
      <c r="C2879" s="2" t="s">
        <v>2782</v>
      </c>
      <c r="D2879" s="2" t="s">
        <v>9</v>
      </c>
      <c r="E2879" s="2" t="s">
        <v>19</v>
      </c>
      <c r="F2879" s="2">
        <v>7.487592795E9</v>
      </c>
    </row>
    <row r="2880" ht="15.75" customHeight="1">
      <c r="A2880" s="2" t="s">
        <v>1756</v>
      </c>
      <c r="B2880" s="2" t="s">
        <v>21</v>
      </c>
      <c r="C2880" s="2" t="s">
        <v>1720</v>
      </c>
      <c r="D2880" s="2" t="s">
        <v>26</v>
      </c>
      <c r="E2880" s="2" t="s">
        <v>23</v>
      </c>
      <c r="F2880" s="2">
        <v>6.201262674E9</v>
      </c>
    </row>
    <row r="2881" ht="15.75" customHeight="1">
      <c r="A2881" s="2" t="s">
        <v>1500</v>
      </c>
      <c r="B2881" s="2" t="s">
        <v>1997</v>
      </c>
      <c r="C2881" s="2" t="s">
        <v>2783</v>
      </c>
      <c r="D2881" s="2" t="s">
        <v>44</v>
      </c>
      <c r="E2881" s="2" t="s">
        <v>19</v>
      </c>
      <c r="F2881" s="2">
        <v>8.789582186E9</v>
      </c>
    </row>
    <row r="2882" ht="15.75" customHeight="1">
      <c r="A2882" s="2" t="s">
        <v>2106</v>
      </c>
      <c r="B2882" s="2" t="s">
        <v>909</v>
      </c>
      <c r="C2882" s="2" t="s">
        <v>556</v>
      </c>
      <c r="D2882" s="2" t="s">
        <v>9</v>
      </c>
      <c r="E2882" s="2" t="s">
        <v>255</v>
      </c>
      <c r="F2882" s="2">
        <v>6.203774828E9</v>
      </c>
    </row>
    <row r="2883" ht="15.75" customHeight="1">
      <c r="A2883" s="2" t="s">
        <v>1460</v>
      </c>
      <c r="B2883" s="2" t="s">
        <v>50</v>
      </c>
      <c r="C2883" s="2" t="s">
        <v>265</v>
      </c>
      <c r="D2883" s="2" t="s">
        <v>9</v>
      </c>
      <c r="E2883" s="2" t="s">
        <v>19</v>
      </c>
      <c r="F2883" s="2">
        <v>8.809286998E9</v>
      </c>
    </row>
    <row r="2884" ht="15.75" customHeight="1">
      <c r="A2884" s="2" t="s">
        <v>2784</v>
      </c>
      <c r="B2884" s="2" t="s">
        <v>2247</v>
      </c>
      <c r="C2884" s="2" t="s">
        <v>237</v>
      </c>
      <c r="D2884" s="2" t="s">
        <v>26</v>
      </c>
      <c r="E2884" s="2" t="s">
        <v>255</v>
      </c>
      <c r="F2884" s="2">
        <v>8.002564012E9</v>
      </c>
    </row>
    <row r="2885" ht="15.75" customHeight="1">
      <c r="A2885" s="2" t="s">
        <v>2693</v>
      </c>
      <c r="B2885" s="2" t="s">
        <v>2785</v>
      </c>
      <c r="C2885" s="2" t="s">
        <v>576</v>
      </c>
      <c r="D2885" s="2" t="s">
        <v>44</v>
      </c>
      <c r="E2885" s="2" t="s">
        <v>19</v>
      </c>
      <c r="F2885" s="2">
        <v>9.102472113E9</v>
      </c>
    </row>
    <row r="2886" ht="15.75" customHeight="1">
      <c r="A2886" s="2" t="s">
        <v>2786</v>
      </c>
      <c r="B2886" s="2" t="s">
        <v>303</v>
      </c>
      <c r="C2886" s="2" t="s">
        <v>246</v>
      </c>
      <c r="D2886" s="2" t="s">
        <v>56</v>
      </c>
      <c r="E2886" s="2" t="s">
        <v>255</v>
      </c>
      <c r="F2886" s="2">
        <v>9.835177692E9</v>
      </c>
    </row>
    <row r="2887" ht="15.75" customHeight="1">
      <c r="A2887" s="2" t="s">
        <v>2787</v>
      </c>
      <c r="B2887" s="2" t="s">
        <v>50</v>
      </c>
      <c r="C2887" s="2" t="s">
        <v>230</v>
      </c>
      <c r="D2887" s="2" t="s">
        <v>9</v>
      </c>
      <c r="E2887" s="2" t="s">
        <v>19</v>
      </c>
      <c r="F2887" s="2">
        <v>9.504540684E9</v>
      </c>
    </row>
    <row r="2888" ht="15.75" customHeight="1">
      <c r="A2888" s="2" t="s">
        <v>2788</v>
      </c>
      <c r="B2888" s="2" t="s">
        <v>594</v>
      </c>
      <c r="C2888" s="2" t="s">
        <v>2789</v>
      </c>
      <c r="D2888" s="2" t="s">
        <v>29</v>
      </c>
      <c r="E2888" s="2" t="s">
        <v>255</v>
      </c>
      <c r="F2888" s="2">
        <v>7.250969166E9</v>
      </c>
    </row>
    <row r="2889" ht="15.75" customHeight="1">
      <c r="A2889" s="2" t="s">
        <v>2790</v>
      </c>
      <c r="B2889" s="2" t="s">
        <v>50</v>
      </c>
      <c r="C2889" s="2" t="s">
        <v>2791</v>
      </c>
      <c r="D2889" s="2" t="s">
        <v>29</v>
      </c>
      <c r="E2889" s="2" t="s">
        <v>19</v>
      </c>
      <c r="F2889" s="2">
        <v>9.973513929E9</v>
      </c>
    </row>
    <row r="2890" ht="15.75" customHeight="1">
      <c r="A2890" s="2" t="s">
        <v>2792</v>
      </c>
      <c r="B2890" s="2" t="s">
        <v>1861</v>
      </c>
      <c r="C2890" s="2" t="s">
        <v>200</v>
      </c>
      <c r="D2890" s="2" t="s">
        <v>44</v>
      </c>
      <c r="E2890" s="2" t="s">
        <v>19</v>
      </c>
      <c r="F2890" s="2">
        <v>8.603528325E9</v>
      </c>
    </row>
    <row r="2891" ht="15.75" customHeight="1">
      <c r="A2891" s="2" t="s">
        <v>1225</v>
      </c>
      <c r="B2891" s="2" t="s">
        <v>191</v>
      </c>
      <c r="C2891" s="2" t="s">
        <v>821</v>
      </c>
      <c r="D2891" s="2" t="s">
        <v>56</v>
      </c>
      <c r="E2891" s="2" t="s">
        <v>255</v>
      </c>
      <c r="F2891" s="2">
        <v>8.789093936E9</v>
      </c>
    </row>
    <row r="2892" ht="15.75" customHeight="1">
      <c r="A2892" s="2" t="s">
        <v>1468</v>
      </c>
      <c r="B2892" s="2" t="s">
        <v>47</v>
      </c>
      <c r="C2892" s="2" t="s">
        <v>58</v>
      </c>
      <c r="D2892" s="2" t="s">
        <v>14</v>
      </c>
      <c r="E2892" s="2" t="s">
        <v>19</v>
      </c>
      <c r="F2892" s="2">
        <v>8.739787338E9</v>
      </c>
    </row>
    <row r="2893" ht="15.75" customHeight="1">
      <c r="A2893" s="2" t="s">
        <v>2790</v>
      </c>
      <c r="B2893" s="2" t="s">
        <v>50</v>
      </c>
      <c r="C2893" s="2" t="s">
        <v>235</v>
      </c>
      <c r="D2893" s="2" t="s">
        <v>26</v>
      </c>
      <c r="E2893" s="2" t="s">
        <v>19</v>
      </c>
      <c r="F2893" s="2">
        <v>8.070528191E9</v>
      </c>
    </row>
    <row r="2894" ht="15.75" customHeight="1">
      <c r="A2894" s="2" t="s">
        <v>1225</v>
      </c>
      <c r="B2894" s="2" t="s">
        <v>191</v>
      </c>
      <c r="C2894" s="2" t="s">
        <v>2418</v>
      </c>
      <c r="D2894" s="2" t="s">
        <v>26</v>
      </c>
      <c r="E2894" s="2" t="s">
        <v>255</v>
      </c>
      <c r="F2894" s="2">
        <v>8.936803595E9</v>
      </c>
    </row>
    <row r="2895" ht="15.75" customHeight="1">
      <c r="A2895" s="2" t="s">
        <v>1551</v>
      </c>
      <c r="B2895" s="2" t="s">
        <v>119</v>
      </c>
      <c r="C2895" s="2" t="s">
        <v>2793</v>
      </c>
      <c r="D2895" s="2" t="s">
        <v>29</v>
      </c>
      <c r="E2895" s="2" t="s">
        <v>19</v>
      </c>
      <c r="F2895" s="2">
        <v>7.870829626E9</v>
      </c>
    </row>
    <row r="2896" ht="15.75" customHeight="1">
      <c r="A2896" s="2" t="s">
        <v>2794</v>
      </c>
      <c r="B2896" s="2" t="s">
        <v>269</v>
      </c>
      <c r="C2896" s="2" t="s">
        <v>237</v>
      </c>
      <c r="D2896" s="2" t="s">
        <v>56</v>
      </c>
      <c r="E2896" s="2" t="s">
        <v>255</v>
      </c>
      <c r="F2896" s="2">
        <v>9.234968324E9</v>
      </c>
    </row>
    <row r="2897" ht="15.75" customHeight="1">
      <c r="A2897" s="2" t="s">
        <v>2795</v>
      </c>
      <c r="B2897" s="2" t="s">
        <v>50</v>
      </c>
      <c r="C2897" s="2" t="s">
        <v>2791</v>
      </c>
      <c r="D2897" s="2" t="s">
        <v>26</v>
      </c>
      <c r="E2897" s="2" t="s">
        <v>19</v>
      </c>
      <c r="F2897" s="2">
        <v>6.20663827E9</v>
      </c>
    </row>
    <row r="2898" ht="15.75" customHeight="1">
      <c r="A2898" s="2" t="s">
        <v>2796</v>
      </c>
      <c r="B2898" s="2" t="s">
        <v>55</v>
      </c>
      <c r="C2898" s="2" t="s">
        <v>83</v>
      </c>
      <c r="D2898" s="2" t="s">
        <v>44</v>
      </c>
      <c r="E2898" s="2" t="s">
        <v>255</v>
      </c>
      <c r="F2898" s="2">
        <v>8.804028007E9</v>
      </c>
    </row>
    <row r="2899" ht="15.75" customHeight="1">
      <c r="A2899" s="2" t="s">
        <v>579</v>
      </c>
      <c r="B2899" s="2" t="s">
        <v>2797</v>
      </c>
      <c r="C2899" s="2" t="s">
        <v>455</v>
      </c>
      <c r="D2899" s="2" t="s">
        <v>9</v>
      </c>
      <c r="E2899" s="2" t="s">
        <v>19</v>
      </c>
      <c r="F2899" s="2">
        <v>8.21318122E9</v>
      </c>
    </row>
    <row r="2900" ht="15.75" customHeight="1">
      <c r="A2900" s="2" t="s">
        <v>2798</v>
      </c>
      <c r="B2900" s="2" t="s">
        <v>2799</v>
      </c>
      <c r="C2900" s="2" t="s">
        <v>2044</v>
      </c>
      <c r="D2900" s="2" t="s">
        <v>9</v>
      </c>
      <c r="E2900" s="2" t="s">
        <v>282</v>
      </c>
      <c r="F2900" s="2">
        <v>7.383480438E9</v>
      </c>
    </row>
    <row r="2901" ht="15.75" customHeight="1">
      <c r="A2901" s="2" t="s">
        <v>579</v>
      </c>
      <c r="B2901" s="2" t="s">
        <v>50</v>
      </c>
      <c r="C2901" s="2" t="s">
        <v>2791</v>
      </c>
      <c r="D2901" s="2" t="s">
        <v>9</v>
      </c>
      <c r="E2901" s="2" t="s">
        <v>19</v>
      </c>
      <c r="F2901" s="2">
        <v>7.050430189E9</v>
      </c>
    </row>
    <row r="2902" ht="15.75" customHeight="1">
      <c r="A2902" s="2" t="s">
        <v>2800</v>
      </c>
      <c r="B2902" s="2" t="s">
        <v>2801</v>
      </c>
      <c r="C2902" s="2" t="s">
        <v>2802</v>
      </c>
      <c r="D2902" s="2" t="s">
        <v>56</v>
      </c>
      <c r="E2902" s="2" t="s">
        <v>282</v>
      </c>
      <c r="F2902" s="2">
        <v>9.879317475E9</v>
      </c>
    </row>
    <row r="2903" ht="15.75" customHeight="1">
      <c r="A2903" s="2" t="s">
        <v>2803</v>
      </c>
      <c r="B2903" s="2" t="s">
        <v>552</v>
      </c>
      <c r="C2903" s="2" t="s">
        <v>821</v>
      </c>
      <c r="D2903" s="2" t="s">
        <v>56</v>
      </c>
      <c r="E2903" s="2" t="s">
        <v>255</v>
      </c>
      <c r="F2903" s="2">
        <v>8.789796522E9</v>
      </c>
    </row>
    <row r="2904" ht="15.75" customHeight="1">
      <c r="A2904" s="2" t="s">
        <v>2804</v>
      </c>
      <c r="B2904" s="2" t="s">
        <v>2805</v>
      </c>
      <c r="C2904" s="2" t="s">
        <v>2806</v>
      </c>
      <c r="D2904" s="2" t="s">
        <v>44</v>
      </c>
      <c r="E2904" s="2" t="s">
        <v>282</v>
      </c>
      <c r="F2904" s="2">
        <v>9.925170908E9</v>
      </c>
    </row>
    <row r="2905" ht="15.75" customHeight="1">
      <c r="A2905" s="2" t="s">
        <v>2807</v>
      </c>
      <c r="B2905" s="2" t="s">
        <v>2808</v>
      </c>
      <c r="C2905" s="2" t="s">
        <v>2809</v>
      </c>
      <c r="D2905" s="2" t="s">
        <v>29</v>
      </c>
      <c r="E2905" s="2" t="s">
        <v>282</v>
      </c>
      <c r="F2905" s="2">
        <v>9.601754337E9</v>
      </c>
    </row>
    <row r="2906" ht="15.75" customHeight="1">
      <c r="A2906" s="2" t="s">
        <v>579</v>
      </c>
      <c r="B2906" s="2" t="s">
        <v>50</v>
      </c>
      <c r="C2906" s="2" t="s">
        <v>335</v>
      </c>
      <c r="D2906" s="2" t="s">
        <v>26</v>
      </c>
      <c r="E2906" s="2" t="s">
        <v>19</v>
      </c>
      <c r="F2906" s="2">
        <v>6.205504892E9</v>
      </c>
    </row>
    <row r="2907" ht="15.75" customHeight="1">
      <c r="A2907" s="2" t="s">
        <v>2810</v>
      </c>
      <c r="B2907" s="2" t="s">
        <v>212</v>
      </c>
      <c r="C2907" s="2" t="s">
        <v>2811</v>
      </c>
      <c r="D2907" s="2" t="s">
        <v>14</v>
      </c>
      <c r="E2907" s="2" t="s">
        <v>255</v>
      </c>
      <c r="F2907" s="2">
        <v>8.012749001E9</v>
      </c>
    </row>
    <row r="2908" ht="15.75" customHeight="1">
      <c r="A2908" s="2" t="s">
        <v>33</v>
      </c>
      <c r="B2908" s="2" t="s">
        <v>2808</v>
      </c>
      <c r="C2908" s="2" t="s">
        <v>2809</v>
      </c>
      <c r="D2908" s="2" t="s">
        <v>9</v>
      </c>
      <c r="E2908" s="2" t="s">
        <v>282</v>
      </c>
      <c r="F2908" s="2">
        <v>9.601754337E9</v>
      </c>
    </row>
    <row r="2909" ht="15.75" customHeight="1">
      <c r="A2909" s="2" t="s">
        <v>579</v>
      </c>
      <c r="B2909" s="2" t="s">
        <v>2812</v>
      </c>
      <c r="C2909" s="2" t="s">
        <v>2791</v>
      </c>
      <c r="D2909" s="2" t="s">
        <v>29</v>
      </c>
      <c r="E2909" s="2" t="s">
        <v>19</v>
      </c>
      <c r="F2909" s="2">
        <v>7.070365094E9</v>
      </c>
    </row>
    <row r="2910" ht="15.75" customHeight="1">
      <c r="A2910" s="2" t="s">
        <v>2813</v>
      </c>
      <c r="B2910" s="2" t="s">
        <v>678</v>
      </c>
      <c r="C2910" s="2" t="s">
        <v>679</v>
      </c>
      <c r="D2910" s="2" t="s">
        <v>56</v>
      </c>
      <c r="E2910" s="2" t="s">
        <v>282</v>
      </c>
      <c r="F2910" s="2">
        <v>9.825900014E9</v>
      </c>
    </row>
    <row r="2911" ht="15.75" customHeight="1">
      <c r="A2911" s="2" t="s">
        <v>2814</v>
      </c>
      <c r="B2911" s="2" t="s">
        <v>344</v>
      </c>
      <c r="C2911" s="2" t="s">
        <v>941</v>
      </c>
      <c r="D2911" s="2" t="s">
        <v>26</v>
      </c>
      <c r="E2911" s="2" t="s">
        <v>19</v>
      </c>
      <c r="F2911" s="2">
        <v>7.033263811E9</v>
      </c>
    </row>
    <row r="2912" ht="15.75" customHeight="1">
      <c r="A2912" s="2" t="s">
        <v>2815</v>
      </c>
      <c r="B2912" s="2" t="s">
        <v>2164</v>
      </c>
      <c r="C2912" s="2" t="s">
        <v>2791</v>
      </c>
      <c r="D2912" s="2" t="s">
        <v>29</v>
      </c>
      <c r="E2912" s="2" t="s">
        <v>19</v>
      </c>
      <c r="F2912" s="2">
        <v>6.200686572E9</v>
      </c>
    </row>
    <row r="2913" ht="15.75" customHeight="1">
      <c r="A2913" s="2" t="s">
        <v>2816</v>
      </c>
      <c r="B2913" s="2" t="s">
        <v>1618</v>
      </c>
      <c r="C2913" s="2" t="s">
        <v>246</v>
      </c>
      <c r="D2913" s="2" t="s">
        <v>26</v>
      </c>
      <c r="E2913" s="2" t="s">
        <v>255</v>
      </c>
      <c r="F2913" s="2">
        <v>6.200832913E9</v>
      </c>
    </row>
    <row r="2914" ht="15.75" customHeight="1">
      <c r="A2914" s="2" t="s">
        <v>2817</v>
      </c>
      <c r="B2914" s="2" t="s">
        <v>112</v>
      </c>
      <c r="C2914" s="2" t="s">
        <v>2114</v>
      </c>
      <c r="D2914" s="2" t="s">
        <v>9</v>
      </c>
      <c r="E2914" s="2" t="s">
        <v>19</v>
      </c>
      <c r="F2914" s="2">
        <v>9.593043841E9</v>
      </c>
    </row>
    <row r="2915" ht="15.75" customHeight="1">
      <c r="A2915" s="2" t="s">
        <v>2818</v>
      </c>
      <c r="B2915" s="2" t="s">
        <v>1650</v>
      </c>
      <c r="C2915" s="2" t="s">
        <v>2123</v>
      </c>
      <c r="D2915" s="2" t="s">
        <v>56</v>
      </c>
      <c r="E2915" s="2" t="s">
        <v>255</v>
      </c>
      <c r="F2915" s="2">
        <v>9.534196834E9</v>
      </c>
    </row>
    <row r="2916" ht="15.75" customHeight="1">
      <c r="A2916" s="2" t="s">
        <v>2488</v>
      </c>
      <c r="B2916" s="2" t="s">
        <v>654</v>
      </c>
      <c r="C2916" s="2" t="s">
        <v>235</v>
      </c>
      <c r="D2916" s="2" t="s">
        <v>56</v>
      </c>
      <c r="E2916" s="2" t="s">
        <v>19</v>
      </c>
      <c r="F2916" s="2">
        <v>9.43014363E9</v>
      </c>
    </row>
    <row r="2917" ht="15.75" customHeight="1">
      <c r="A2917" s="2" t="s">
        <v>1278</v>
      </c>
      <c r="B2917" s="2" t="s">
        <v>382</v>
      </c>
      <c r="C2917" s="2" t="s">
        <v>592</v>
      </c>
      <c r="D2917" s="2" t="s">
        <v>26</v>
      </c>
      <c r="E2917" s="2" t="s">
        <v>19</v>
      </c>
      <c r="F2917" s="2">
        <v>6.208401299E9</v>
      </c>
    </row>
    <row r="2918" ht="15.75" customHeight="1">
      <c r="A2918" s="2" t="s">
        <v>2819</v>
      </c>
      <c r="B2918" s="2" t="s">
        <v>225</v>
      </c>
      <c r="C2918" s="2" t="s">
        <v>309</v>
      </c>
      <c r="D2918" s="2" t="s">
        <v>26</v>
      </c>
      <c r="E2918" s="2" t="s">
        <v>19</v>
      </c>
      <c r="F2918" s="2">
        <v>9.525956508E9</v>
      </c>
    </row>
    <row r="2919" ht="15.75" customHeight="1">
      <c r="A2919" s="2" t="s">
        <v>2820</v>
      </c>
      <c r="B2919" s="2" t="s">
        <v>563</v>
      </c>
      <c r="C2919" s="2" t="s">
        <v>341</v>
      </c>
      <c r="D2919" s="2" t="s">
        <v>56</v>
      </c>
      <c r="E2919" s="2" t="s">
        <v>255</v>
      </c>
      <c r="F2919" s="2">
        <v>9.199873753E9</v>
      </c>
    </row>
    <row r="2920" ht="15.75" customHeight="1">
      <c r="A2920" s="2" t="s">
        <v>2821</v>
      </c>
      <c r="B2920" s="2" t="s">
        <v>50</v>
      </c>
      <c r="C2920" s="2" t="s">
        <v>230</v>
      </c>
      <c r="D2920" s="2" t="s">
        <v>9</v>
      </c>
      <c r="E2920" s="2" t="s">
        <v>19</v>
      </c>
      <c r="F2920" s="2">
        <v>9.183366616E9</v>
      </c>
    </row>
    <row r="2921" ht="15.75" customHeight="1">
      <c r="A2921" s="2" t="s">
        <v>872</v>
      </c>
      <c r="B2921" s="2" t="s">
        <v>248</v>
      </c>
      <c r="C2921" s="2" t="s">
        <v>341</v>
      </c>
      <c r="D2921" s="2" t="s">
        <v>29</v>
      </c>
      <c r="E2921" s="2" t="s">
        <v>255</v>
      </c>
      <c r="F2921" s="2">
        <v>6.201624373E9</v>
      </c>
    </row>
    <row r="2922" ht="15.75" customHeight="1">
      <c r="A2922" s="2" t="s">
        <v>2822</v>
      </c>
      <c r="B2922" s="2" t="s">
        <v>50</v>
      </c>
      <c r="C2922" s="2" t="s">
        <v>1042</v>
      </c>
      <c r="D2922" s="2" t="s">
        <v>14</v>
      </c>
      <c r="E2922" s="2" t="s">
        <v>19</v>
      </c>
      <c r="F2922" s="2">
        <v>8.804380973E9</v>
      </c>
    </row>
    <row r="2923" ht="15.75" customHeight="1">
      <c r="A2923" s="2" t="s">
        <v>2823</v>
      </c>
      <c r="B2923" s="2" t="s">
        <v>1954</v>
      </c>
      <c r="C2923" s="2" t="s">
        <v>455</v>
      </c>
      <c r="D2923" s="2" t="s">
        <v>26</v>
      </c>
      <c r="E2923" s="2" t="s">
        <v>19</v>
      </c>
      <c r="F2923" s="2">
        <v>8.709381971E9</v>
      </c>
    </row>
    <row r="2924" ht="15.75" customHeight="1">
      <c r="A2924" s="2" t="s">
        <v>1092</v>
      </c>
      <c r="B2924" s="2" t="s">
        <v>108</v>
      </c>
      <c r="C2924" s="2" t="s">
        <v>200</v>
      </c>
      <c r="D2924" s="2" t="s">
        <v>26</v>
      </c>
      <c r="E2924" s="2" t="s">
        <v>19</v>
      </c>
      <c r="F2924" s="2">
        <v>8.002505129E9</v>
      </c>
    </row>
    <row r="2925" ht="15.75" customHeight="1">
      <c r="A2925" s="2" t="s">
        <v>2824</v>
      </c>
      <c r="B2925" s="2" t="s">
        <v>276</v>
      </c>
      <c r="C2925" s="2" t="s">
        <v>611</v>
      </c>
      <c r="D2925" s="2" t="s">
        <v>26</v>
      </c>
      <c r="E2925" s="2" t="s">
        <v>255</v>
      </c>
      <c r="F2925" s="2">
        <v>9.570160915E9</v>
      </c>
    </row>
    <row r="2926" ht="15.75" customHeight="1">
      <c r="A2926" s="2" t="s">
        <v>201</v>
      </c>
      <c r="B2926" s="2" t="s">
        <v>960</v>
      </c>
      <c r="C2926" s="2" t="s">
        <v>536</v>
      </c>
      <c r="D2926" s="2" t="s">
        <v>44</v>
      </c>
      <c r="E2926" s="2" t="s">
        <v>19</v>
      </c>
      <c r="F2926" s="2">
        <v>8.709956664E9</v>
      </c>
    </row>
    <row r="2927" ht="15.75" customHeight="1">
      <c r="A2927" s="2" t="s">
        <v>2825</v>
      </c>
      <c r="B2927" s="2" t="s">
        <v>922</v>
      </c>
      <c r="C2927" s="2" t="s">
        <v>335</v>
      </c>
      <c r="D2927" s="2" t="s">
        <v>26</v>
      </c>
      <c r="E2927" s="2" t="s">
        <v>19</v>
      </c>
      <c r="F2927" s="2">
        <v>9.43415547E9</v>
      </c>
    </row>
    <row r="2928" ht="15.75" customHeight="1">
      <c r="A2928" s="2" t="s">
        <v>1213</v>
      </c>
      <c r="B2928" s="2" t="s">
        <v>50</v>
      </c>
      <c r="C2928" s="2" t="s">
        <v>1042</v>
      </c>
      <c r="D2928" s="2" t="s">
        <v>56</v>
      </c>
      <c r="E2928" s="2" t="s">
        <v>19</v>
      </c>
      <c r="F2928" s="2">
        <v>8.809710589E9</v>
      </c>
    </row>
    <row r="2929" ht="15.75" customHeight="1">
      <c r="A2929" s="2" t="s">
        <v>991</v>
      </c>
      <c r="B2929" s="2" t="s">
        <v>63</v>
      </c>
      <c r="C2929" s="2" t="s">
        <v>729</v>
      </c>
      <c r="D2929" s="2" t="s">
        <v>26</v>
      </c>
      <c r="E2929" s="2" t="s">
        <v>19</v>
      </c>
      <c r="F2929" s="2">
        <v>9.709990649E9</v>
      </c>
    </row>
    <row r="2930" ht="15.75" customHeight="1">
      <c r="A2930" s="2" t="s">
        <v>376</v>
      </c>
      <c r="B2930" s="2" t="s">
        <v>50</v>
      </c>
      <c r="C2930" s="2" t="s">
        <v>2791</v>
      </c>
      <c r="D2930" s="2" t="s">
        <v>29</v>
      </c>
      <c r="E2930" s="2" t="s">
        <v>19</v>
      </c>
      <c r="F2930" s="2">
        <v>9.709941039E9</v>
      </c>
    </row>
    <row r="2931" ht="15.75" customHeight="1">
      <c r="A2931" s="2" t="s">
        <v>2826</v>
      </c>
      <c r="B2931" s="2" t="s">
        <v>55</v>
      </c>
      <c r="C2931" s="2" t="s">
        <v>83</v>
      </c>
      <c r="D2931" s="2" t="s">
        <v>56</v>
      </c>
      <c r="E2931" s="2" t="s">
        <v>255</v>
      </c>
      <c r="F2931" s="2">
        <v>9.471160301E9</v>
      </c>
    </row>
    <row r="2932" ht="15.75" customHeight="1">
      <c r="A2932" s="2" t="s">
        <v>1383</v>
      </c>
      <c r="B2932" s="2" t="s">
        <v>696</v>
      </c>
      <c r="C2932" s="2" t="s">
        <v>1042</v>
      </c>
      <c r="D2932" s="2" t="s">
        <v>26</v>
      </c>
      <c r="E2932" s="2" t="s">
        <v>19</v>
      </c>
      <c r="F2932" s="2">
        <v>8.949169642E9</v>
      </c>
    </row>
    <row r="2933" ht="15.75" customHeight="1">
      <c r="A2933" s="2" t="s">
        <v>2827</v>
      </c>
      <c r="B2933" s="2" t="s">
        <v>1724</v>
      </c>
      <c r="C2933" s="2" t="s">
        <v>867</v>
      </c>
      <c r="D2933" s="2" t="s">
        <v>56</v>
      </c>
      <c r="E2933" s="2" t="s">
        <v>19</v>
      </c>
      <c r="F2933" s="2">
        <v>9.799979473E9</v>
      </c>
    </row>
    <row r="2934" ht="15.75" customHeight="1">
      <c r="A2934" s="2" t="s">
        <v>107</v>
      </c>
      <c r="B2934" s="2" t="s">
        <v>112</v>
      </c>
      <c r="C2934" s="2" t="s">
        <v>729</v>
      </c>
      <c r="D2934" s="2" t="s">
        <v>26</v>
      </c>
      <c r="E2934" s="2" t="s">
        <v>19</v>
      </c>
      <c r="F2934" s="2">
        <v>7.890243831E9</v>
      </c>
    </row>
    <row r="2935" ht="15.75" customHeight="1">
      <c r="A2935" s="2" t="s">
        <v>376</v>
      </c>
      <c r="B2935" s="2" t="s">
        <v>440</v>
      </c>
      <c r="C2935" s="2" t="s">
        <v>265</v>
      </c>
      <c r="D2935" s="2" t="s">
        <v>44</v>
      </c>
      <c r="E2935" s="2" t="s">
        <v>19</v>
      </c>
      <c r="F2935" s="2">
        <v>9.304536946E9</v>
      </c>
    </row>
    <row r="2936" ht="15.75" customHeight="1">
      <c r="A2936" s="2" t="s">
        <v>989</v>
      </c>
      <c r="B2936" s="2" t="s">
        <v>52</v>
      </c>
      <c r="C2936" s="2" t="s">
        <v>204</v>
      </c>
      <c r="D2936" s="2" t="s">
        <v>29</v>
      </c>
      <c r="E2936" s="2" t="s">
        <v>255</v>
      </c>
      <c r="F2936" s="2">
        <v>6.203678245E9</v>
      </c>
    </row>
    <row r="2937" ht="15.75" customHeight="1">
      <c r="A2937" s="2" t="s">
        <v>96</v>
      </c>
      <c r="B2937" s="2" t="s">
        <v>1954</v>
      </c>
      <c r="C2937" s="2" t="s">
        <v>2828</v>
      </c>
      <c r="D2937" s="2" t="s">
        <v>26</v>
      </c>
      <c r="E2937" s="2" t="s">
        <v>19</v>
      </c>
      <c r="F2937" s="2">
        <v>7.769963395E9</v>
      </c>
    </row>
    <row r="2938" ht="15.75" customHeight="1">
      <c r="A2938" s="2" t="s">
        <v>376</v>
      </c>
      <c r="B2938" s="2" t="s">
        <v>382</v>
      </c>
      <c r="C2938" s="2" t="s">
        <v>240</v>
      </c>
      <c r="D2938" s="2" t="s">
        <v>26</v>
      </c>
      <c r="E2938" s="2" t="s">
        <v>19</v>
      </c>
      <c r="F2938" s="2">
        <v>9.835548391E9</v>
      </c>
    </row>
    <row r="2939" ht="15.75" customHeight="1">
      <c r="A2939" s="2" t="s">
        <v>1846</v>
      </c>
      <c r="B2939" s="2" t="s">
        <v>63</v>
      </c>
      <c r="C2939" s="2" t="s">
        <v>171</v>
      </c>
      <c r="D2939" s="2" t="s">
        <v>9</v>
      </c>
      <c r="E2939" s="2" t="s">
        <v>19</v>
      </c>
      <c r="F2939" s="2">
        <v>9.962847462E9</v>
      </c>
    </row>
    <row r="2940" ht="15.75" customHeight="1">
      <c r="A2940" s="2" t="s">
        <v>856</v>
      </c>
      <c r="B2940" s="2" t="s">
        <v>119</v>
      </c>
      <c r="C2940" s="2" t="s">
        <v>1798</v>
      </c>
      <c r="D2940" s="2" t="s">
        <v>26</v>
      </c>
      <c r="E2940" s="2" t="s">
        <v>19</v>
      </c>
      <c r="F2940" s="2">
        <v>9.102689808E9</v>
      </c>
    </row>
    <row r="2941" ht="15.75" customHeight="1">
      <c r="A2941" s="2" t="s">
        <v>2014</v>
      </c>
      <c r="B2941" s="2" t="s">
        <v>303</v>
      </c>
      <c r="C2941" s="2" t="s">
        <v>83</v>
      </c>
      <c r="D2941" s="2" t="s">
        <v>29</v>
      </c>
      <c r="E2941" s="2" t="s">
        <v>255</v>
      </c>
      <c r="F2941" s="2">
        <v>6.20197918E9</v>
      </c>
    </row>
    <row r="2942" ht="15.75" customHeight="1">
      <c r="A2942" s="2" t="s">
        <v>2829</v>
      </c>
      <c r="B2942" s="2" t="s">
        <v>78</v>
      </c>
      <c r="C2942" s="2" t="s">
        <v>2376</v>
      </c>
      <c r="D2942" s="2" t="s">
        <v>26</v>
      </c>
      <c r="E2942" s="2" t="s">
        <v>19</v>
      </c>
      <c r="F2942" s="2">
        <v>9.870332611E9</v>
      </c>
    </row>
    <row r="2943" ht="15.75" customHeight="1">
      <c r="A2943" s="2" t="s">
        <v>1419</v>
      </c>
      <c r="B2943" s="2" t="s">
        <v>499</v>
      </c>
      <c r="C2943" s="2" t="s">
        <v>1042</v>
      </c>
      <c r="D2943" s="2" t="s">
        <v>44</v>
      </c>
      <c r="E2943" s="2" t="s">
        <v>19</v>
      </c>
      <c r="F2943" s="2">
        <v>7.717756733E9</v>
      </c>
    </row>
    <row r="2944" ht="15.75" customHeight="1">
      <c r="A2944" s="2" t="s">
        <v>782</v>
      </c>
      <c r="B2944" s="2" t="s">
        <v>719</v>
      </c>
      <c r="C2944" s="2" t="s">
        <v>200</v>
      </c>
      <c r="D2944" s="2" t="s">
        <v>29</v>
      </c>
      <c r="E2944" s="2" t="s">
        <v>19</v>
      </c>
      <c r="F2944" s="2">
        <v>9.431382613E9</v>
      </c>
    </row>
    <row r="2945" ht="15.75" customHeight="1">
      <c r="A2945" s="2" t="s">
        <v>96</v>
      </c>
      <c r="B2945" s="2" t="s">
        <v>2830</v>
      </c>
      <c r="C2945" s="2" t="s">
        <v>240</v>
      </c>
      <c r="D2945" s="2" t="s">
        <v>26</v>
      </c>
      <c r="E2945" s="2" t="s">
        <v>19</v>
      </c>
      <c r="F2945" s="2">
        <v>7.48815109E9</v>
      </c>
    </row>
    <row r="2946" ht="15.75" customHeight="1">
      <c r="A2946" s="2" t="s">
        <v>80</v>
      </c>
      <c r="B2946" s="2" t="s">
        <v>50</v>
      </c>
      <c r="C2946" s="2" t="s">
        <v>1042</v>
      </c>
      <c r="D2946" s="2" t="s">
        <v>44</v>
      </c>
      <c r="E2946" s="2" t="s">
        <v>19</v>
      </c>
      <c r="F2946" s="2">
        <v>9.155832374E9</v>
      </c>
    </row>
    <row r="2947" ht="15.75" customHeight="1">
      <c r="A2947" s="2" t="s">
        <v>2831</v>
      </c>
      <c r="B2947" s="2" t="s">
        <v>2832</v>
      </c>
      <c r="C2947" s="2" t="s">
        <v>1792</v>
      </c>
      <c r="D2947" s="2" t="s">
        <v>102</v>
      </c>
      <c r="E2947" s="2" t="s">
        <v>19</v>
      </c>
      <c r="F2947" s="2">
        <v>8.651903648E9</v>
      </c>
    </row>
    <row r="2948" ht="15.75" customHeight="1">
      <c r="A2948" s="2" t="s">
        <v>2833</v>
      </c>
      <c r="B2948" s="2" t="s">
        <v>50</v>
      </c>
      <c r="C2948" s="2" t="s">
        <v>2791</v>
      </c>
      <c r="D2948" s="2" t="s">
        <v>9</v>
      </c>
      <c r="E2948" s="2" t="s">
        <v>19</v>
      </c>
      <c r="F2948" s="2">
        <v>6.205547362E9</v>
      </c>
    </row>
    <row r="2949" ht="15.75" customHeight="1">
      <c r="A2949" s="2" t="s">
        <v>989</v>
      </c>
      <c r="B2949" s="2" t="s">
        <v>212</v>
      </c>
      <c r="C2949" s="2" t="s">
        <v>341</v>
      </c>
      <c r="D2949" s="2" t="s">
        <v>26</v>
      </c>
      <c r="E2949" s="2" t="s">
        <v>255</v>
      </c>
      <c r="F2949" s="2">
        <v>9.308112884E9</v>
      </c>
    </row>
    <row r="2950" ht="15.75" customHeight="1">
      <c r="A2950" s="2" t="s">
        <v>1407</v>
      </c>
      <c r="B2950" s="2" t="s">
        <v>499</v>
      </c>
      <c r="C2950" s="2" t="s">
        <v>500</v>
      </c>
      <c r="D2950" s="2" t="s">
        <v>26</v>
      </c>
      <c r="E2950" s="2" t="s">
        <v>19</v>
      </c>
      <c r="F2950" s="2">
        <v>8.409409928E9</v>
      </c>
    </row>
    <row r="2951" ht="15.75" customHeight="1">
      <c r="A2951" s="2" t="s">
        <v>123</v>
      </c>
      <c r="B2951" s="2" t="s">
        <v>50</v>
      </c>
      <c r="C2951" s="2" t="s">
        <v>2834</v>
      </c>
      <c r="D2951" s="2" t="s">
        <v>26</v>
      </c>
      <c r="E2951" s="2" t="s">
        <v>19</v>
      </c>
      <c r="F2951" s="2">
        <v>8.409235924E9</v>
      </c>
    </row>
    <row r="2952" ht="15.75" customHeight="1">
      <c r="A2952" s="2" t="s">
        <v>538</v>
      </c>
      <c r="B2952" s="2" t="s">
        <v>50</v>
      </c>
      <c r="C2952" s="2" t="s">
        <v>500</v>
      </c>
      <c r="D2952" s="2" t="s">
        <v>26</v>
      </c>
      <c r="E2952" s="2" t="s">
        <v>19</v>
      </c>
      <c r="F2952" s="2">
        <v>8.757281844E9</v>
      </c>
    </row>
    <row r="2953" ht="15.75" customHeight="1">
      <c r="A2953" s="2" t="s">
        <v>2835</v>
      </c>
      <c r="B2953" s="2" t="s">
        <v>1587</v>
      </c>
      <c r="C2953" s="2" t="s">
        <v>2836</v>
      </c>
      <c r="D2953" s="2" t="s">
        <v>29</v>
      </c>
      <c r="E2953" s="2" t="s">
        <v>19</v>
      </c>
      <c r="F2953" s="2">
        <v>9.330301348E9</v>
      </c>
    </row>
    <row r="2954" ht="15.75" customHeight="1">
      <c r="A2954" s="2" t="s">
        <v>2837</v>
      </c>
      <c r="B2954" s="2" t="s">
        <v>2388</v>
      </c>
      <c r="C2954" s="2" t="s">
        <v>2518</v>
      </c>
      <c r="D2954" s="2" t="s">
        <v>26</v>
      </c>
      <c r="E2954" s="2" t="s">
        <v>19</v>
      </c>
      <c r="F2954" s="2">
        <v>8.192904592E9</v>
      </c>
    </row>
    <row r="2955" ht="15.75" customHeight="1">
      <c r="A2955" s="2" t="s">
        <v>678</v>
      </c>
      <c r="B2955" s="2" t="s">
        <v>220</v>
      </c>
      <c r="C2955" s="2" t="s">
        <v>1010</v>
      </c>
      <c r="D2955" s="2" t="s">
        <v>26</v>
      </c>
      <c r="E2955" s="2" t="s">
        <v>19</v>
      </c>
      <c r="F2955" s="2">
        <v>9.835515806E9</v>
      </c>
    </row>
    <row r="2956" ht="15.75" customHeight="1">
      <c r="A2956" s="2" t="s">
        <v>2838</v>
      </c>
      <c r="B2956" s="2" t="s">
        <v>811</v>
      </c>
      <c r="C2956" s="2" t="s">
        <v>763</v>
      </c>
      <c r="D2956" s="2" t="s">
        <v>44</v>
      </c>
      <c r="E2956" s="2" t="s">
        <v>23</v>
      </c>
      <c r="F2956" s="2">
        <v>9.572098563E9</v>
      </c>
    </row>
    <row r="2957" ht="15.75" customHeight="1">
      <c r="A2957" s="2" t="s">
        <v>98</v>
      </c>
      <c r="B2957" s="2" t="s">
        <v>499</v>
      </c>
      <c r="C2957" s="2" t="s">
        <v>500</v>
      </c>
      <c r="D2957" s="2" t="s">
        <v>26</v>
      </c>
      <c r="E2957" s="2" t="s">
        <v>19</v>
      </c>
      <c r="F2957" s="2">
        <v>8.65138902E9</v>
      </c>
    </row>
    <row r="2958" ht="15.75" customHeight="1">
      <c r="A2958" s="2" t="s">
        <v>186</v>
      </c>
      <c r="B2958" s="2" t="s">
        <v>1833</v>
      </c>
      <c r="C2958" s="2" t="s">
        <v>650</v>
      </c>
      <c r="D2958" s="2" t="s">
        <v>9</v>
      </c>
      <c r="E2958" s="2" t="s">
        <v>19</v>
      </c>
      <c r="F2958" s="2">
        <v>7.070116244E9</v>
      </c>
    </row>
    <row r="2959" ht="15.75" customHeight="1">
      <c r="A2959" s="2" t="s">
        <v>2839</v>
      </c>
      <c r="B2959" s="2" t="s">
        <v>75</v>
      </c>
      <c r="C2959" s="2" t="s">
        <v>1237</v>
      </c>
      <c r="D2959" s="2" t="s">
        <v>44</v>
      </c>
      <c r="E2959" s="2" t="s">
        <v>19</v>
      </c>
      <c r="F2959" s="2">
        <v>8.210504542E9</v>
      </c>
    </row>
    <row r="2960" ht="15.75" customHeight="1">
      <c r="A2960" s="2" t="s">
        <v>1854</v>
      </c>
      <c r="B2960" s="2" t="s">
        <v>654</v>
      </c>
      <c r="C2960" s="2" t="s">
        <v>2050</v>
      </c>
      <c r="D2960" s="2" t="s">
        <v>26</v>
      </c>
      <c r="E2960" s="2" t="s">
        <v>19</v>
      </c>
      <c r="F2960" s="2">
        <v>9.546821398E9</v>
      </c>
    </row>
    <row r="2961" ht="15.75" customHeight="1">
      <c r="A2961" s="2" t="s">
        <v>636</v>
      </c>
      <c r="B2961" s="2" t="s">
        <v>50</v>
      </c>
      <c r="C2961" s="2" t="s">
        <v>162</v>
      </c>
      <c r="D2961" s="2" t="s">
        <v>44</v>
      </c>
      <c r="E2961" s="2" t="s">
        <v>19</v>
      </c>
      <c r="F2961" s="2">
        <v>7.86996054E9</v>
      </c>
    </row>
    <row r="2962" ht="15.75" customHeight="1">
      <c r="A2962" s="2" t="s">
        <v>642</v>
      </c>
      <c r="B2962" s="2" t="s">
        <v>153</v>
      </c>
      <c r="C2962" s="2" t="s">
        <v>160</v>
      </c>
      <c r="D2962" s="2" t="s">
        <v>26</v>
      </c>
      <c r="E2962" s="2" t="s">
        <v>19</v>
      </c>
      <c r="F2962" s="2">
        <v>8.982763518E9</v>
      </c>
    </row>
    <row r="2963" ht="15.75" customHeight="1">
      <c r="A2963" s="2" t="s">
        <v>2840</v>
      </c>
      <c r="B2963" s="2" t="s">
        <v>125</v>
      </c>
      <c r="C2963" s="2" t="s">
        <v>246</v>
      </c>
      <c r="D2963" s="2" t="s">
        <v>29</v>
      </c>
      <c r="E2963" s="2" t="s">
        <v>19</v>
      </c>
      <c r="F2963" s="2">
        <v>6.263818343E9</v>
      </c>
    </row>
    <row r="2964" ht="15.75" customHeight="1">
      <c r="A2964" s="2" t="s">
        <v>1273</v>
      </c>
      <c r="B2964" s="2" t="s">
        <v>312</v>
      </c>
      <c r="C2964" s="2" t="s">
        <v>729</v>
      </c>
      <c r="D2964" s="2" t="s">
        <v>56</v>
      </c>
      <c r="E2964" s="2" t="s">
        <v>23</v>
      </c>
      <c r="F2964" s="2">
        <v>9.334330171E9</v>
      </c>
    </row>
    <row r="2965" ht="15.75" customHeight="1">
      <c r="A2965" s="2" t="s">
        <v>1044</v>
      </c>
      <c r="B2965" s="2" t="s">
        <v>63</v>
      </c>
      <c r="C2965" s="2" t="s">
        <v>970</v>
      </c>
      <c r="D2965" s="2" t="s">
        <v>56</v>
      </c>
      <c r="E2965" s="2" t="s">
        <v>19</v>
      </c>
      <c r="F2965" s="2">
        <v>9.875243901E9</v>
      </c>
    </row>
    <row r="2966" ht="15.75" customHeight="1">
      <c r="A2966" s="2" t="s">
        <v>2841</v>
      </c>
      <c r="B2966" s="2" t="s">
        <v>50</v>
      </c>
      <c r="C2966" s="2" t="s">
        <v>2783</v>
      </c>
      <c r="D2966" s="2" t="s">
        <v>44</v>
      </c>
      <c r="E2966" s="2" t="s">
        <v>19</v>
      </c>
      <c r="F2966" s="2">
        <v>8.409012292E9</v>
      </c>
    </row>
    <row r="2967" ht="15.75" customHeight="1">
      <c r="A2967" s="2" t="s">
        <v>359</v>
      </c>
      <c r="B2967" s="2" t="s">
        <v>499</v>
      </c>
      <c r="C2967" s="2" t="s">
        <v>1998</v>
      </c>
      <c r="D2967" s="2" t="s">
        <v>14</v>
      </c>
      <c r="E2967" s="2" t="s">
        <v>19</v>
      </c>
      <c r="F2967" s="2">
        <v>8.976334562E9</v>
      </c>
    </row>
    <row r="2968" ht="15.75" customHeight="1">
      <c r="A2968" s="2" t="s">
        <v>575</v>
      </c>
      <c r="B2968" s="2" t="s">
        <v>212</v>
      </c>
      <c r="C2968" s="2" t="s">
        <v>2842</v>
      </c>
      <c r="D2968" s="2" t="s">
        <v>56</v>
      </c>
      <c r="E2968" s="2" t="s">
        <v>19</v>
      </c>
      <c r="F2968" s="2">
        <v>9.179276514E9</v>
      </c>
    </row>
    <row r="2969" ht="15.75" customHeight="1">
      <c r="A2969" s="2" t="s">
        <v>2843</v>
      </c>
      <c r="B2969" s="2" t="s">
        <v>440</v>
      </c>
      <c r="C2969" s="2" t="s">
        <v>2791</v>
      </c>
      <c r="D2969" s="2" t="s">
        <v>26</v>
      </c>
      <c r="E2969" s="2" t="s">
        <v>19</v>
      </c>
      <c r="F2969" s="2">
        <v>9.409314919E9</v>
      </c>
    </row>
    <row r="2970" ht="15.75" customHeight="1">
      <c r="A2970" s="2" t="s">
        <v>2844</v>
      </c>
      <c r="B2970" s="2" t="s">
        <v>50</v>
      </c>
      <c r="C2970" s="2" t="s">
        <v>729</v>
      </c>
      <c r="D2970" s="2" t="s">
        <v>44</v>
      </c>
      <c r="E2970" s="2" t="s">
        <v>23</v>
      </c>
      <c r="F2970" s="2">
        <v>7.870663908E9</v>
      </c>
    </row>
    <row r="2971" ht="15.75" customHeight="1">
      <c r="A2971" s="2" t="s">
        <v>96</v>
      </c>
      <c r="B2971" s="2" t="s">
        <v>2845</v>
      </c>
      <c r="C2971" s="2" t="s">
        <v>1792</v>
      </c>
      <c r="D2971" s="2" t="s">
        <v>44</v>
      </c>
      <c r="E2971" s="2" t="s">
        <v>19</v>
      </c>
      <c r="F2971" s="2">
        <v>8.084880783E9</v>
      </c>
    </row>
    <row r="2972" ht="15.75" customHeight="1">
      <c r="A2972" s="2" t="s">
        <v>2846</v>
      </c>
      <c r="B2972" s="2" t="s">
        <v>2847</v>
      </c>
      <c r="C2972" s="2" t="s">
        <v>2621</v>
      </c>
      <c r="D2972" s="2" t="s">
        <v>14</v>
      </c>
      <c r="E2972" s="2" t="s">
        <v>19</v>
      </c>
      <c r="F2972" s="2">
        <v>9.960850557E9</v>
      </c>
    </row>
    <row r="2973" ht="15.75" customHeight="1">
      <c r="A2973" s="2" t="s">
        <v>2462</v>
      </c>
      <c r="B2973" s="2" t="s">
        <v>119</v>
      </c>
      <c r="C2973" s="2" t="s">
        <v>305</v>
      </c>
      <c r="D2973" s="2" t="s">
        <v>26</v>
      </c>
      <c r="E2973" s="2" t="s">
        <v>19</v>
      </c>
      <c r="F2973" s="2">
        <v>8.422029371E9</v>
      </c>
    </row>
    <row r="2974" ht="15.75" customHeight="1">
      <c r="A2974" s="2" t="s">
        <v>989</v>
      </c>
      <c r="B2974" s="2" t="s">
        <v>55</v>
      </c>
      <c r="C2974" s="2" t="s">
        <v>341</v>
      </c>
      <c r="D2974" s="2" t="s">
        <v>29</v>
      </c>
      <c r="E2974" s="2" t="s">
        <v>255</v>
      </c>
      <c r="F2974" s="2">
        <v>9.90588002E9</v>
      </c>
    </row>
    <row r="2975" ht="15.75" customHeight="1">
      <c r="A2975" s="2" t="s">
        <v>2848</v>
      </c>
      <c r="B2975" s="2" t="s">
        <v>382</v>
      </c>
      <c r="C2975" s="2" t="s">
        <v>576</v>
      </c>
      <c r="D2975" s="2" t="s">
        <v>44</v>
      </c>
      <c r="E2975" s="2" t="s">
        <v>19</v>
      </c>
      <c r="F2975" s="2">
        <v>9.740268368E9</v>
      </c>
    </row>
    <row r="2976" ht="15.75" customHeight="1">
      <c r="A2976" s="2" t="s">
        <v>1302</v>
      </c>
      <c r="B2976" s="2" t="s">
        <v>1302</v>
      </c>
      <c r="C2976" s="2" t="s">
        <v>1010</v>
      </c>
      <c r="D2976" s="2" t="s">
        <v>26</v>
      </c>
      <c r="E2976" s="2" t="s">
        <v>19</v>
      </c>
      <c r="F2976" s="2">
        <v>7.061150143E9</v>
      </c>
    </row>
    <row r="2977" ht="15.75" customHeight="1">
      <c r="A2977" s="2" t="s">
        <v>2071</v>
      </c>
      <c r="B2977" s="2" t="s">
        <v>63</v>
      </c>
      <c r="C2977" s="2" t="s">
        <v>309</v>
      </c>
      <c r="D2977" s="2" t="s">
        <v>56</v>
      </c>
      <c r="E2977" s="2" t="s">
        <v>19</v>
      </c>
      <c r="F2977" s="2">
        <v>9.905139274E9</v>
      </c>
    </row>
    <row r="2978" ht="15.75" customHeight="1">
      <c r="A2978" s="2" t="s">
        <v>1426</v>
      </c>
      <c r="B2978" s="2" t="s">
        <v>440</v>
      </c>
      <c r="C2978" s="2" t="s">
        <v>1792</v>
      </c>
      <c r="D2978" s="2" t="s">
        <v>56</v>
      </c>
      <c r="E2978" s="2" t="s">
        <v>19</v>
      </c>
      <c r="F2978" s="2">
        <v>6.203774828E9</v>
      </c>
    </row>
    <row r="2979" ht="15.75" customHeight="1">
      <c r="A2979" s="2" t="s">
        <v>762</v>
      </c>
      <c r="B2979" s="2" t="s">
        <v>50</v>
      </c>
      <c r="C2979" s="2" t="s">
        <v>1066</v>
      </c>
      <c r="D2979" s="2" t="s">
        <v>26</v>
      </c>
      <c r="E2979" s="2" t="s">
        <v>19</v>
      </c>
      <c r="F2979" s="2">
        <v>9.340303097E9</v>
      </c>
    </row>
    <row r="2980" ht="15.75" customHeight="1">
      <c r="A2980" s="2" t="s">
        <v>2849</v>
      </c>
      <c r="B2980" s="2" t="s">
        <v>719</v>
      </c>
      <c r="C2980" s="2" t="s">
        <v>2850</v>
      </c>
      <c r="D2980" s="2" t="s">
        <v>56</v>
      </c>
      <c r="E2980" s="2" t="s">
        <v>255</v>
      </c>
      <c r="F2980" s="2">
        <v>6.207537843E9</v>
      </c>
    </row>
    <row r="2981" ht="15.75" customHeight="1">
      <c r="A2981" s="2" t="s">
        <v>124</v>
      </c>
      <c r="B2981" s="2" t="s">
        <v>125</v>
      </c>
      <c r="C2981" s="2" t="s">
        <v>2851</v>
      </c>
      <c r="D2981" s="2" t="s">
        <v>26</v>
      </c>
      <c r="E2981" s="2" t="s">
        <v>23</v>
      </c>
      <c r="F2981" s="2">
        <v>7.301761639E9</v>
      </c>
    </row>
    <row r="2982" ht="15.75" customHeight="1">
      <c r="A2982" s="2" t="s">
        <v>2654</v>
      </c>
      <c r="B2982" s="2" t="s">
        <v>2852</v>
      </c>
      <c r="C2982" s="2" t="s">
        <v>2853</v>
      </c>
      <c r="D2982" s="2" t="s">
        <v>14</v>
      </c>
      <c r="E2982" s="2" t="s">
        <v>282</v>
      </c>
      <c r="F2982" s="2">
        <v>9.824204598E9</v>
      </c>
    </row>
    <row r="2983" ht="15.75" customHeight="1">
      <c r="A2983" s="2" t="s">
        <v>834</v>
      </c>
      <c r="B2983" s="2" t="s">
        <v>52</v>
      </c>
      <c r="C2983" s="2" t="s">
        <v>333</v>
      </c>
      <c r="D2983" s="2" t="s">
        <v>56</v>
      </c>
      <c r="E2983" s="2" t="s">
        <v>19</v>
      </c>
      <c r="F2983" s="2">
        <v>6.209629929E9</v>
      </c>
    </row>
    <row r="2984" ht="15.75" customHeight="1">
      <c r="A2984" s="2" t="s">
        <v>2206</v>
      </c>
      <c r="B2984" s="2" t="s">
        <v>21</v>
      </c>
      <c r="C2984" s="2" t="s">
        <v>1237</v>
      </c>
      <c r="D2984" s="2" t="s">
        <v>14</v>
      </c>
      <c r="E2984" s="2" t="s">
        <v>19</v>
      </c>
      <c r="F2984" s="2">
        <v>9.122665675E9</v>
      </c>
    </row>
    <row r="2985" ht="15.75" customHeight="1">
      <c r="A2985" s="2" t="s">
        <v>94</v>
      </c>
      <c r="B2985" s="2" t="s">
        <v>499</v>
      </c>
      <c r="C2985" s="2" t="s">
        <v>1998</v>
      </c>
      <c r="D2985" s="2" t="s">
        <v>56</v>
      </c>
      <c r="E2985" s="2" t="s">
        <v>19</v>
      </c>
      <c r="F2985" s="2">
        <v>8.083618043E9</v>
      </c>
    </row>
    <row r="2986" ht="15.75" customHeight="1">
      <c r="A2986" s="2" t="s">
        <v>98</v>
      </c>
      <c r="B2986" s="2" t="s">
        <v>21</v>
      </c>
      <c r="C2986" s="2" t="s">
        <v>763</v>
      </c>
      <c r="D2986" s="2" t="s">
        <v>44</v>
      </c>
      <c r="E2986" s="2" t="s">
        <v>23</v>
      </c>
      <c r="F2986" s="2">
        <v>9.315989933E9</v>
      </c>
    </row>
    <row r="2987" ht="15.75" customHeight="1">
      <c r="A2987" s="2" t="s">
        <v>2854</v>
      </c>
      <c r="B2987" s="2" t="s">
        <v>440</v>
      </c>
      <c r="C2987" s="2" t="s">
        <v>2855</v>
      </c>
      <c r="D2987" s="2" t="s">
        <v>14</v>
      </c>
      <c r="E2987" s="2" t="s">
        <v>19</v>
      </c>
      <c r="F2987" s="2">
        <v>9.431321708E9</v>
      </c>
    </row>
    <row r="2988" ht="15.75" customHeight="1">
      <c r="A2988" s="2" t="s">
        <v>1325</v>
      </c>
      <c r="B2988" s="2" t="s">
        <v>1325</v>
      </c>
      <c r="C2988" s="2" t="s">
        <v>1010</v>
      </c>
      <c r="D2988" s="2" t="s">
        <v>26</v>
      </c>
      <c r="E2988" s="2" t="s">
        <v>19</v>
      </c>
      <c r="F2988" s="2">
        <v>7.03398722E9</v>
      </c>
    </row>
    <row r="2989" ht="15.75" customHeight="1">
      <c r="A2989" s="2" t="s">
        <v>266</v>
      </c>
      <c r="B2989" s="2" t="s">
        <v>191</v>
      </c>
      <c r="C2989" s="2" t="s">
        <v>662</v>
      </c>
      <c r="D2989" s="2" t="s">
        <v>26</v>
      </c>
      <c r="E2989" s="2" t="s">
        <v>255</v>
      </c>
      <c r="F2989" s="2">
        <v>6.201113212E9</v>
      </c>
    </row>
    <row r="2990" ht="15.75" customHeight="1">
      <c r="A2990" s="2" t="s">
        <v>1544</v>
      </c>
      <c r="B2990" s="2" t="s">
        <v>499</v>
      </c>
      <c r="C2990" s="2" t="s">
        <v>162</v>
      </c>
      <c r="D2990" s="2" t="s">
        <v>56</v>
      </c>
      <c r="E2990" s="2" t="s">
        <v>19</v>
      </c>
      <c r="F2990" s="2">
        <v>9.33413775E9</v>
      </c>
    </row>
    <row r="2991" ht="15.75" customHeight="1">
      <c r="A2991" s="2" t="s">
        <v>244</v>
      </c>
      <c r="B2991" s="2" t="s">
        <v>50</v>
      </c>
      <c r="C2991" s="2" t="s">
        <v>1998</v>
      </c>
      <c r="D2991" s="2" t="s">
        <v>44</v>
      </c>
      <c r="E2991" s="2" t="s">
        <v>19</v>
      </c>
      <c r="F2991" s="2">
        <v>9.234775065E9</v>
      </c>
    </row>
    <row r="2992" ht="15.75" customHeight="1">
      <c r="A2992" s="2" t="s">
        <v>2856</v>
      </c>
      <c r="B2992" s="2" t="s">
        <v>50</v>
      </c>
      <c r="C2992" s="2" t="s">
        <v>2793</v>
      </c>
      <c r="D2992" s="2" t="s">
        <v>26</v>
      </c>
      <c r="E2992" s="2" t="s">
        <v>19</v>
      </c>
      <c r="F2992" s="2">
        <v>6.20190106E9</v>
      </c>
    </row>
    <row r="2993" ht="15.75" customHeight="1">
      <c r="A2993" s="2" t="s">
        <v>2857</v>
      </c>
      <c r="B2993" s="2" t="s">
        <v>499</v>
      </c>
      <c r="C2993" s="2" t="s">
        <v>1420</v>
      </c>
      <c r="D2993" s="2" t="s">
        <v>14</v>
      </c>
      <c r="E2993" s="2" t="s">
        <v>19</v>
      </c>
      <c r="F2993" s="2">
        <v>8.235666404E9</v>
      </c>
    </row>
    <row r="2994" ht="15.75" customHeight="1">
      <c r="A2994" s="2" t="s">
        <v>1045</v>
      </c>
      <c r="B2994" s="2" t="s">
        <v>55</v>
      </c>
      <c r="C2994" s="2" t="s">
        <v>360</v>
      </c>
      <c r="D2994" s="2" t="s">
        <v>14</v>
      </c>
      <c r="E2994" s="2" t="s">
        <v>19</v>
      </c>
      <c r="F2994" s="2">
        <v>8.434189904E9</v>
      </c>
    </row>
    <row r="2995" ht="15.75" customHeight="1">
      <c r="A2995" s="2" t="s">
        <v>1654</v>
      </c>
      <c r="B2995" s="2" t="s">
        <v>50</v>
      </c>
      <c r="C2995" s="2" t="s">
        <v>867</v>
      </c>
      <c r="D2995" s="2" t="s">
        <v>56</v>
      </c>
      <c r="E2995" s="2" t="s">
        <v>19</v>
      </c>
      <c r="F2995" s="2">
        <v>9.083563425E9</v>
      </c>
    </row>
    <row r="2996" ht="15.75" customHeight="1">
      <c r="A2996" s="2" t="s">
        <v>2858</v>
      </c>
      <c r="B2996" s="2" t="s">
        <v>2859</v>
      </c>
      <c r="C2996" s="2" t="s">
        <v>1953</v>
      </c>
      <c r="D2996" s="2" t="s">
        <v>26</v>
      </c>
      <c r="E2996" s="2" t="s">
        <v>255</v>
      </c>
      <c r="F2996" s="2">
        <v>8.809115815E9</v>
      </c>
    </row>
    <row r="2997" ht="15.75" customHeight="1">
      <c r="A2997" s="2" t="s">
        <v>120</v>
      </c>
      <c r="B2997" s="2" t="s">
        <v>50</v>
      </c>
      <c r="C2997" s="2" t="s">
        <v>1420</v>
      </c>
      <c r="D2997" s="2" t="s">
        <v>56</v>
      </c>
      <c r="E2997" s="2" t="s">
        <v>19</v>
      </c>
      <c r="F2997" s="2">
        <v>9.431845473E9</v>
      </c>
    </row>
    <row r="2998" ht="15.75" customHeight="1">
      <c r="A2998" s="2" t="s">
        <v>2860</v>
      </c>
      <c r="B2998" s="2" t="s">
        <v>63</v>
      </c>
      <c r="C2998" s="2" t="s">
        <v>2861</v>
      </c>
      <c r="D2998" s="2" t="s">
        <v>26</v>
      </c>
      <c r="E2998" s="2" t="s">
        <v>19</v>
      </c>
      <c r="F2998" s="2">
        <v>8.580368769E9</v>
      </c>
    </row>
    <row r="2999" ht="15.75" customHeight="1">
      <c r="A2999" s="2" t="s">
        <v>1080</v>
      </c>
      <c r="B2999" s="2" t="s">
        <v>499</v>
      </c>
      <c r="C2999" s="2" t="s">
        <v>1420</v>
      </c>
      <c r="D2999" s="2" t="s">
        <v>14</v>
      </c>
      <c r="E2999" s="2" t="s">
        <v>19</v>
      </c>
      <c r="F2999" s="2">
        <v>7.209266858E9</v>
      </c>
    </row>
    <row r="3000" ht="15.75" customHeight="1">
      <c r="A3000" s="2" t="s">
        <v>491</v>
      </c>
      <c r="B3000" s="2" t="s">
        <v>21</v>
      </c>
      <c r="C3000" s="2" t="s">
        <v>763</v>
      </c>
      <c r="D3000" s="2" t="s">
        <v>56</v>
      </c>
      <c r="E3000" s="2" t="s">
        <v>23</v>
      </c>
      <c r="F3000" s="2">
        <v>7.001513751E9</v>
      </c>
    </row>
    <row r="3001" ht="15.75" customHeight="1">
      <c r="A3001" s="2" t="s">
        <v>2071</v>
      </c>
      <c r="B3001" s="2" t="s">
        <v>50</v>
      </c>
      <c r="C3001" s="2" t="s">
        <v>510</v>
      </c>
      <c r="D3001" s="2" t="s">
        <v>56</v>
      </c>
      <c r="E3001" s="2" t="s">
        <v>19</v>
      </c>
      <c r="F3001" s="2">
        <v>8.210787407E9</v>
      </c>
    </row>
    <row r="3002" ht="15.75" customHeight="1">
      <c r="A3002" s="2" t="s">
        <v>1450</v>
      </c>
      <c r="B3002" s="2" t="s">
        <v>50</v>
      </c>
      <c r="C3002" s="2" t="s">
        <v>423</v>
      </c>
      <c r="D3002" s="2" t="s">
        <v>56</v>
      </c>
      <c r="E3002" s="2" t="s">
        <v>19</v>
      </c>
      <c r="F3002" s="2">
        <v>8.797075145E9</v>
      </c>
    </row>
    <row r="3003" ht="15.75" customHeight="1">
      <c r="A3003" s="2" t="s">
        <v>2862</v>
      </c>
      <c r="B3003" s="2" t="s">
        <v>2862</v>
      </c>
      <c r="C3003" s="2" t="s">
        <v>1010</v>
      </c>
      <c r="D3003" s="2" t="s">
        <v>56</v>
      </c>
      <c r="E3003" s="2" t="s">
        <v>19</v>
      </c>
      <c r="F3003" s="2">
        <v>7.667807844E9</v>
      </c>
    </row>
    <row r="3004" ht="15.75" customHeight="1">
      <c r="A3004" s="2" t="s">
        <v>525</v>
      </c>
      <c r="B3004" s="2" t="s">
        <v>50</v>
      </c>
      <c r="C3004" s="2" t="s">
        <v>423</v>
      </c>
      <c r="D3004" s="2" t="s">
        <v>56</v>
      </c>
      <c r="E3004" s="2" t="s">
        <v>19</v>
      </c>
      <c r="F3004" s="2">
        <v>9.031430825E9</v>
      </c>
    </row>
    <row r="3005" ht="15.75" customHeight="1">
      <c r="A3005" s="2" t="s">
        <v>535</v>
      </c>
      <c r="B3005" s="2" t="s">
        <v>108</v>
      </c>
      <c r="C3005" s="2" t="s">
        <v>2863</v>
      </c>
      <c r="D3005" s="2" t="s">
        <v>56</v>
      </c>
      <c r="E3005" s="2" t="s">
        <v>23</v>
      </c>
      <c r="F3005" s="2">
        <v>6.206740416E9</v>
      </c>
    </row>
    <row r="3006" ht="15.75" customHeight="1">
      <c r="A3006" s="2" t="s">
        <v>1044</v>
      </c>
      <c r="B3006" s="2" t="s">
        <v>2864</v>
      </c>
      <c r="C3006" s="2" t="s">
        <v>162</v>
      </c>
      <c r="D3006" s="2" t="s">
        <v>26</v>
      </c>
      <c r="E3006" s="2" t="s">
        <v>19</v>
      </c>
      <c r="F3006" s="2">
        <v>6.202923198E9</v>
      </c>
    </row>
    <row r="3007" ht="15.75" customHeight="1">
      <c r="A3007" s="2" t="s">
        <v>1654</v>
      </c>
      <c r="B3007" s="2" t="s">
        <v>960</v>
      </c>
      <c r="C3007" s="2" t="s">
        <v>627</v>
      </c>
      <c r="D3007" s="2" t="s">
        <v>56</v>
      </c>
      <c r="E3007" s="2" t="s">
        <v>19</v>
      </c>
      <c r="F3007" s="2">
        <v>8.409749975E9</v>
      </c>
    </row>
    <row r="3008" ht="15.75" customHeight="1">
      <c r="A3008" s="2" t="s">
        <v>2865</v>
      </c>
      <c r="B3008" s="2" t="s">
        <v>1848</v>
      </c>
      <c r="C3008" s="2" t="s">
        <v>2783</v>
      </c>
      <c r="D3008" s="2" t="s">
        <v>44</v>
      </c>
      <c r="E3008" s="2" t="s">
        <v>19</v>
      </c>
      <c r="F3008" s="2">
        <v>7.004913312E9</v>
      </c>
    </row>
    <row r="3009" ht="15.75" customHeight="1">
      <c r="A3009" s="2" t="s">
        <v>2866</v>
      </c>
      <c r="B3009" s="2" t="s">
        <v>153</v>
      </c>
      <c r="C3009" s="2" t="s">
        <v>237</v>
      </c>
      <c r="D3009" s="2" t="s">
        <v>44</v>
      </c>
      <c r="E3009" s="2" t="s">
        <v>255</v>
      </c>
      <c r="F3009" s="2">
        <v>9.155691006E9</v>
      </c>
    </row>
    <row r="3010" ht="15.75" customHeight="1">
      <c r="A3010" s="2" t="s">
        <v>1492</v>
      </c>
      <c r="B3010" s="2" t="s">
        <v>308</v>
      </c>
      <c r="C3010" s="2" t="s">
        <v>763</v>
      </c>
      <c r="D3010" s="2" t="s">
        <v>44</v>
      </c>
      <c r="E3010" s="2" t="s">
        <v>23</v>
      </c>
      <c r="F3010" s="2">
        <v>9.693470899E9</v>
      </c>
    </row>
    <row r="3011" ht="15.75" customHeight="1">
      <c r="A3011" s="2" t="s">
        <v>2276</v>
      </c>
      <c r="B3011" s="2" t="s">
        <v>654</v>
      </c>
      <c r="C3011" s="2" t="s">
        <v>844</v>
      </c>
      <c r="D3011" s="2" t="s">
        <v>56</v>
      </c>
      <c r="E3011" s="2" t="s">
        <v>19</v>
      </c>
      <c r="F3011" s="2">
        <v>8.210657896E9</v>
      </c>
    </row>
    <row r="3012" ht="15.75" customHeight="1">
      <c r="A3012" s="2" t="s">
        <v>1429</v>
      </c>
      <c r="B3012" s="2" t="s">
        <v>119</v>
      </c>
      <c r="C3012" s="2" t="s">
        <v>2783</v>
      </c>
      <c r="D3012" s="2" t="s">
        <v>44</v>
      </c>
      <c r="E3012" s="2" t="s">
        <v>19</v>
      </c>
      <c r="F3012" s="2">
        <v>7.209867492E9</v>
      </c>
    </row>
    <row r="3013" ht="15.75" customHeight="1">
      <c r="A3013" s="2" t="s">
        <v>1597</v>
      </c>
      <c r="B3013" s="2" t="s">
        <v>606</v>
      </c>
      <c r="C3013" s="2" t="s">
        <v>1720</v>
      </c>
      <c r="D3013" s="2" t="s">
        <v>26</v>
      </c>
      <c r="E3013" s="2" t="s">
        <v>23</v>
      </c>
      <c r="F3013" s="2">
        <v>6.299689403E9</v>
      </c>
    </row>
    <row r="3014" ht="15.75" customHeight="1">
      <c r="A3014" s="2" t="s">
        <v>1654</v>
      </c>
      <c r="B3014" s="2" t="s">
        <v>55</v>
      </c>
      <c r="C3014" s="2" t="s">
        <v>330</v>
      </c>
      <c r="D3014" s="2" t="s">
        <v>9</v>
      </c>
      <c r="E3014" s="2" t="s">
        <v>19</v>
      </c>
      <c r="F3014" s="2">
        <v>9.175251891E9</v>
      </c>
    </row>
    <row r="3015" ht="15.75" customHeight="1">
      <c r="A3015" s="2" t="s">
        <v>397</v>
      </c>
      <c r="B3015" s="2" t="s">
        <v>1704</v>
      </c>
      <c r="C3015" s="2" t="s">
        <v>510</v>
      </c>
      <c r="D3015" s="2" t="s">
        <v>44</v>
      </c>
      <c r="E3015" s="2" t="s">
        <v>19</v>
      </c>
      <c r="F3015" s="2">
        <v>7.004863993E9</v>
      </c>
    </row>
    <row r="3016" ht="15.75" customHeight="1">
      <c r="A3016" s="2" t="s">
        <v>2867</v>
      </c>
      <c r="B3016" s="2" t="s">
        <v>499</v>
      </c>
      <c r="C3016" s="2" t="s">
        <v>360</v>
      </c>
      <c r="D3016" s="2" t="s">
        <v>44</v>
      </c>
      <c r="E3016" s="2" t="s">
        <v>19</v>
      </c>
      <c r="F3016" s="2">
        <v>6.299018838E9</v>
      </c>
    </row>
    <row r="3017" ht="15.75" customHeight="1">
      <c r="A3017" s="2" t="s">
        <v>2868</v>
      </c>
      <c r="B3017" s="2" t="s">
        <v>63</v>
      </c>
      <c r="C3017" s="2" t="s">
        <v>576</v>
      </c>
      <c r="D3017" s="2" t="s">
        <v>44</v>
      </c>
      <c r="E3017" s="2" t="s">
        <v>19</v>
      </c>
      <c r="F3017" s="2">
        <v>7.909089831E9</v>
      </c>
    </row>
    <row r="3018" ht="15.75" customHeight="1">
      <c r="A3018" s="2" t="s">
        <v>2869</v>
      </c>
      <c r="B3018" s="2" t="s">
        <v>153</v>
      </c>
      <c r="C3018" s="2" t="s">
        <v>1010</v>
      </c>
      <c r="D3018" s="2" t="s">
        <v>26</v>
      </c>
      <c r="E3018" s="2" t="s">
        <v>19</v>
      </c>
      <c r="F3018" s="2">
        <v>7.667807844E9</v>
      </c>
    </row>
    <row r="3019" ht="15.75" customHeight="1">
      <c r="A3019" s="2" t="s">
        <v>2870</v>
      </c>
      <c r="B3019" s="2" t="s">
        <v>65</v>
      </c>
      <c r="C3019" s="2" t="s">
        <v>2863</v>
      </c>
      <c r="D3019" s="2" t="s">
        <v>26</v>
      </c>
      <c r="E3019" s="2" t="s">
        <v>23</v>
      </c>
      <c r="F3019" s="2">
        <v>9.142600412E9</v>
      </c>
    </row>
    <row r="3020" ht="15.75" customHeight="1">
      <c r="A3020" s="2" t="s">
        <v>1383</v>
      </c>
      <c r="B3020" s="2" t="s">
        <v>52</v>
      </c>
      <c r="C3020" s="2" t="s">
        <v>230</v>
      </c>
      <c r="D3020" s="2" t="s">
        <v>9</v>
      </c>
      <c r="E3020" s="2" t="s">
        <v>19</v>
      </c>
      <c r="F3020" s="2">
        <v>9.724157111E9</v>
      </c>
    </row>
    <row r="3021" ht="15.75" customHeight="1">
      <c r="A3021" s="2" t="s">
        <v>1916</v>
      </c>
      <c r="B3021" s="2" t="s">
        <v>2871</v>
      </c>
      <c r="C3021" s="2" t="s">
        <v>2783</v>
      </c>
      <c r="D3021" s="2" t="s">
        <v>44</v>
      </c>
      <c r="E3021" s="2" t="s">
        <v>19</v>
      </c>
      <c r="F3021" s="2">
        <v>9.065967172E9</v>
      </c>
    </row>
    <row r="3022" ht="15.75" customHeight="1">
      <c r="A3022" s="2" t="s">
        <v>1387</v>
      </c>
      <c r="B3022" s="2" t="s">
        <v>499</v>
      </c>
      <c r="C3022" s="2" t="s">
        <v>360</v>
      </c>
      <c r="D3022" s="2" t="s">
        <v>14</v>
      </c>
      <c r="E3022" s="2" t="s">
        <v>19</v>
      </c>
      <c r="F3022" s="2">
        <v>9.523062678E9</v>
      </c>
    </row>
    <row r="3023" ht="15.75" customHeight="1">
      <c r="A3023" s="2" t="s">
        <v>2872</v>
      </c>
      <c r="B3023" s="2" t="s">
        <v>203</v>
      </c>
      <c r="C3023" s="2" t="s">
        <v>1510</v>
      </c>
      <c r="D3023" s="2" t="s">
        <v>26</v>
      </c>
      <c r="E3023" s="2" t="s">
        <v>19</v>
      </c>
      <c r="F3023" s="2">
        <v>6.299320725E9</v>
      </c>
    </row>
    <row r="3024" ht="15.75" customHeight="1">
      <c r="A3024" s="2" t="s">
        <v>1290</v>
      </c>
      <c r="B3024" s="2" t="s">
        <v>50</v>
      </c>
      <c r="C3024" s="2" t="s">
        <v>763</v>
      </c>
      <c r="D3024" s="2" t="s">
        <v>56</v>
      </c>
      <c r="E3024" s="2" t="s">
        <v>23</v>
      </c>
      <c r="F3024" s="2">
        <v>7.00493508E9</v>
      </c>
    </row>
    <row r="3025" ht="15.75" customHeight="1">
      <c r="A3025" s="2" t="s">
        <v>524</v>
      </c>
      <c r="B3025" s="2" t="s">
        <v>55</v>
      </c>
      <c r="C3025" s="2" t="s">
        <v>162</v>
      </c>
      <c r="D3025" s="2" t="s">
        <v>14</v>
      </c>
      <c r="E3025" s="2" t="s">
        <v>19</v>
      </c>
      <c r="F3025" s="2">
        <v>9.031430823E9</v>
      </c>
    </row>
    <row r="3026" ht="15.75" customHeight="1">
      <c r="A3026" s="2" t="s">
        <v>244</v>
      </c>
      <c r="B3026" s="2" t="s">
        <v>50</v>
      </c>
      <c r="C3026" s="2" t="s">
        <v>2873</v>
      </c>
      <c r="D3026" s="2" t="s">
        <v>29</v>
      </c>
      <c r="E3026" s="2" t="s">
        <v>19</v>
      </c>
      <c r="F3026" s="2">
        <v>6.201511231E9</v>
      </c>
    </row>
    <row r="3027" ht="15.75" customHeight="1">
      <c r="A3027" s="2" t="s">
        <v>2874</v>
      </c>
      <c r="B3027" s="2" t="s">
        <v>719</v>
      </c>
      <c r="C3027" s="2" t="s">
        <v>305</v>
      </c>
      <c r="D3027" s="2" t="s">
        <v>9</v>
      </c>
      <c r="E3027" s="2" t="s">
        <v>19</v>
      </c>
      <c r="F3027" s="2">
        <v>8.625261881E9</v>
      </c>
    </row>
    <row r="3028" ht="15.75" customHeight="1">
      <c r="A3028" s="2" t="s">
        <v>2875</v>
      </c>
      <c r="B3028" s="2" t="s">
        <v>119</v>
      </c>
      <c r="C3028" s="2" t="s">
        <v>2863</v>
      </c>
      <c r="D3028" s="2" t="s">
        <v>26</v>
      </c>
      <c r="E3028" s="2" t="s">
        <v>23</v>
      </c>
      <c r="F3028" s="2">
        <v>8.271096606E9</v>
      </c>
    </row>
    <row r="3029" ht="15.75" customHeight="1">
      <c r="A3029" s="2" t="s">
        <v>1044</v>
      </c>
      <c r="B3029" s="2" t="s">
        <v>52</v>
      </c>
      <c r="C3029" s="2" t="s">
        <v>230</v>
      </c>
      <c r="D3029" s="2" t="s">
        <v>56</v>
      </c>
      <c r="E3029" s="2" t="s">
        <v>19</v>
      </c>
      <c r="F3029" s="2">
        <v>8.926618141E9</v>
      </c>
    </row>
    <row r="3030" ht="15.75" customHeight="1">
      <c r="A3030" s="2" t="s">
        <v>728</v>
      </c>
      <c r="B3030" s="2" t="s">
        <v>212</v>
      </c>
      <c r="C3030" s="2" t="s">
        <v>1398</v>
      </c>
      <c r="D3030" s="2" t="s">
        <v>56</v>
      </c>
      <c r="E3030" s="2" t="s">
        <v>19</v>
      </c>
      <c r="F3030" s="2">
        <v>9.304945042E9</v>
      </c>
    </row>
    <row r="3031" ht="15.75" customHeight="1">
      <c r="A3031" s="2" t="s">
        <v>524</v>
      </c>
      <c r="B3031" s="2" t="s">
        <v>50</v>
      </c>
      <c r="C3031" s="2" t="s">
        <v>2873</v>
      </c>
      <c r="D3031" s="2" t="s">
        <v>9</v>
      </c>
      <c r="E3031" s="2" t="s">
        <v>19</v>
      </c>
      <c r="F3031" s="2">
        <v>9.142758923E9</v>
      </c>
    </row>
    <row r="3032" ht="15.75" customHeight="1">
      <c r="A3032" s="2" t="s">
        <v>2876</v>
      </c>
      <c r="B3032" s="2" t="s">
        <v>499</v>
      </c>
      <c r="C3032" s="2" t="s">
        <v>360</v>
      </c>
      <c r="D3032" s="2" t="s">
        <v>44</v>
      </c>
      <c r="E3032" s="2" t="s">
        <v>19</v>
      </c>
      <c r="F3032" s="2">
        <v>9.334485138E9</v>
      </c>
    </row>
    <row r="3033" ht="15.75" customHeight="1">
      <c r="A3033" s="2" t="s">
        <v>2877</v>
      </c>
      <c r="B3033" s="2" t="s">
        <v>125</v>
      </c>
      <c r="C3033" s="2" t="s">
        <v>729</v>
      </c>
      <c r="D3033" s="2" t="s">
        <v>44</v>
      </c>
      <c r="E3033" s="2" t="s">
        <v>23</v>
      </c>
      <c r="F3033" s="2">
        <v>7.295940909E9</v>
      </c>
    </row>
    <row r="3034" ht="15.75" customHeight="1">
      <c r="A3034" s="2" t="s">
        <v>1401</v>
      </c>
      <c r="B3034" s="2" t="s">
        <v>52</v>
      </c>
      <c r="C3034" s="2" t="s">
        <v>330</v>
      </c>
      <c r="D3034" s="2" t="s">
        <v>29</v>
      </c>
      <c r="E3034" s="2" t="s">
        <v>19</v>
      </c>
      <c r="F3034" s="2">
        <v>9.615181719E9</v>
      </c>
    </row>
    <row r="3035" ht="15.75" customHeight="1">
      <c r="A3035" s="2" t="s">
        <v>707</v>
      </c>
      <c r="B3035" s="2" t="s">
        <v>50</v>
      </c>
      <c r="C3035" s="2" t="s">
        <v>181</v>
      </c>
      <c r="D3035" s="2" t="s">
        <v>26</v>
      </c>
      <c r="E3035" s="2" t="s">
        <v>19</v>
      </c>
      <c r="F3035" s="2">
        <v>9.707978152E9</v>
      </c>
    </row>
    <row r="3036" ht="15.75" customHeight="1">
      <c r="A3036" s="2" t="s">
        <v>1450</v>
      </c>
      <c r="B3036" s="2" t="s">
        <v>50</v>
      </c>
      <c r="C3036" s="2" t="s">
        <v>1400</v>
      </c>
      <c r="D3036" s="2" t="s">
        <v>29</v>
      </c>
      <c r="E3036" s="2" t="s">
        <v>19</v>
      </c>
      <c r="F3036" s="2">
        <v>7.667973155E9</v>
      </c>
    </row>
    <row r="3037" ht="15.75" customHeight="1">
      <c r="A3037" s="2" t="s">
        <v>331</v>
      </c>
      <c r="B3037" s="2" t="s">
        <v>220</v>
      </c>
      <c r="C3037" s="2" t="s">
        <v>1010</v>
      </c>
      <c r="D3037" s="2" t="s">
        <v>26</v>
      </c>
      <c r="E3037" s="2" t="s">
        <v>19</v>
      </c>
      <c r="F3037" s="2">
        <v>6.205860317E9</v>
      </c>
    </row>
    <row r="3038" ht="15.75" customHeight="1">
      <c r="A3038" s="2" t="s">
        <v>2878</v>
      </c>
      <c r="B3038" s="2" t="s">
        <v>50</v>
      </c>
      <c r="C3038" s="2" t="s">
        <v>1400</v>
      </c>
      <c r="D3038" s="2" t="s">
        <v>29</v>
      </c>
      <c r="E3038" s="2" t="s">
        <v>23</v>
      </c>
      <c r="F3038" s="2">
        <v>7.903498651E9</v>
      </c>
    </row>
    <row r="3039" ht="15.75" customHeight="1">
      <c r="A3039" s="2" t="s">
        <v>2879</v>
      </c>
      <c r="B3039" s="2" t="s">
        <v>199</v>
      </c>
      <c r="C3039" s="2" t="s">
        <v>510</v>
      </c>
      <c r="D3039" s="2" t="s">
        <v>9</v>
      </c>
      <c r="E3039" s="2" t="s">
        <v>19</v>
      </c>
      <c r="F3039" s="2">
        <v>9.825251761E9</v>
      </c>
    </row>
    <row r="3040" ht="15.75" customHeight="1">
      <c r="A3040" s="2" t="s">
        <v>1429</v>
      </c>
      <c r="B3040" s="2" t="s">
        <v>21</v>
      </c>
      <c r="C3040" s="2" t="s">
        <v>2873</v>
      </c>
      <c r="D3040" s="2" t="s">
        <v>44</v>
      </c>
      <c r="E3040" s="2" t="s">
        <v>19</v>
      </c>
      <c r="F3040" s="2">
        <v>7.209367046E9</v>
      </c>
    </row>
    <row r="3041" ht="15.75" customHeight="1">
      <c r="A3041" s="2" t="s">
        <v>1092</v>
      </c>
      <c r="B3041" s="2" t="s">
        <v>52</v>
      </c>
      <c r="C3041" s="2" t="s">
        <v>1798</v>
      </c>
      <c r="D3041" s="2" t="s">
        <v>9</v>
      </c>
      <c r="E3041" s="2" t="s">
        <v>19</v>
      </c>
      <c r="F3041" s="2">
        <v>9.162552791E9</v>
      </c>
    </row>
    <row r="3042" ht="15.75" customHeight="1">
      <c r="A3042" s="2" t="s">
        <v>2880</v>
      </c>
      <c r="B3042" s="2" t="s">
        <v>55</v>
      </c>
      <c r="C3042" s="2" t="s">
        <v>333</v>
      </c>
      <c r="D3042" s="2" t="s">
        <v>102</v>
      </c>
      <c r="E3042" s="2" t="s">
        <v>19</v>
      </c>
      <c r="F3042" s="2">
        <v>7.482981692E9</v>
      </c>
    </row>
    <row r="3043" ht="15.75" customHeight="1">
      <c r="A3043" s="2" t="s">
        <v>782</v>
      </c>
      <c r="B3043" s="2" t="s">
        <v>719</v>
      </c>
      <c r="C3043" s="2" t="s">
        <v>1798</v>
      </c>
      <c r="D3043" s="2" t="s">
        <v>9</v>
      </c>
      <c r="E3043" s="2" t="s">
        <v>19</v>
      </c>
      <c r="F3043" s="2">
        <v>9.175218811E9</v>
      </c>
    </row>
    <row r="3044" ht="15.75" customHeight="1">
      <c r="A3044" s="2" t="s">
        <v>2881</v>
      </c>
      <c r="B3044" s="2" t="s">
        <v>1954</v>
      </c>
      <c r="C3044" s="2" t="s">
        <v>2863</v>
      </c>
      <c r="D3044" s="2" t="s">
        <v>26</v>
      </c>
      <c r="E3044" s="2" t="s">
        <v>23</v>
      </c>
      <c r="F3044" s="2">
        <v>7.667741153E9</v>
      </c>
    </row>
    <row r="3045" ht="15.75" customHeight="1">
      <c r="A3045" s="2" t="s">
        <v>2067</v>
      </c>
      <c r="B3045" s="2" t="s">
        <v>50</v>
      </c>
      <c r="C3045" s="2" t="s">
        <v>708</v>
      </c>
      <c r="D3045" s="2" t="s">
        <v>56</v>
      </c>
      <c r="E3045" s="2" t="s">
        <v>19</v>
      </c>
      <c r="F3045" s="2">
        <v>7.368028916E9</v>
      </c>
    </row>
    <row r="3046" ht="15.75" customHeight="1">
      <c r="A3046" s="2" t="s">
        <v>1463</v>
      </c>
      <c r="B3046" s="2" t="s">
        <v>50</v>
      </c>
      <c r="C3046" s="2" t="s">
        <v>510</v>
      </c>
      <c r="D3046" s="2" t="s">
        <v>9</v>
      </c>
      <c r="E3046" s="2" t="s">
        <v>19</v>
      </c>
      <c r="F3046" s="2">
        <v>8.409081504E9</v>
      </c>
    </row>
    <row r="3047" ht="15.75" customHeight="1">
      <c r="A3047" s="2" t="s">
        <v>1241</v>
      </c>
      <c r="B3047" s="2" t="s">
        <v>746</v>
      </c>
      <c r="C3047" s="2" t="s">
        <v>2842</v>
      </c>
      <c r="D3047" s="2" t="s">
        <v>102</v>
      </c>
      <c r="E3047" s="2" t="s">
        <v>19</v>
      </c>
      <c r="F3047" s="2">
        <v>9.993789636E9</v>
      </c>
    </row>
    <row r="3048" ht="15.75" customHeight="1">
      <c r="A3048" s="2" t="s">
        <v>186</v>
      </c>
      <c r="B3048" s="2" t="s">
        <v>1507</v>
      </c>
      <c r="C3048" s="2" t="s">
        <v>230</v>
      </c>
      <c r="D3048" s="2" t="s">
        <v>9</v>
      </c>
      <c r="E3048" s="2" t="s">
        <v>19</v>
      </c>
      <c r="F3048" s="2">
        <v>9.826626181E9</v>
      </c>
    </row>
    <row r="3049" ht="15.75" customHeight="1">
      <c r="A3049" s="2" t="s">
        <v>2882</v>
      </c>
      <c r="B3049" s="2" t="s">
        <v>2883</v>
      </c>
      <c r="C3049" s="2" t="s">
        <v>1510</v>
      </c>
      <c r="D3049" s="2" t="s">
        <v>26</v>
      </c>
      <c r="E3049" s="2" t="s">
        <v>23</v>
      </c>
      <c r="F3049" s="2">
        <v>6.205546978E9</v>
      </c>
    </row>
    <row r="3050" ht="15.75" customHeight="1">
      <c r="A3050" s="2" t="s">
        <v>446</v>
      </c>
      <c r="B3050" s="2" t="s">
        <v>50</v>
      </c>
      <c r="C3050" s="2" t="s">
        <v>162</v>
      </c>
      <c r="D3050" s="2" t="s">
        <v>9</v>
      </c>
      <c r="E3050" s="2" t="s">
        <v>19</v>
      </c>
      <c r="F3050" s="2">
        <v>8.789261781E9</v>
      </c>
    </row>
    <row r="3051" ht="15.75" customHeight="1">
      <c r="A3051" s="2" t="s">
        <v>491</v>
      </c>
      <c r="B3051" s="2" t="s">
        <v>50</v>
      </c>
      <c r="C3051" s="2" t="s">
        <v>181</v>
      </c>
      <c r="D3051" s="2" t="s">
        <v>26</v>
      </c>
      <c r="E3051" s="2" t="s">
        <v>19</v>
      </c>
      <c r="F3051" s="2">
        <v>9.608838066E9</v>
      </c>
    </row>
    <row r="3052" ht="15.75" customHeight="1">
      <c r="A3052" s="2" t="s">
        <v>1386</v>
      </c>
      <c r="B3052" s="2" t="s">
        <v>50</v>
      </c>
      <c r="C3052" s="2" t="s">
        <v>510</v>
      </c>
      <c r="D3052" s="2" t="s">
        <v>29</v>
      </c>
      <c r="E3052" s="2" t="s">
        <v>19</v>
      </c>
      <c r="F3052" s="2">
        <v>7.008767203E9</v>
      </c>
    </row>
    <row r="3053" ht="15.75" customHeight="1">
      <c r="A3053" s="2" t="s">
        <v>2884</v>
      </c>
      <c r="B3053" s="2" t="s">
        <v>2885</v>
      </c>
      <c r="C3053" s="2" t="s">
        <v>333</v>
      </c>
      <c r="D3053" s="2" t="s">
        <v>26</v>
      </c>
      <c r="E3053" s="2" t="s">
        <v>19</v>
      </c>
      <c r="F3053" s="2">
        <v>8.235857203E9</v>
      </c>
    </row>
    <row r="3054" ht="15.75" customHeight="1">
      <c r="A3054" s="2" t="s">
        <v>2886</v>
      </c>
      <c r="B3054" s="2" t="s">
        <v>50</v>
      </c>
      <c r="C3054" s="2" t="s">
        <v>2887</v>
      </c>
      <c r="D3054" s="2" t="s">
        <v>9</v>
      </c>
      <c r="E3054" s="2" t="s">
        <v>23</v>
      </c>
      <c r="F3054" s="2">
        <v>9.693138071E9</v>
      </c>
    </row>
    <row r="3055" ht="15.75" customHeight="1">
      <c r="A3055" s="2" t="s">
        <v>2888</v>
      </c>
      <c r="B3055" s="2" t="s">
        <v>786</v>
      </c>
      <c r="C3055" s="2" t="s">
        <v>162</v>
      </c>
      <c r="D3055" s="2" t="s">
        <v>44</v>
      </c>
      <c r="E3055" s="2" t="s">
        <v>19</v>
      </c>
      <c r="F3055" s="2">
        <v>6.200807284E9</v>
      </c>
    </row>
    <row r="3056" ht="15.75" customHeight="1">
      <c r="A3056" s="2" t="s">
        <v>2889</v>
      </c>
      <c r="B3056" s="2" t="s">
        <v>63</v>
      </c>
      <c r="C3056" s="2" t="s">
        <v>1533</v>
      </c>
      <c r="D3056" s="2" t="s">
        <v>26</v>
      </c>
      <c r="E3056" s="2" t="s">
        <v>19</v>
      </c>
      <c r="F3056" s="2">
        <v>9.693533414E9</v>
      </c>
    </row>
    <row r="3057" ht="15.75" customHeight="1">
      <c r="A3057" s="2" t="s">
        <v>2890</v>
      </c>
      <c r="B3057" s="2" t="s">
        <v>786</v>
      </c>
      <c r="C3057" s="2" t="s">
        <v>162</v>
      </c>
      <c r="D3057" s="2" t="s">
        <v>44</v>
      </c>
      <c r="E3057" s="2" t="s">
        <v>19</v>
      </c>
      <c r="F3057" s="2">
        <v>9.79840963E9</v>
      </c>
    </row>
    <row r="3058" ht="15.75" customHeight="1">
      <c r="A3058" s="2" t="s">
        <v>2891</v>
      </c>
      <c r="B3058" s="2" t="s">
        <v>50</v>
      </c>
      <c r="C3058" s="2" t="s">
        <v>2873</v>
      </c>
      <c r="D3058" s="2" t="s">
        <v>9</v>
      </c>
      <c r="E3058" s="2" t="s">
        <v>19</v>
      </c>
      <c r="F3058" s="2">
        <v>9.142594047E9</v>
      </c>
    </row>
    <row r="3059" ht="15.75" customHeight="1">
      <c r="A3059" s="2" t="s">
        <v>1970</v>
      </c>
      <c r="B3059" s="2" t="s">
        <v>63</v>
      </c>
      <c r="C3059" s="2" t="s">
        <v>2892</v>
      </c>
      <c r="D3059" s="2" t="s">
        <v>9</v>
      </c>
      <c r="E3059" s="2" t="s">
        <v>19</v>
      </c>
      <c r="F3059" s="2">
        <v>9.507185221E9</v>
      </c>
    </row>
    <row r="3060" ht="15.75" customHeight="1">
      <c r="A3060" s="2" t="s">
        <v>331</v>
      </c>
      <c r="B3060" s="2" t="s">
        <v>55</v>
      </c>
      <c r="C3060" s="2" t="s">
        <v>1010</v>
      </c>
      <c r="D3060" s="2" t="s">
        <v>26</v>
      </c>
      <c r="E3060" s="2" t="s">
        <v>19</v>
      </c>
      <c r="F3060" s="2">
        <v>8.70902484E9</v>
      </c>
    </row>
    <row r="3061" ht="15.75" customHeight="1">
      <c r="A3061" s="2" t="s">
        <v>1463</v>
      </c>
      <c r="B3061" s="2" t="s">
        <v>55</v>
      </c>
      <c r="C3061" s="2" t="s">
        <v>133</v>
      </c>
      <c r="D3061" s="2" t="s">
        <v>26</v>
      </c>
      <c r="E3061" s="2" t="s">
        <v>19</v>
      </c>
      <c r="F3061" s="2">
        <v>9.57640951E9</v>
      </c>
    </row>
    <row r="3062" ht="15.75" customHeight="1">
      <c r="A3062" s="2" t="s">
        <v>239</v>
      </c>
      <c r="B3062" s="2" t="s">
        <v>520</v>
      </c>
      <c r="C3062" s="2" t="s">
        <v>162</v>
      </c>
      <c r="D3062" s="2" t="s">
        <v>9</v>
      </c>
      <c r="E3062" s="2" t="s">
        <v>19</v>
      </c>
      <c r="F3062" s="2">
        <v>7.667242386E9</v>
      </c>
    </row>
    <row r="3063" ht="15.75" customHeight="1">
      <c r="A3063" s="2" t="s">
        <v>568</v>
      </c>
      <c r="B3063" s="2" t="s">
        <v>654</v>
      </c>
      <c r="C3063" s="2" t="s">
        <v>650</v>
      </c>
      <c r="D3063" s="2" t="s">
        <v>9</v>
      </c>
      <c r="E3063" s="2" t="s">
        <v>19</v>
      </c>
      <c r="F3063" s="2">
        <v>8.210400563E9</v>
      </c>
    </row>
    <row r="3064" ht="15.75" customHeight="1">
      <c r="A3064" s="2" t="s">
        <v>406</v>
      </c>
      <c r="B3064" s="2" t="s">
        <v>75</v>
      </c>
      <c r="C3064" s="2" t="s">
        <v>729</v>
      </c>
      <c r="D3064" s="2" t="s">
        <v>26</v>
      </c>
      <c r="E3064" s="2" t="s">
        <v>19</v>
      </c>
      <c r="F3064" s="2">
        <v>8.709262706E9</v>
      </c>
    </row>
    <row r="3065" ht="15.75" customHeight="1">
      <c r="A3065" s="2" t="s">
        <v>2237</v>
      </c>
      <c r="B3065" s="2" t="s">
        <v>55</v>
      </c>
      <c r="C3065" s="2" t="s">
        <v>1355</v>
      </c>
      <c r="D3065" s="2" t="s">
        <v>9</v>
      </c>
      <c r="E3065" s="2" t="s">
        <v>19</v>
      </c>
      <c r="F3065" s="2">
        <v>8.21095467E8</v>
      </c>
    </row>
    <row r="3066" ht="15.75" customHeight="1">
      <c r="A3066" s="2" t="s">
        <v>98</v>
      </c>
      <c r="B3066" s="2" t="s">
        <v>55</v>
      </c>
      <c r="C3066" s="2" t="s">
        <v>181</v>
      </c>
      <c r="D3066" s="2" t="s">
        <v>26</v>
      </c>
      <c r="E3066" s="2" t="s">
        <v>19</v>
      </c>
      <c r="F3066" s="2">
        <v>6.200458744E9</v>
      </c>
    </row>
    <row r="3067" ht="15.75" customHeight="1">
      <c r="A3067" s="2" t="s">
        <v>2893</v>
      </c>
      <c r="B3067" s="2" t="s">
        <v>63</v>
      </c>
      <c r="C3067" s="2" t="s">
        <v>289</v>
      </c>
      <c r="D3067" s="2" t="s">
        <v>26</v>
      </c>
      <c r="E3067" s="2" t="s">
        <v>19</v>
      </c>
      <c r="F3067" s="2">
        <v>9.931530126E9</v>
      </c>
    </row>
    <row r="3068" ht="15.75" customHeight="1">
      <c r="A3068" s="2" t="s">
        <v>1450</v>
      </c>
      <c r="B3068" s="2" t="s">
        <v>50</v>
      </c>
      <c r="C3068" s="2" t="s">
        <v>162</v>
      </c>
      <c r="D3068" s="2" t="s">
        <v>26</v>
      </c>
      <c r="E3068" s="2" t="s">
        <v>19</v>
      </c>
      <c r="F3068" s="2">
        <v>9.031480064E9</v>
      </c>
    </row>
    <row r="3069" ht="15.75" customHeight="1">
      <c r="A3069" s="2" t="s">
        <v>2894</v>
      </c>
      <c r="B3069" s="2" t="s">
        <v>800</v>
      </c>
      <c r="C3069" s="2" t="s">
        <v>252</v>
      </c>
      <c r="D3069" s="2" t="s">
        <v>26</v>
      </c>
      <c r="E3069" s="2" t="s">
        <v>19</v>
      </c>
      <c r="F3069" s="2">
        <v>7.6545197545E10</v>
      </c>
    </row>
    <row r="3070" ht="15.75" customHeight="1">
      <c r="A3070" s="2" t="s">
        <v>429</v>
      </c>
      <c r="B3070" s="2" t="s">
        <v>63</v>
      </c>
      <c r="C3070" s="2" t="s">
        <v>970</v>
      </c>
      <c r="D3070" s="2" t="s">
        <v>44</v>
      </c>
      <c r="E3070" s="2" t="s">
        <v>19</v>
      </c>
      <c r="F3070" s="2">
        <v>9.931319906E9</v>
      </c>
    </row>
    <row r="3071" ht="15.75" customHeight="1">
      <c r="A3071" s="2" t="s">
        <v>1386</v>
      </c>
      <c r="B3071" s="2" t="s">
        <v>2895</v>
      </c>
      <c r="C3071" s="2" t="s">
        <v>360</v>
      </c>
      <c r="D3071" s="2" t="s">
        <v>14</v>
      </c>
      <c r="E3071" s="2" t="s">
        <v>19</v>
      </c>
      <c r="F3071" s="2">
        <v>8.780953071E9</v>
      </c>
    </row>
    <row r="3072" ht="15.75" customHeight="1">
      <c r="A3072" s="2" t="s">
        <v>429</v>
      </c>
      <c r="B3072" s="2" t="s">
        <v>55</v>
      </c>
      <c r="C3072" s="2" t="s">
        <v>230</v>
      </c>
      <c r="D3072" s="2" t="s">
        <v>26</v>
      </c>
      <c r="E3072" s="2" t="s">
        <v>19</v>
      </c>
      <c r="F3072" s="2">
        <v>7.781991876E9</v>
      </c>
    </row>
    <row r="3073" ht="15.75" customHeight="1">
      <c r="A3073" s="2" t="s">
        <v>2896</v>
      </c>
      <c r="B3073" s="2" t="s">
        <v>280</v>
      </c>
      <c r="C3073" s="2" t="s">
        <v>1059</v>
      </c>
      <c r="D3073" s="2" t="s">
        <v>14</v>
      </c>
      <c r="E3073" s="2" t="s">
        <v>282</v>
      </c>
      <c r="F3073" s="2">
        <v>8.487877431E9</v>
      </c>
    </row>
    <row r="3074" ht="15.75" customHeight="1">
      <c r="A3074" s="2" t="s">
        <v>1557</v>
      </c>
      <c r="B3074" s="2" t="s">
        <v>88</v>
      </c>
      <c r="C3074" s="2" t="s">
        <v>1355</v>
      </c>
      <c r="D3074" s="2" t="s">
        <v>9</v>
      </c>
      <c r="E3074" s="2" t="s">
        <v>19</v>
      </c>
      <c r="F3074" s="2">
        <v>8.235386853E9</v>
      </c>
    </row>
    <row r="3075" ht="15.75" customHeight="1">
      <c r="A3075" s="2" t="s">
        <v>782</v>
      </c>
      <c r="B3075" s="2" t="s">
        <v>520</v>
      </c>
      <c r="C3075" s="2" t="s">
        <v>729</v>
      </c>
      <c r="D3075" s="2" t="s">
        <v>56</v>
      </c>
      <c r="E3075" s="2" t="s">
        <v>19</v>
      </c>
      <c r="F3075" s="2">
        <v>6.208755289E9</v>
      </c>
    </row>
    <row r="3076" ht="15.75" customHeight="1">
      <c r="A3076" s="2" t="s">
        <v>2897</v>
      </c>
      <c r="B3076" s="2" t="s">
        <v>2897</v>
      </c>
      <c r="C3076" s="2" t="s">
        <v>1010</v>
      </c>
      <c r="D3076" s="2" t="s">
        <v>26</v>
      </c>
      <c r="E3076" s="2" t="s">
        <v>19</v>
      </c>
      <c r="F3076" s="2">
        <v>6.207948506E9</v>
      </c>
    </row>
    <row r="3077" ht="15.75" customHeight="1">
      <c r="A3077" s="2" t="s">
        <v>429</v>
      </c>
      <c r="B3077" s="2" t="s">
        <v>1290</v>
      </c>
      <c r="C3077" s="2" t="s">
        <v>1476</v>
      </c>
      <c r="D3077" s="2" t="s">
        <v>56</v>
      </c>
      <c r="E3077" s="2" t="s">
        <v>19</v>
      </c>
      <c r="F3077" s="2">
        <v>9.835127537E9</v>
      </c>
    </row>
    <row r="3078" ht="15.75" customHeight="1">
      <c r="A3078" s="2" t="s">
        <v>782</v>
      </c>
      <c r="B3078" s="2" t="s">
        <v>2895</v>
      </c>
      <c r="C3078" s="2" t="s">
        <v>1379</v>
      </c>
      <c r="D3078" s="2" t="s">
        <v>14</v>
      </c>
      <c r="E3078" s="2" t="s">
        <v>19</v>
      </c>
      <c r="F3078" s="2">
        <v>7.903192052E9</v>
      </c>
    </row>
    <row r="3079" ht="15.75" customHeight="1">
      <c r="A3079" s="2" t="s">
        <v>2898</v>
      </c>
      <c r="B3079" s="2" t="s">
        <v>276</v>
      </c>
      <c r="C3079" s="2" t="s">
        <v>2842</v>
      </c>
      <c r="D3079" s="2" t="s">
        <v>56</v>
      </c>
      <c r="E3079" s="2" t="s">
        <v>19</v>
      </c>
      <c r="F3079" s="2">
        <v>7.879852117E9</v>
      </c>
    </row>
    <row r="3080" ht="15.75" customHeight="1">
      <c r="A3080" s="2" t="s">
        <v>1623</v>
      </c>
      <c r="B3080" s="2" t="s">
        <v>52</v>
      </c>
      <c r="C3080" s="2" t="s">
        <v>226</v>
      </c>
      <c r="D3080" s="2" t="s">
        <v>56</v>
      </c>
      <c r="E3080" s="2" t="s">
        <v>19</v>
      </c>
      <c r="F3080" s="2">
        <v>9.725261719E9</v>
      </c>
    </row>
    <row r="3081" ht="15.75" customHeight="1">
      <c r="A3081" s="2" t="s">
        <v>491</v>
      </c>
      <c r="B3081" s="2" t="s">
        <v>63</v>
      </c>
      <c r="C3081" s="2" t="s">
        <v>867</v>
      </c>
      <c r="D3081" s="2" t="s">
        <v>56</v>
      </c>
      <c r="E3081" s="2" t="s">
        <v>19</v>
      </c>
      <c r="F3081" s="2">
        <v>9.431929491E9</v>
      </c>
    </row>
    <row r="3082" ht="15.75" customHeight="1">
      <c r="A3082" s="2" t="s">
        <v>429</v>
      </c>
      <c r="B3082" s="2" t="s">
        <v>1702</v>
      </c>
      <c r="C3082" s="2" t="s">
        <v>2343</v>
      </c>
      <c r="D3082" s="2" t="s">
        <v>9</v>
      </c>
      <c r="E3082" s="2" t="s">
        <v>19</v>
      </c>
      <c r="F3082" s="2">
        <v>6.206785245E9</v>
      </c>
    </row>
    <row r="3083" ht="15.75" customHeight="1">
      <c r="A3083" s="2" t="s">
        <v>2899</v>
      </c>
      <c r="B3083" s="2" t="s">
        <v>119</v>
      </c>
      <c r="C3083" s="2" t="s">
        <v>2783</v>
      </c>
      <c r="D3083" s="2" t="s">
        <v>56</v>
      </c>
      <c r="E3083" s="2" t="s">
        <v>19</v>
      </c>
      <c r="F3083" s="2">
        <v>9.693146583E9</v>
      </c>
    </row>
    <row r="3084" ht="15.75" customHeight="1">
      <c r="A3084" s="2" t="s">
        <v>1187</v>
      </c>
      <c r="B3084" s="2" t="s">
        <v>2169</v>
      </c>
      <c r="C3084" s="2" t="s">
        <v>2842</v>
      </c>
      <c r="D3084" s="2" t="s">
        <v>26</v>
      </c>
      <c r="E3084" s="2" t="s">
        <v>19</v>
      </c>
      <c r="F3084" s="2">
        <v>9.304305265E9</v>
      </c>
    </row>
    <row r="3085" ht="15.75" customHeight="1">
      <c r="A3085" s="2" t="s">
        <v>429</v>
      </c>
      <c r="B3085" s="2" t="s">
        <v>50</v>
      </c>
      <c r="C3085" s="2" t="s">
        <v>277</v>
      </c>
      <c r="D3085" s="2" t="s">
        <v>56</v>
      </c>
      <c r="E3085" s="2" t="s">
        <v>19</v>
      </c>
      <c r="F3085" s="2">
        <v>6.202785789E9</v>
      </c>
    </row>
    <row r="3086" ht="15.75" customHeight="1">
      <c r="A3086" s="2" t="s">
        <v>579</v>
      </c>
      <c r="B3086" s="2" t="s">
        <v>65</v>
      </c>
      <c r="C3086" s="2" t="s">
        <v>2900</v>
      </c>
      <c r="D3086" s="2" t="s">
        <v>9</v>
      </c>
      <c r="E3086" s="2" t="s">
        <v>19</v>
      </c>
      <c r="F3086" s="2">
        <v>8.09252675E9</v>
      </c>
    </row>
    <row r="3087" ht="15.75" customHeight="1">
      <c r="A3087" s="2" t="s">
        <v>2901</v>
      </c>
      <c r="B3087" s="2" t="s">
        <v>52</v>
      </c>
      <c r="C3087" s="2" t="s">
        <v>1300</v>
      </c>
      <c r="D3087" s="2" t="s">
        <v>9</v>
      </c>
      <c r="E3087" s="2" t="s">
        <v>19</v>
      </c>
      <c r="F3087" s="2">
        <v>9.715252611E9</v>
      </c>
    </row>
    <row r="3088" ht="15.75" customHeight="1">
      <c r="A3088" s="2" t="s">
        <v>429</v>
      </c>
      <c r="B3088" s="2" t="s">
        <v>50</v>
      </c>
      <c r="C3088" s="2" t="s">
        <v>200</v>
      </c>
      <c r="D3088" s="2" t="s">
        <v>56</v>
      </c>
      <c r="E3088" s="2" t="s">
        <v>19</v>
      </c>
      <c r="F3088" s="2">
        <v>9.122711389E9</v>
      </c>
    </row>
    <row r="3089" ht="15.75" customHeight="1">
      <c r="A3089" s="2" t="s">
        <v>2902</v>
      </c>
      <c r="B3089" s="2" t="s">
        <v>55</v>
      </c>
      <c r="C3089" s="2" t="s">
        <v>181</v>
      </c>
      <c r="D3089" s="2" t="s">
        <v>26</v>
      </c>
      <c r="E3089" s="2" t="s">
        <v>19</v>
      </c>
      <c r="F3089" s="2">
        <v>7.549115071E9</v>
      </c>
    </row>
    <row r="3090" ht="15.75" customHeight="1">
      <c r="A3090" s="2" t="s">
        <v>2903</v>
      </c>
      <c r="B3090" s="2" t="s">
        <v>320</v>
      </c>
      <c r="C3090" s="2" t="s">
        <v>655</v>
      </c>
      <c r="D3090" s="2" t="s">
        <v>14</v>
      </c>
      <c r="E3090" s="2" t="s">
        <v>19</v>
      </c>
      <c r="F3090" s="2">
        <v>6.206506135E9</v>
      </c>
    </row>
    <row r="3091" ht="15.75" customHeight="1">
      <c r="A3091" s="2" t="s">
        <v>2055</v>
      </c>
      <c r="B3091" s="2" t="s">
        <v>909</v>
      </c>
      <c r="C3091" s="2" t="s">
        <v>423</v>
      </c>
      <c r="D3091" s="2" t="s">
        <v>44</v>
      </c>
      <c r="E3091" s="2" t="s">
        <v>19</v>
      </c>
      <c r="F3091" s="2">
        <v>6.722995021E9</v>
      </c>
    </row>
    <row r="3092" ht="15.75" customHeight="1">
      <c r="A3092" s="2" t="s">
        <v>491</v>
      </c>
      <c r="B3092" s="2" t="s">
        <v>308</v>
      </c>
      <c r="C3092" s="2" t="s">
        <v>1139</v>
      </c>
      <c r="D3092" s="2" t="s">
        <v>26</v>
      </c>
      <c r="E3092" s="2" t="s">
        <v>19</v>
      </c>
      <c r="F3092" s="2">
        <v>7.634079579E9</v>
      </c>
    </row>
    <row r="3093" ht="15.75" customHeight="1">
      <c r="A3093" s="2" t="s">
        <v>98</v>
      </c>
      <c r="B3093" s="2" t="s">
        <v>63</v>
      </c>
      <c r="C3093" s="2" t="s">
        <v>1039</v>
      </c>
      <c r="D3093" s="2" t="s">
        <v>56</v>
      </c>
      <c r="E3093" s="2" t="s">
        <v>19</v>
      </c>
      <c r="F3093" s="2">
        <v>7.457282883E9</v>
      </c>
    </row>
    <row r="3094" ht="15.75" customHeight="1">
      <c r="A3094" s="2" t="s">
        <v>80</v>
      </c>
      <c r="B3094" s="2" t="s">
        <v>65</v>
      </c>
      <c r="C3094" s="2" t="s">
        <v>2873</v>
      </c>
      <c r="D3094" s="2" t="s">
        <v>56</v>
      </c>
      <c r="E3094" s="2" t="s">
        <v>19</v>
      </c>
      <c r="F3094" s="2">
        <v>9.905323998E9</v>
      </c>
    </row>
    <row r="3095" ht="15.75" customHeight="1">
      <c r="A3095" s="2" t="s">
        <v>2904</v>
      </c>
      <c r="B3095" s="2" t="s">
        <v>786</v>
      </c>
      <c r="C3095" s="2" t="s">
        <v>360</v>
      </c>
      <c r="D3095" s="2" t="s">
        <v>14</v>
      </c>
      <c r="E3095" s="2" t="s">
        <v>19</v>
      </c>
      <c r="F3095" s="2">
        <v>9.709917892E9</v>
      </c>
    </row>
    <row r="3096" ht="15.75" customHeight="1">
      <c r="A3096" s="2" t="s">
        <v>24</v>
      </c>
      <c r="B3096" s="2" t="s">
        <v>65</v>
      </c>
      <c r="C3096" s="2" t="s">
        <v>729</v>
      </c>
      <c r="D3096" s="2" t="s">
        <v>56</v>
      </c>
      <c r="E3096" s="2" t="s">
        <v>19</v>
      </c>
      <c r="F3096" s="2">
        <v>9.931592434E9</v>
      </c>
    </row>
    <row r="3097" ht="15.75" customHeight="1">
      <c r="A3097" s="2" t="s">
        <v>2905</v>
      </c>
      <c r="B3097" s="2" t="s">
        <v>2906</v>
      </c>
      <c r="C3097" s="2" t="s">
        <v>1010</v>
      </c>
      <c r="D3097" s="2" t="s">
        <v>102</v>
      </c>
      <c r="E3097" s="2" t="s">
        <v>19</v>
      </c>
      <c r="F3097" s="2">
        <v>7.061480072E9</v>
      </c>
    </row>
    <row r="3098" ht="15.75" customHeight="1">
      <c r="A3098" s="2" t="s">
        <v>2870</v>
      </c>
      <c r="B3098" s="2" t="s">
        <v>654</v>
      </c>
      <c r="C3098" s="2" t="s">
        <v>265</v>
      </c>
      <c r="D3098" s="2" t="s">
        <v>26</v>
      </c>
      <c r="E3098" s="2" t="s">
        <v>19</v>
      </c>
      <c r="F3098" s="2">
        <v>6.201417559E9</v>
      </c>
    </row>
    <row r="3099" ht="15.75" customHeight="1">
      <c r="A3099" s="2" t="s">
        <v>725</v>
      </c>
      <c r="B3099" s="2" t="s">
        <v>63</v>
      </c>
      <c r="C3099" s="2" t="s">
        <v>2851</v>
      </c>
      <c r="D3099" s="2" t="s">
        <v>9</v>
      </c>
      <c r="E3099" s="2" t="s">
        <v>23</v>
      </c>
      <c r="F3099" s="2">
        <v>8.298636996E9</v>
      </c>
    </row>
    <row r="3100" ht="15.75" customHeight="1">
      <c r="A3100" s="2" t="s">
        <v>525</v>
      </c>
      <c r="B3100" s="2" t="s">
        <v>50</v>
      </c>
      <c r="C3100" s="2" t="s">
        <v>2900</v>
      </c>
      <c r="D3100" s="2" t="s">
        <v>9</v>
      </c>
      <c r="E3100" s="2" t="s">
        <v>19</v>
      </c>
      <c r="F3100" s="2">
        <v>8.882631401E9</v>
      </c>
    </row>
    <row r="3101" ht="15.75" customHeight="1">
      <c r="A3101" s="2" t="s">
        <v>2289</v>
      </c>
      <c r="B3101" s="2" t="s">
        <v>1812</v>
      </c>
      <c r="C3101" s="2" t="s">
        <v>428</v>
      </c>
      <c r="D3101" s="2" t="s">
        <v>26</v>
      </c>
      <c r="E3101" s="2" t="s">
        <v>19</v>
      </c>
      <c r="F3101" s="2">
        <v>6.201417559E9</v>
      </c>
    </row>
    <row r="3102" ht="15.75" customHeight="1">
      <c r="A3102" s="2" t="s">
        <v>105</v>
      </c>
      <c r="B3102" s="2" t="s">
        <v>55</v>
      </c>
      <c r="C3102" s="2" t="s">
        <v>2907</v>
      </c>
      <c r="D3102" s="2" t="s">
        <v>9</v>
      </c>
      <c r="E3102" s="2" t="s">
        <v>19</v>
      </c>
      <c r="F3102" s="2">
        <v>9.814418151E9</v>
      </c>
    </row>
    <row r="3103" ht="15.75" customHeight="1">
      <c r="A3103" s="2" t="s">
        <v>1437</v>
      </c>
      <c r="B3103" s="2" t="s">
        <v>483</v>
      </c>
      <c r="C3103" s="2" t="s">
        <v>2861</v>
      </c>
      <c r="D3103" s="2" t="s">
        <v>26</v>
      </c>
      <c r="E3103" s="2" t="s">
        <v>19</v>
      </c>
      <c r="F3103" s="2">
        <v>8.340741399E9</v>
      </c>
    </row>
    <row r="3104" ht="15.75" customHeight="1">
      <c r="A3104" s="2" t="s">
        <v>2055</v>
      </c>
      <c r="B3104" s="2" t="s">
        <v>869</v>
      </c>
      <c r="C3104" s="2" t="s">
        <v>729</v>
      </c>
      <c r="D3104" s="2" t="s">
        <v>56</v>
      </c>
      <c r="E3104" s="2" t="s">
        <v>19</v>
      </c>
      <c r="F3104" s="2">
        <v>9.060420755E9</v>
      </c>
    </row>
    <row r="3105" ht="15.75" customHeight="1">
      <c r="A3105" s="2" t="s">
        <v>491</v>
      </c>
      <c r="B3105" s="2" t="s">
        <v>308</v>
      </c>
      <c r="C3105" s="2" t="s">
        <v>2376</v>
      </c>
      <c r="D3105" s="2" t="s">
        <v>26</v>
      </c>
      <c r="E3105" s="2" t="s">
        <v>19</v>
      </c>
      <c r="F3105" s="2">
        <v>9.33993117E9</v>
      </c>
    </row>
    <row r="3106" ht="15.75" customHeight="1">
      <c r="A3106" s="2" t="s">
        <v>2239</v>
      </c>
      <c r="B3106" s="2" t="s">
        <v>50</v>
      </c>
      <c r="C3106" s="2" t="s">
        <v>1355</v>
      </c>
      <c r="D3106" s="2" t="s">
        <v>56</v>
      </c>
      <c r="E3106" s="2" t="s">
        <v>19</v>
      </c>
      <c r="F3106" s="2">
        <v>8.235639781E9</v>
      </c>
    </row>
    <row r="3107" ht="15.75" customHeight="1">
      <c r="A3107" s="2" t="s">
        <v>2908</v>
      </c>
      <c r="B3107" s="2" t="s">
        <v>2909</v>
      </c>
      <c r="C3107" s="2" t="s">
        <v>2910</v>
      </c>
      <c r="D3107" s="2" t="s">
        <v>56</v>
      </c>
      <c r="E3107" s="2" t="s">
        <v>19</v>
      </c>
      <c r="F3107" s="2">
        <v>7.879407823E9</v>
      </c>
    </row>
    <row r="3108" ht="15.75" customHeight="1">
      <c r="A3108" s="2" t="s">
        <v>189</v>
      </c>
      <c r="B3108" s="2" t="s">
        <v>21</v>
      </c>
      <c r="C3108" s="2" t="s">
        <v>1024</v>
      </c>
      <c r="D3108" s="2" t="s">
        <v>44</v>
      </c>
      <c r="E3108" s="2" t="s">
        <v>23</v>
      </c>
      <c r="F3108" s="2">
        <v>7.091361446E9</v>
      </c>
    </row>
    <row r="3109" ht="15.75" customHeight="1">
      <c r="A3109" s="2" t="s">
        <v>2911</v>
      </c>
      <c r="B3109" s="2" t="s">
        <v>55</v>
      </c>
      <c r="C3109" s="2" t="s">
        <v>708</v>
      </c>
      <c r="D3109" s="2" t="s">
        <v>26</v>
      </c>
      <c r="E3109" s="2" t="s">
        <v>19</v>
      </c>
      <c r="F3109" s="2">
        <v>9.631581698E9</v>
      </c>
    </row>
    <row r="3110" ht="15.75" customHeight="1">
      <c r="A3110" s="2" t="s">
        <v>2912</v>
      </c>
      <c r="B3110" s="2" t="s">
        <v>2913</v>
      </c>
      <c r="C3110" s="2" t="s">
        <v>560</v>
      </c>
      <c r="D3110" s="2" t="s">
        <v>26</v>
      </c>
      <c r="E3110" s="2" t="s">
        <v>19</v>
      </c>
      <c r="F3110" s="2">
        <v>8.709769686E9</v>
      </c>
    </row>
    <row r="3111" ht="15.75" customHeight="1">
      <c r="A3111" s="2" t="s">
        <v>244</v>
      </c>
      <c r="B3111" s="2" t="s">
        <v>2164</v>
      </c>
      <c r="C3111" s="2" t="s">
        <v>2914</v>
      </c>
      <c r="D3111" s="2" t="s">
        <v>26</v>
      </c>
      <c r="E3111" s="2" t="s">
        <v>19</v>
      </c>
      <c r="F3111" s="2">
        <v>8.877511152E9</v>
      </c>
    </row>
    <row r="3112" ht="15.75" customHeight="1">
      <c r="A3112" s="2" t="s">
        <v>1239</v>
      </c>
      <c r="B3112" s="2" t="s">
        <v>63</v>
      </c>
      <c r="C3112" s="2" t="s">
        <v>330</v>
      </c>
      <c r="D3112" s="2" t="s">
        <v>56</v>
      </c>
      <c r="E3112" s="2" t="s">
        <v>19</v>
      </c>
      <c r="F3112" s="2">
        <v>9.852225905E9</v>
      </c>
    </row>
    <row r="3113" ht="15.75" customHeight="1">
      <c r="A3113" s="2" t="s">
        <v>2915</v>
      </c>
      <c r="B3113" s="2" t="s">
        <v>2916</v>
      </c>
      <c r="C3113" s="2" t="s">
        <v>235</v>
      </c>
      <c r="D3113" s="2" t="s">
        <v>26</v>
      </c>
      <c r="E3113" s="2" t="s">
        <v>19</v>
      </c>
      <c r="F3113" s="2">
        <v>9.30865555E9</v>
      </c>
    </row>
    <row r="3114" ht="15.75" customHeight="1">
      <c r="A3114" s="2" t="s">
        <v>1052</v>
      </c>
      <c r="B3114" s="2" t="s">
        <v>50</v>
      </c>
      <c r="C3114" s="2" t="s">
        <v>650</v>
      </c>
      <c r="D3114" s="2" t="s">
        <v>29</v>
      </c>
      <c r="E3114" s="2" t="s">
        <v>19</v>
      </c>
      <c r="F3114" s="2">
        <v>9.304531957E9</v>
      </c>
    </row>
    <row r="3115" ht="15.75" customHeight="1">
      <c r="A3115" s="2" t="s">
        <v>24</v>
      </c>
      <c r="B3115" s="2" t="s">
        <v>2917</v>
      </c>
      <c r="C3115" s="2" t="s">
        <v>226</v>
      </c>
      <c r="D3115" s="2" t="s">
        <v>9</v>
      </c>
      <c r="E3115" s="2" t="s">
        <v>19</v>
      </c>
      <c r="F3115" s="2">
        <v>9.815524166E9</v>
      </c>
    </row>
    <row r="3116" ht="15.75" customHeight="1">
      <c r="A3116" s="2" t="s">
        <v>244</v>
      </c>
      <c r="B3116" s="2" t="s">
        <v>88</v>
      </c>
      <c r="C3116" s="2" t="s">
        <v>2918</v>
      </c>
      <c r="D3116" s="2" t="s">
        <v>26</v>
      </c>
      <c r="E3116" s="2" t="s">
        <v>19</v>
      </c>
      <c r="F3116" s="2">
        <v>9.546789553E9</v>
      </c>
    </row>
    <row r="3117" ht="15.75" customHeight="1">
      <c r="A3117" s="2" t="s">
        <v>843</v>
      </c>
      <c r="B3117" s="2" t="s">
        <v>212</v>
      </c>
      <c r="C3117" s="2" t="s">
        <v>1355</v>
      </c>
      <c r="D3117" s="2" t="s">
        <v>29</v>
      </c>
      <c r="E3117" s="2" t="s">
        <v>19</v>
      </c>
      <c r="F3117" s="2">
        <v>9.97384673E9</v>
      </c>
    </row>
    <row r="3118" ht="15.75" customHeight="1">
      <c r="A3118" s="2" t="s">
        <v>2919</v>
      </c>
      <c r="B3118" s="2" t="s">
        <v>2417</v>
      </c>
      <c r="C3118" s="2" t="s">
        <v>1024</v>
      </c>
      <c r="D3118" s="2" t="s">
        <v>26</v>
      </c>
      <c r="E3118" s="2" t="s">
        <v>19</v>
      </c>
      <c r="F3118" s="2">
        <v>9.234902914E9</v>
      </c>
    </row>
    <row r="3119" ht="15.75" customHeight="1">
      <c r="A3119" s="2" t="s">
        <v>244</v>
      </c>
      <c r="B3119" s="2" t="s">
        <v>50</v>
      </c>
      <c r="C3119" s="2" t="s">
        <v>2791</v>
      </c>
      <c r="D3119" s="2" t="s">
        <v>9</v>
      </c>
      <c r="E3119" s="2" t="s">
        <v>19</v>
      </c>
      <c r="F3119" s="2">
        <v>8.789740502E9</v>
      </c>
    </row>
    <row r="3120" ht="15.75" customHeight="1">
      <c r="A3120" s="2" t="s">
        <v>2003</v>
      </c>
      <c r="B3120" s="2" t="s">
        <v>125</v>
      </c>
      <c r="C3120" s="2" t="s">
        <v>200</v>
      </c>
      <c r="D3120" s="2" t="s">
        <v>9</v>
      </c>
      <c r="E3120" s="2" t="s">
        <v>19</v>
      </c>
      <c r="F3120" s="2">
        <v>8.235639604E9</v>
      </c>
    </row>
    <row r="3121" ht="15.75" customHeight="1">
      <c r="A3121" s="2" t="s">
        <v>491</v>
      </c>
      <c r="B3121" s="2" t="s">
        <v>55</v>
      </c>
      <c r="C3121" s="2" t="s">
        <v>2920</v>
      </c>
      <c r="D3121" s="2" t="s">
        <v>44</v>
      </c>
      <c r="E3121" s="2" t="s">
        <v>19</v>
      </c>
      <c r="F3121" s="2">
        <v>9.771317303E9</v>
      </c>
    </row>
    <row r="3122" ht="15.75" customHeight="1">
      <c r="A3122" s="2" t="s">
        <v>2921</v>
      </c>
      <c r="B3122" s="2" t="s">
        <v>1833</v>
      </c>
      <c r="C3122" s="2" t="s">
        <v>2851</v>
      </c>
      <c r="D3122" s="2" t="s">
        <v>29</v>
      </c>
      <c r="E3122" s="2" t="s">
        <v>23</v>
      </c>
      <c r="F3122" s="2">
        <v>9.612496525E9</v>
      </c>
    </row>
    <row r="3123" ht="15.75" customHeight="1">
      <c r="A3123" s="2" t="s">
        <v>1450</v>
      </c>
      <c r="B3123" s="2" t="s">
        <v>2922</v>
      </c>
      <c r="C3123" s="2" t="s">
        <v>360</v>
      </c>
      <c r="D3123" s="2" t="s">
        <v>56</v>
      </c>
      <c r="E3123" s="2" t="s">
        <v>19</v>
      </c>
      <c r="F3123" s="2">
        <v>9.031955831E9</v>
      </c>
    </row>
    <row r="3124" ht="15.75" customHeight="1">
      <c r="A3124" s="2" t="s">
        <v>1239</v>
      </c>
      <c r="B3124" s="2" t="s">
        <v>63</v>
      </c>
      <c r="C3124" s="2" t="s">
        <v>162</v>
      </c>
      <c r="D3124" s="2" t="s">
        <v>14</v>
      </c>
      <c r="E3124" s="2" t="s">
        <v>23</v>
      </c>
      <c r="F3124" s="2">
        <v>8.21011806E9</v>
      </c>
    </row>
    <row r="3125" ht="15.75" customHeight="1">
      <c r="A3125" s="2" t="s">
        <v>2923</v>
      </c>
      <c r="B3125" s="2" t="s">
        <v>832</v>
      </c>
      <c r="C3125" s="2" t="s">
        <v>83</v>
      </c>
      <c r="D3125" s="2" t="s">
        <v>14</v>
      </c>
      <c r="E3125" s="2" t="s">
        <v>402</v>
      </c>
      <c r="F3125" s="2">
        <v>9.662785909E9</v>
      </c>
    </row>
    <row r="3126" ht="15.75" customHeight="1">
      <c r="A3126" s="2" t="s">
        <v>1470</v>
      </c>
      <c r="B3126" s="2" t="s">
        <v>55</v>
      </c>
      <c r="C3126" s="2" t="s">
        <v>289</v>
      </c>
      <c r="D3126" s="2" t="s">
        <v>44</v>
      </c>
      <c r="E3126" s="2" t="s">
        <v>19</v>
      </c>
      <c r="F3126" s="2">
        <v>8.987654312E9</v>
      </c>
    </row>
    <row r="3127" ht="15.75" customHeight="1">
      <c r="A3127" s="2" t="s">
        <v>491</v>
      </c>
      <c r="B3127" s="2" t="s">
        <v>50</v>
      </c>
      <c r="C3127" s="2" t="s">
        <v>650</v>
      </c>
      <c r="D3127" s="2" t="s">
        <v>29</v>
      </c>
      <c r="E3127" s="2" t="s">
        <v>19</v>
      </c>
      <c r="F3127" s="2">
        <v>7.808828996E9</v>
      </c>
    </row>
    <row r="3128" ht="15.75" customHeight="1">
      <c r="A3128" s="2" t="s">
        <v>2003</v>
      </c>
      <c r="B3128" s="2" t="s">
        <v>55</v>
      </c>
      <c r="C3128" s="2" t="s">
        <v>61</v>
      </c>
      <c r="D3128" s="2" t="s">
        <v>26</v>
      </c>
      <c r="E3128" s="2" t="s">
        <v>19</v>
      </c>
      <c r="F3128" s="2">
        <v>7.631639292E9</v>
      </c>
    </row>
    <row r="3129" ht="15.75" customHeight="1">
      <c r="A3129" s="2" t="s">
        <v>24</v>
      </c>
      <c r="B3129" s="2" t="s">
        <v>145</v>
      </c>
      <c r="C3129" s="2" t="s">
        <v>200</v>
      </c>
      <c r="D3129" s="2" t="s">
        <v>56</v>
      </c>
      <c r="E3129" s="2" t="s">
        <v>19</v>
      </c>
      <c r="F3129" s="2">
        <v>9.798132804E9</v>
      </c>
    </row>
    <row r="3130" ht="15.75" customHeight="1">
      <c r="A3130" s="2" t="s">
        <v>63</v>
      </c>
      <c r="B3130" s="2" t="s">
        <v>1383</v>
      </c>
      <c r="C3130" s="2" t="s">
        <v>2450</v>
      </c>
      <c r="D3130" s="2" t="s">
        <v>26</v>
      </c>
      <c r="E3130" s="2" t="s">
        <v>23</v>
      </c>
      <c r="F3130" s="2">
        <v>9.777440559E9</v>
      </c>
    </row>
    <row r="3131" ht="15.75" customHeight="1">
      <c r="A3131" s="2" t="s">
        <v>264</v>
      </c>
      <c r="B3131" s="2" t="s">
        <v>50</v>
      </c>
      <c r="C3131" s="2" t="s">
        <v>2851</v>
      </c>
      <c r="D3131" s="2" t="s">
        <v>29</v>
      </c>
      <c r="E3131" s="2" t="s">
        <v>23</v>
      </c>
      <c r="F3131" s="2">
        <v>7.856931819E9</v>
      </c>
    </row>
    <row r="3132" ht="15.75" customHeight="1">
      <c r="A3132" s="2" t="s">
        <v>800</v>
      </c>
      <c r="B3132" s="2" t="s">
        <v>55</v>
      </c>
      <c r="C3132" s="2" t="s">
        <v>181</v>
      </c>
      <c r="D3132" s="2" t="s">
        <v>102</v>
      </c>
      <c r="E3132" s="2" t="s">
        <v>19</v>
      </c>
      <c r="F3132" s="2">
        <v>6.941816062E9</v>
      </c>
    </row>
    <row r="3133" ht="15.75" customHeight="1">
      <c r="A3133" s="2" t="s">
        <v>2239</v>
      </c>
      <c r="B3133" s="2" t="s">
        <v>65</v>
      </c>
      <c r="C3133" s="2" t="s">
        <v>729</v>
      </c>
      <c r="D3133" s="2" t="s">
        <v>9</v>
      </c>
      <c r="E3133" s="2" t="s">
        <v>19</v>
      </c>
      <c r="F3133" s="2">
        <v>8.861069635E9</v>
      </c>
    </row>
    <row r="3134" ht="15.75" customHeight="1">
      <c r="A3134" s="2" t="s">
        <v>2924</v>
      </c>
      <c r="B3134" s="2" t="s">
        <v>63</v>
      </c>
      <c r="C3134" s="2" t="s">
        <v>1350</v>
      </c>
      <c r="D3134" s="2" t="s">
        <v>26</v>
      </c>
      <c r="E3134" s="2" t="s">
        <v>282</v>
      </c>
      <c r="F3134" s="2">
        <v>9.377732119E9</v>
      </c>
    </row>
    <row r="3135" ht="15.75" customHeight="1">
      <c r="A3135" s="2" t="s">
        <v>365</v>
      </c>
      <c r="B3135" s="2" t="s">
        <v>440</v>
      </c>
      <c r="C3135" s="2" t="s">
        <v>128</v>
      </c>
      <c r="D3135" s="2" t="s">
        <v>9</v>
      </c>
      <c r="E3135" s="2" t="s">
        <v>19</v>
      </c>
      <c r="F3135" s="2">
        <v>6.299962769E9</v>
      </c>
    </row>
    <row r="3136" ht="15.75" customHeight="1">
      <c r="A3136" s="2" t="s">
        <v>24</v>
      </c>
      <c r="B3136" s="2" t="s">
        <v>50</v>
      </c>
      <c r="C3136" s="2" t="s">
        <v>133</v>
      </c>
      <c r="D3136" s="2" t="s">
        <v>26</v>
      </c>
      <c r="E3136" s="2" t="s">
        <v>19</v>
      </c>
      <c r="F3136" s="2">
        <v>9.334775665E9</v>
      </c>
    </row>
    <row r="3137" ht="15.75" customHeight="1">
      <c r="A3137" s="2" t="s">
        <v>2206</v>
      </c>
      <c r="B3137" s="2" t="s">
        <v>407</v>
      </c>
      <c r="C3137" s="2" t="s">
        <v>330</v>
      </c>
      <c r="D3137" s="2" t="s">
        <v>44</v>
      </c>
      <c r="E3137" s="2" t="s">
        <v>19</v>
      </c>
      <c r="F3137" s="2">
        <v>9.693244122E9</v>
      </c>
    </row>
    <row r="3138" ht="15.75" customHeight="1">
      <c r="A3138" s="2" t="s">
        <v>762</v>
      </c>
      <c r="B3138" s="2" t="s">
        <v>125</v>
      </c>
      <c r="C3138" s="2" t="s">
        <v>2925</v>
      </c>
      <c r="D3138" s="2" t="s">
        <v>26</v>
      </c>
      <c r="E3138" s="2" t="s">
        <v>23</v>
      </c>
      <c r="F3138" s="2">
        <v>7.633959599E9</v>
      </c>
    </row>
    <row r="3139" ht="15.75" customHeight="1">
      <c r="A3139" s="2" t="s">
        <v>2926</v>
      </c>
      <c r="B3139" s="2" t="s">
        <v>78</v>
      </c>
      <c r="C3139" s="2" t="s">
        <v>1262</v>
      </c>
      <c r="D3139" s="2" t="s">
        <v>9</v>
      </c>
      <c r="E3139" s="2" t="s">
        <v>282</v>
      </c>
      <c r="F3139" s="2">
        <v>9.99803009E9</v>
      </c>
    </row>
    <row r="3140" ht="15.75" customHeight="1">
      <c r="A3140" s="2" t="s">
        <v>1470</v>
      </c>
      <c r="B3140" s="2" t="s">
        <v>780</v>
      </c>
      <c r="C3140" s="2" t="s">
        <v>226</v>
      </c>
      <c r="D3140" s="2" t="s">
        <v>29</v>
      </c>
      <c r="E3140" s="2" t="s">
        <v>19</v>
      </c>
      <c r="F3140" s="2">
        <v>9.652919117E9</v>
      </c>
    </row>
    <row r="3141" ht="15.75" customHeight="1">
      <c r="A3141" s="2" t="s">
        <v>2927</v>
      </c>
      <c r="B3141" s="2" t="s">
        <v>63</v>
      </c>
      <c r="C3141" s="2" t="s">
        <v>1012</v>
      </c>
      <c r="D3141" s="2" t="s">
        <v>56</v>
      </c>
      <c r="E3141" s="2" t="s">
        <v>19</v>
      </c>
      <c r="F3141" s="2">
        <v>9.14233914E9</v>
      </c>
    </row>
    <row r="3142" ht="15.75" customHeight="1">
      <c r="A3142" s="2" t="s">
        <v>2928</v>
      </c>
      <c r="B3142" s="2" t="s">
        <v>2895</v>
      </c>
      <c r="C3142" s="2" t="s">
        <v>423</v>
      </c>
      <c r="D3142" s="2" t="s">
        <v>44</v>
      </c>
      <c r="E3142" s="2" t="s">
        <v>19</v>
      </c>
      <c r="F3142" s="2">
        <v>9.43111316E9</v>
      </c>
    </row>
    <row r="3143" ht="15.75" customHeight="1">
      <c r="A3143" s="2" t="s">
        <v>1383</v>
      </c>
      <c r="B3143" s="2" t="s">
        <v>212</v>
      </c>
      <c r="C3143" s="2" t="s">
        <v>1010</v>
      </c>
      <c r="D3143" s="2" t="s">
        <v>102</v>
      </c>
      <c r="E3143" s="2" t="s">
        <v>19</v>
      </c>
      <c r="F3143" s="2">
        <v>6.206910045E9</v>
      </c>
    </row>
    <row r="3144" ht="15.75" customHeight="1">
      <c r="A3144" s="2" t="s">
        <v>2849</v>
      </c>
      <c r="B3144" s="2" t="s">
        <v>276</v>
      </c>
      <c r="C3144" s="2" t="s">
        <v>2929</v>
      </c>
      <c r="D3144" s="2" t="s">
        <v>9</v>
      </c>
      <c r="E3144" s="2" t="s">
        <v>255</v>
      </c>
      <c r="F3144" s="2">
        <v>9.74252957E9</v>
      </c>
    </row>
    <row r="3145" ht="15.75" customHeight="1">
      <c r="A3145" s="2" t="s">
        <v>435</v>
      </c>
      <c r="B3145" s="2" t="s">
        <v>879</v>
      </c>
      <c r="C3145" s="2" t="s">
        <v>200</v>
      </c>
      <c r="D3145" s="2" t="s">
        <v>26</v>
      </c>
      <c r="E3145" s="2" t="s">
        <v>19</v>
      </c>
      <c r="F3145" s="2">
        <v>9.6776563E9</v>
      </c>
    </row>
    <row r="3146" ht="15.75" customHeight="1">
      <c r="A3146" s="2" t="s">
        <v>2098</v>
      </c>
      <c r="B3146" s="2" t="s">
        <v>50</v>
      </c>
      <c r="C3146" s="2" t="s">
        <v>2791</v>
      </c>
      <c r="D3146" s="2" t="s">
        <v>9</v>
      </c>
      <c r="E3146" s="2" t="s">
        <v>19</v>
      </c>
      <c r="F3146" s="2">
        <v>6.201916587E9</v>
      </c>
    </row>
    <row r="3147" ht="15.75" customHeight="1">
      <c r="A3147" s="2" t="s">
        <v>149</v>
      </c>
      <c r="B3147" s="2" t="s">
        <v>401</v>
      </c>
      <c r="C3147" s="2" t="s">
        <v>2376</v>
      </c>
      <c r="D3147" s="2" t="s">
        <v>26</v>
      </c>
      <c r="E3147" s="2" t="s">
        <v>19</v>
      </c>
      <c r="F3147" s="2">
        <v>8.840486025E9</v>
      </c>
    </row>
    <row r="3148" ht="15.75" customHeight="1">
      <c r="A3148" s="2" t="s">
        <v>1278</v>
      </c>
      <c r="B3148" s="2" t="s">
        <v>1235</v>
      </c>
      <c r="C3148" s="2" t="s">
        <v>1818</v>
      </c>
      <c r="D3148" s="2" t="s">
        <v>56</v>
      </c>
      <c r="E3148" s="2" t="s">
        <v>19</v>
      </c>
      <c r="F3148" s="2">
        <v>8.797134304E9</v>
      </c>
    </row>
    <row r="3149" ht="15.75" customHeight="1">
      <c r="A3149" s="2" t="s">
        <v>2071</v>
      </c>
      <c r="B3149" s="2" t="s">
        <v>108</v>
      </c>
      <c r="C3149" s="2" t="s">
        <v>226</v>
      </c>
      <c r="D3149" s="2" t="s">
        <v>56</v>
      </c>
      <c r="E3149" s="2" t="s">
        <v>19</v>
      </c>
      <c r="F3149" s="2">
        <v>9.608479608E9</v>
      </c>
    </row>
    <row r="3150" ht="15.75" customHeight="1">
      <c r="A3150" s="2" t="s">
        <v>2930</v>
      </c>
      <c r="B3150" s="2" t="s">
        <v>212</v>
      </c>
      <c r="C3150" s="2" t="s">
        <v>2931</v>
      </c>
      <c r="D3150" s="2" t="s">
        <v>29</v>
      </c>
      <c r="E3150" s="2" t="s">
        <v>19</v>
      </c>
      <c r="F3150" s="2">
        <v>9.665241004E9</v>
      </c>
    </row>
    <row r="3151" ht="15.75" customHeight="1">
      <c r="A3151" s="2" t="s">
        <v>2932</v>
      </c>
      <c r="B3151" s="2" t="s">
        <v>153</v>
      </c>
      <c r="C3151" s="2" t="s">
        <v>2933</v>
      </c>
      <c r="D3151" s="2" t="s">
        <v>56</v>
      </c>
      <c r="E3151" s="2" t="s">
        <v>282</v>
      </c>
      <c r="F3151" s="2">
        <v>9.687061621E9</v>
      </c>
    </row>
    <row r="3152" ht="15.75" customHeight="1">
      <c r="A3152" s="2" t="s">
        <v>2934</v>
      </c>
      <c r="B3152" s="2" t="s">
        <v>55</v>
      </c>
      <c r="C3152" s="2" t="s">
        <v>83</v>
      </c>
      <c r="D3152" s="2" t="s">
        <v>56</v>
      </c>
      <c r="E3152" s="2" t="s">
        <v>255</v>
      </c>
      <c r="F3152" s="2">
        <v>7.209890262E9</v>
      </c>
    </row>
    <row r="3153" ht="15.75" customHeight="1">
      <c r="A3153" s="2" t="s">
        <v>1450</v>
      </c>
      <c r="B3153" s="2" t="s">
        <v>276</v>
      </c>
      <c r="C3153" s="2" t="s">
        <v>844</v>
      </c>
      <c r="D3153" s="2" t="s">
        <v>26</v>
      </c>
      <c r="E3153" s="2" t="s">
        <v>19</v>
      </c>
      <c r="F3153" s="2">
        <v>9.113469649E9</v>
      </c>
    </row>
    <row r="3154" ht="15.75" customHeight="1">
      <c r="A3154" s="2" t="s">
        <v>435</v>
      </c>
      <c r="B3154" s="2" t="s">
        <v>50</v>
      </c>
      <c r="C3154" s="2" t="s">
        <v>1998</v>
      </c>
      <c r="D3154" s="2" t="s">
        <v>56</v>
      </c>
      <c r="E3154" s="2" t="s">
        <v>19</v>
      </c>
      <c r="F3154" s="2">
        <v>9.334946784E9</v>
      </c>
    </row>
    <row r="3155" ht="15.75" customHeight="1">
      <c r="A3155" s="2" t="s">
        <v>1725</v>
      </c>
      <c r="B3155" s="2" t="s">
        <v>65</v>
      </c>
      <c r="C3155" s="2" t="s">
        <v>162</v>
      </c>
      <c r="D3155" s="2" t="s">
        <v>44</v>
      </c>
      <c r="E3155" s="2" t="s">
        <v>19</v>
      </c>
      <c r="F3155" s="2">
        <v>9.835551212E9</v>
      </c>
    </row>
    <row r="3156" ht="15.75" customHeight="1">
      <c r="A3156" s="2" t="s">
        <v>149</v>
      </c>
      <c r="B3156" s="2" t="s">
        <v>65</v>
      </c>
      <c r="C3156" s="2" t="s">
        <v>1113</v>
      </c>
      <c r="D3156" s="2" t="s">
        <v>9</v>
      </c>
      <c r="E3156" s="2" t="s">
        <v>19</v>
      </c>
      <c r="F3156" s="2">
        <v>9.771452416E9</v>
      </c>
    </row>
    <row r="3157" ht="15.75" customHeight="1">
      <c r="A3157" s="2" t="s">
        <v>717</v>
      </c>
      <c r="B3157" s="2" t="s">
        <v>2935</v>
      </c>
      <c r="C3157" s="2" t="s">
        <v>2936</v>
      </c>
      <c r="D3157" s="2" t="s">
        <v>29</v>
      </c>
      <c r="E3157" s="2" t="s">
        <v>2937</v>
      </c>
      <c r="F3157" s="2">
        <v>8.096165234E9</v>
      </c>
    </row>
    <row r="3158" ht="15.75" customHeight="1">
      <c r="A3158" s="2" t="s">
        <v>1442</v>
      </c>
      <c r="B3158" s="2" t="s">
        <v>2938</v>
      </c>
      <c r="C3158" s="2" t="s">
        <v>2939</v>
      </c>
      <c r="D3158" s="2" t="s">
        <v>44</v>
      </c>
      <c r="E3158" s="2" t="s">
        <v>19</v>
      </c>
      <c r="F3158" s="2">
        <v>7.631639292E9</v>
      </c>
    </row>
    <row r="3159" ht="15.75" customHeight="1">
      <c r="A3159" s="2" t="s">
        <v>264</v>
      </c>
      <c r="B3159" s="2" t="s">
        <v>1954</v>
      </c>
      <c r="C3159" s="2" t="s">
        <v>265</v>
      </c>
      <c r="D3159" s="2" t="s">
        <v>26</v>
      </c>
      <c r="E3159" s="2" t="s">
        <v>19</v>
      </c>
      <c r="F3159" s="2">
        <v>7.979853711E9</v>
      </c>
    </row>
    <row r="3160" ht="15.75" customHeight="1">
      <c r="A3160" s="2" t="s">
        <v>1234</v>
      </c>
      <c r="B3160" s="2" t="s">
        <v>1646</v>
      </c>
      <c r="C3160" s="2" t="s">
        <v>128</v>
      </c>
      <c r="D3160" s="2" t="s">
        <v>9</v>
      </c>
      <c r="E3160" s="2" t="s">
        <v>19</v>
      </c>
      <c r="F3160" s="2">
        <v>6.202936311E9</v>
      </c>
    </row>
    <row r="3161" ht="15.75" customHeight="1">
      <c r="A3161" s="2" t="s">
        <v>264</v>
      </c>
      <c r="B3161" s="2" t="s">
        <v>50</v>
      </c>
      <c r="C3161" s="2" t="s">
        <v>2940</v>
      </c>
      <c r="D3161" s="2" t="s">
        <v>44</v>
      </c>
      <c r="E3161" s="2" t="s">
        <v>19</v>
      </c>
      <c r="F3161" s="2">
        <v>9.431163717E9</v>
      </c>
    </row>
    <row r="3162" ht="15.75" customHeight="1">
      <c r="A3162" s="2" t="s">
        <v>2941</v>
      </c>
      <c r="B3162" s="2" t="s">
        <v>2055</v>
      </c>
      <c r="C3162" s="2" t="s">
        <v>611</v>
      </c>
      <c r="D3162" s="2" t="s">
        <v>26</v>
      </c>
      <c r="E3162" s="2" t="s">
        <v>255</v>
      </c>
      <c r="F3162" s="2">
        <v>8.207331924E9</v>
      </c>
    </row>
    <row r="3163" ht="15.75" customHeight="1">
      <c r="A3163" s="2" t="s">
        <v>2942</v>
      </c>
      <c r="B3163" s="2" t="s">
        <v>55</v>
      </c>
      <c r="C3163" s="2" t="s">
        <v>1355</v>
      </c>
      <c r="D3163" s="2" t="s">
        <v>29</v>
      </c>
      <c r="E3163" s="2" t="s">
        <v>19</v>
      </c>
      <c r="F3163" s="2">
        <v>8.936818255E9</v>
      </c>
    </row>
    <row r="3164" ht="15.75" customHeight="1">
      <c r="A3164" s="2" t="s">
        <v>264</v>
      </c>
      <c r="B3164" s="2" t="s">
        <v>108</v>
      </c>
      <c r="C3164" s="2" t="s">
        <v>1613</v>
      </c>
      <c r="D3164" s="2" t="s">
        <v>26</v>
      </c>
      <c r="E3164" s="2" t="s">
        <v>255</v>
      </c>
      <c r="F3164" s="2">
        <v>7.979044592E9</v>
      </c>
    </row>
    <row r="3165" ht="15.75" customHeight="1">
      <c r="A3165" s="2" t="s">
        <v>2943</v>
      </c>
      <c r="B3165" s="2" t="s">
        <v>21</v>
      </c>
      <c r="C3165" s="2" t="s">
        <v>1519</v>
      </c>
      <c r="D3165" s="2" t="s">
        <v>26</v>
      </c>
      <c r="E3165" s="2" t="s">
        <v>23</v>
      </c>
      <c r="F3165" s="2">
        <v>8.986210695E9</v>
      </c>
    </row>
    <row r="3166" ht="15.75" customHeight="1">
      <c r="A3166" s="2" t="s">
        <v>2944</v>
      </c>
      <c r="B3166" s="2" t="s">
        <v>520</v>
      </c>
      <c r="C3166" s="2" t="s">
        <v>171</v>
      </c>
      <c r="D3166" s="2" t="s">
        <v>26</v>
      </c>
      <c r="E3166" s="2" t="s">
        <v>19</v>
      </c>
      <c r="F3166" s="2">
        <v>9.905593658E9</v>
      </c>
    </row>
    <row r="3167" ht="15.75" customHeight="1">
      <c r="A3167" s="2" t="s">
        <v>2448</v>
      </c>
      <c r="B3167" s="2" t="s">
        <v>119</v>
      </c>
      <c r="C3167" s="2" t="s">
        <v>181</v>
      </c>
      <c r="D3167" s="2" t="s">
        <v>26</v>
      </c>
      <c r="E3167" s="2" t="s">
        <v>19</v>
      </c>
      <c r="F3167" s="2">
        <v>9.570208133E9</v>
      </c>
    </row>
    <row r="3168" ht="15.75" customHeight="1">
      <c r="A3168" s="2" t="s">
        <v>2945</v>
      </c>
      <c r="B3168" s="2" t="s">
        <v>960</v>
      </c>
      <c r="C3168" s="2" t="s">
        <v>867</v>
      </c>
      <c r="D3168" s="2" t="s">
        <v>14</v>
      </c>
      <c r="E3168" s="2" t="s">
        <v>19</v>
      </c>
      <c r="F3168" s="2">
        <v>7.805908386E9</v>
      </c>
    </row>
    <row r="3169" ht="15.75" customHeight="1">
      <c r="A3169" s="2" t="s">
        <v>1255</v>
      </c>
      <c r="B3169" s="2" t="s">
        <v>440</v>
      </c>
      <c r="C3169" s="2" t="s">
        <v>128</v>
      </c>
      <c r="D3169" s="2" t="s">
        <v>9</v>
      </c>
      <c r="E3169" s="2" t="s">
        <v>19</v>
      </c>
      <c r="F3169" s="2">
        <v>6.200818175E9</v>
      </c>
    </row>
    <row r="3170" ht="15.75" customHeight="1">
      <c r="A3170" s="2" t="s">
        <v>2946</v>
      </c>
      <c r="B3170" s="2" t="s">
        <v>2947</v>
      </c>
      <c r="C3170" s="2" t="s">
        <v>1355</v>
      </c>
      <c r="D3170" s="2" t="s">
        <v>26</v>
      </c>
      <c r="E3170" s="2" t="s">
        <v>19</v>
      </c>
      <c r="F3170" s="2">
        <v>8.804456243E9</v>
      </c>
    </row>
    <row r="3171" ht="15.75" customHeight="1">
      <c r="A3171" s="2" t="s">
        <v>2948</v>
      </c>
      <c r="B3171" s="2" t="s">
        <v>2895</v>
      </c>
      <c r="C3171" s="2" t="s">
        <v>162</v>
      </c>
      <c r="D3171" s="2" t="s">
        <v>44</v>
      </c>
      <c r="E3171" s="2" t="s">
        <v>19</v>
      </c>
      <c r="F3171" s="2">
        <v>7.004599214E9</v>
      </c>
    </row>
    <row r="3172" ht="15.75" customHeight="1">
      <c r="A3172" s="2" t="s">
        <v>272</v>
      </c>
      <c r="B3172" s="2" t="s">
        <v>55</v>
      </c>
      <c r="C3172" s="2" t="s">
        <v>844</v>
      </c>
      <c r="D3172" s="2" t="s">
        <v>26</v>
      </c>
      <c r="E3172" s="2" t="s">
        <v>19</v>
      </c>
      <c r="F3172" s="2">
        <v>7.717731188E9</v>
      </c>
    </row>
    <row r="3173" ht="15.75" customHeight="1">
      <c r="A3173" s="2" t="s">
        <v>570</v>
      </c>
      <c r="B3173" s="2" t="s">
        <v>664</v>
      </c>
      <c r="C3173" s="2" t="s">
        <v>2327</v>
      </c>
      <c r="D3173" s="2" t="s">
        <v>26</v>
      </c>
      <c r="E3173" s="2" t="s">
        <v>255</v>
      </c>
      <c r="F3173" s="2">
        <v>9.155069994E9</v>
      </c>
    </row>
    <row r="3174" ht="15.75" customHeight="1">
      <c r="A3174" s="2" t="s">
        <v>1831</v>
      </c>
      <c r="B3174" s="2" t="s">
        <v>2949</v>
      </c>
      <c r="C3174" s="2" t="s">
        <v>500</v>
      </c>
      <c r="D3174" s="2" t="s">
        <v>14</v>
      </c>
      <c r="E3174" s="2" t="s">
        <v>19</v>
      </c>
      <c r="F3174" s="2">
        <v>6.724333234E9</v>
      </c>
    </row>
    <row r="3175" ht="15.75" customHeight="1">
      <c r="A3175" s="2" t="s">
        <v>1915</v>
      </c>
      <c r="B3175" s="2" t="s">
        <v>119</v>
      </c>
      <c r="C3175" s="2" t="s">
        <v>650</v>
      </c>
      <c r="D3175" s="2" t="s">
        <v>9</v>
      </c>
      <c r="E3175" s="2" t="s">
        <v>19</v>
      </c>
      <c r="F3175" s="2">
        <v>9.006756292E9</v>
      </c>
    </row>
    <row r="3176" ht="15.75" customHeight="1">
      <c r="A3176" s="2" t="s">
        <v>2950</v>
      </c>
      <c r="B3176" s="2" t="s">
        <v>372</v>
      </c>
      <c r="C3176" s="2" t="s">
        <v>2951</v>
      </c>
      <c r="D3176" s="2" t="s">
        <v>14</v>
      </c>
      <c r="E3176" s="2" t="s">
        <v>255</v>
      </c>
      <c r="F3176" s="2">
        <v>9.825233821E9</v>
      </c>
    </row>
    <row r="3177" ht="15.75" customHeight="1">
      <c r="A3177" s="2" t="s">
        <v>2946</v>
      </c>
      <c r="B3177" s="2" t="s">
        <v>63</v>
      </c>
      <c r="C3177" s="2" t="s">
        <v>200</v>
      </c>
      <c r="D3177" s="2" t="s">
        <v>44</v>
      </c>
      <c r="E3177" s="2" t="s">
        <v>19</v>
      </c>
      <c r="F3177" s="2">
        <v>9.973873609E9</v>
      </c>
    </row>
    <row r="3178" ht="15.75" customHeight="1">
      <c r="A3178" s="2" t="s">
        <v>1348</v>
      </c>
      <c r="B3178" s="2" t="s">
        <v>2332</v>
      </c>
      <c r="C3178" s="2" t="s">
        <v>741</v>
      </c>
      <c r="D3178" s="2" t="s">
        <v>44</v>
      </c>
      <c r="E3178" s="2" t="s">
        <v>19</v>
      </c>
      <c r="F3178" s="2">
        <v>9.441412345E9</v>
      </c>
    </row>
    <row r="3179" ht="15.75" customHeight="1">
      <c r="A3179" s="2" t="s">
        <v>2952</v>
      </c>
      <c r="B3179" s="2" t="s">
        <v>139</v>
      </c>
      <c r="C3179" s="2" t="s">
        <v>289</v>
      </c>
      <c r="D3179" s="2" t="s">
        <v>56</v>
      </c>
      <c r="E3179" s="2" t="s">
        <v>19</v>
      </c>
      <c r="F3179" s="2">
        <v>9.953610055E9</v>
      </c>
    </row>
    <row r="3180" ht="15.75" customHeight="1">
      <c r="A3180" s="2" t="s">
        <v>565</v>
      </c>
      <c r="B3180" s="2" t="s">
        <v>55</v>
      </c>
      <c r="C3180" s="2" t="s">
        <v>1355</v>
      </c>
      <c r="D3180" s="2" t="s">
        <v>9</v>
      </c>
      <c r="E3180" s="2" t="s">
        <v>19</v>
      </c>
      <c r="F3180" s="2">
        <v>7.488132977E9</v>
      </c>
    </row>
    <row r="3181" ht="15.75" customHeight="1">
      <c r="A3181" s="2" t="s">
        <v>2953</v>
      </c>
      <c r="B3181" s="2" t="s">
        <v>797</v>
      </c>
      <c r="C3181" s="2" t="s">
        <v>556</v>
      </c>
      <c r="D3181" s="2" t="s">
        <v>14</v>
      </c>
      <c r="E3181" s="2" t="s">
        <v>255</v>
      </c>
      <c r="F3181" s="2">
        <v>7.654764454E9</v>
      </c>
    </row>
    <row r="3182" ht="15.75" customHeight="1">
      <c r="A3182" s="2" t="s">
        <v>189</v>
      </c>
      <c r="B3182" s="2" t="s">
        <v>2954</v>
      </c>
      <c r="C3182" s="2" t="s">
        <v>2955</v>
      </c>
      <c r="D3182" s="2" t="s">
        <v>56</v>
      </c>
      <c r="E3182" s="2" t="s">
        <v>282</v>
      </c>
      <c r="F3182" s="2">
        <v>7.043020605E9</v>
      </c>
    </row>
    <row r="3183" ht="15.75" customHeight="1">
      <c r="A3183" s="2" t="s">
        <v>657</v>
      </c>
      <c r="B3183" s="2" t="s">
        <v>50</v>
      </c>
      <c r="C3183" s="2" t="s">
        <v>162</v>
      </c>
      <c r="D3183" s="2" t="s">
        <v>14</v>
      </c>
      <c r="E3183" s="2" t="s">
        <v>19</v>
      </c>
      <c r="F3183" s="2">
        <v>9.470359108E9</v>
      </c>
    </row>
    <row r="3184" ht="15.75" customHeight="1">
      <c r="A3184" s="2" t="s">
        <v>110</v>
      </c>
      <c r="B3184" s="2" t="s">
        <v>50</v>
      </c>
      <c r="C3184" s="2" t="s">
        <v>650</v>
      </c>
      <c r="D3184" s="2" t="s">
        <v>9</v>
      </c>
      <c r="E3184" s="2" t="s">
        <v>19</v>
      </c>
      <c r="F3184" s="2">
        <v>9.110140197E9</v>
      </c>
    </row>
    <row r="3185" ht="15.75" customHeight="1">
      <c r="A3185" s="2" t="s">
        <v>189</v>
      </c>
      <c r="B3185" s="2" t="s">
        <v>63</v>
      </c>
      <c r="C3185" s="2" t="s">
        <v>1720</v>
      </c>
      <c r="D3185" s="2" t="s">
        <v>9</v>
      </c>
      <c r="E3185" s="2" t="s">
        <v>19</v>
      </c>
      <c r="F3185" s="2">
        <v>9.8528118E9</v>
      </c>
    </row>
    <row r="3186" ht="15.75" customHeight="1">
      <c r="A3186" s="2" t="s">
        <v>1348</v>
      </c>
      <c r="B3186" s="2" t="s">
        <v>2332</v>
      </c>
      <c r="C3186" s="2" t="s">
        <v>200</v>
      </c>
      <c r="D3186" s="2" t="s">
        <v>26</v>
      </c>
      <c r="E3186" s="2" t="s">
        <v>19</v>
      </c>
      <c r="F3186" s="2">
        <v>7.004853551E9</v>
      </c>
    </row>
    <row r="3187" ht="15.75" customHeight="1">
      <c r="A3187" s="2" t="s">
        <v>125</v>
      </c>
      <c r="B3187" s="2" t="s">
        <v>1954</v>
      </c>
      <c r="C3187" s="2" t="s">
        <v>128</v>
      </c>
      <c r="D3187" s="2" t="s">
        <v>9</v>
      </c>
      <c r="E3187" s="2" t="s">
        <v>23</v>
      </c>
      <c r="F3187" s="2">
        <v>6.205429623E9</v>
      </c>
    </row>
    <row r="3188" ht="15.75" customHeight="1">
      <c r="A3188" s="2" t="s">
        <v>2950</v>
      </c>
      <c r="B3188" s="2" t="s">
        <v>2956</v>
      </c>
      <c r="C3188" s="2" t="s">
        <v>2957</v>
      </c>
      <c r="D3188" s="2" t="s">
        <v>56</v>
      </c>
      <c r="E3188" s="2" t="s">
        <v>255</v>
      </c>
      <c r="F3188" s="2">
        <v>7.87870708E9</v>
      </c>
    </row>
    <row r="3189" ht="15.75" customHeight="1">
      <c r="A3189" s="2" t="s">
        <v>784</v>
      </c>
      <c r="B3189" s="2" t="s">
        <v>269</v>
      </c>
      <c r="C3189" s="2" t="s">
        <v>246</v>
      </c>
      <c r="D3189" s="2" t="s">
        <v>26</v>
      </c>
      <c r="E3189" s="2" t="s">
        <v>255</v>
      </c>
      <c r="F3189" s="2">
        <v>8.085375722E9</v>
      </c>
    </row>
    <row r="3190" ht="15.75" customHeight="1">
      <c r="A3190" s="2" t="s">
        <v>1255</v>
      </c>
      <c r="B3190" s="2" t="s">
        <v>50</v>
      </c>
      <c r="C3190" s="2" t="s">
        <v>1066</v>
      </c>
      <c r="D3190" s="2" t="s">
        <v>14</v>
      </c>
      <c r="E3190" s="2" t="s">
        <v>19</v>
      </c>
      <c r="F3190" s="2">
        <v>9.939675835E9</v>
      </c>
    </row>
    <row r="3191" ht="15.75" customHeight="1">
      <c r="A3191" s="2" t="s">
        <v>1092</v>
      </c>
      <c r="B3191" s="2" t="s">
        <v>78</v>
      </c>
      <c r="C3191" s="2" t="s">
        <v>2958</v>
      </c>
      <c r="D3191" s="2" t="s">
        <v>56</v>
      </c>
      <c r="E3191" s="2" t="s">
        <v>19</v>
      </c>
      <c r="F3191" s="2">
        <v>8.227029496E9</v>
      </c>
    </row>
    <row r="3192" ht="15.75" customHeight="1">
      <c r="A3192" s="2" t="s">
        <v>2959</v>
      </c>
      <c r="B3192" s="2" t="s">
        <v>55</v>
      </c>
      <c r="C3192" s="2" t="s">
        <v>2960</v>
      </c>
      <c r="D3192" s="2" t="s">
        <v>26</v>
      </c>
      <c r="E3192" s="2" t="s">
        <v>19</v>
      </c>
      <c r="F3192" s="2">
        <v>8.709394641E9</v>
      </c>
    </row>
    <row r="3193" ht="15.75" customHeight="1">
      <c r="A3193" s="2" t="s">
        <v>131</v>
      </c>
      <c r="B3193" s="2" t="s">
        <v>2505</v>
      </c>
      <c r="C3193" s="2" t="s">
        <v>2958</v>
      </c>
      <c r="D3193" s="2" t="s">
        <v>56</v>
      </c>
      <c r="E3193" s="2" t="s">
        <v>19</v>
      </c>
      <c r="F3193" s="2">
        <v>7.004310978E9</v>
      </c>
    </row>
    <row r="3194" ht="15.75" customHeight="1">
      <c r="A3194" s="2" t="s">
        <v>1428</v>
      </c>
      <c r="B3194" s="2" t="s">
        <v>2845</v>
      </c>
      <c r="C3194" s="2" t="s">
        <v>763</v>
      </c>
      <c r="D3194" s="2" t="s">
        <v>26</v>
      </c>
      <c r="E3194" s="2" t="s">
        <v>19</v>
      </c>
      <c r="F3194" s="2">
        <v>8.08461655E9</v>
      </c>
    </row>
    <row r="3195" ht="15.75" customHeight="1">
      <c r="A3195" s="2" t="s">
        <v>95</v>
      </c>
      <c r="B3195" s="2" t="s">
        <v>78</v>
      </c>
      <c r="C3195" s="2" t="s">
        <v>2961</v>
      </c>
      <c r="D3195" s="2" t="s">
        <v>26</v>
      </c>
      <c r="E3195" s="2" t="s">
        <v>282</v>
      </c>
      <c r="F3195" s="2">
        <v>8.141244033E9</v>
      </c>
    </row>
    <row r="3196" ht="15.75" customHeight="1">
      <c r="A3196" s="2" t="s">
        <v>1460</v>
      </c>
      <c r="B3196" s="2" t="s">
        <v>440</v>
      </c>
      <c r="C3196" s="2" t="s">
        <v>128</v>
      </c>
      <c r="D3196" s="2" t="s">
        <v>9</v>
      </c>
      <c r="E3196" s="2" t="s">
        <v>23</v>
      </c>
      <c r="F3196" s="2">
        <v>9.883545563E9</v>
      </c>
    </row>
    <row r="3197" ht="15.75" customHeight="1">
      <c r="A3197" s="2" t="s">
        <v>1624</v>
      </c>
      <c r="B3197" s="2" t="s">
        <v>1117</v>
      </c>
      <c r="C3197" s="2" t="s">
        <v>510</v>
      </c>
      <c r="D3197" s="2" t="s">
        <v>29</v>
      </c>
      <c r="E3197" s="2" t="s">
        <v>19</v>
      </c>
      <c r="F3197" s="2">
        <v>6.207541789E9</v>
      </c>
    </row>
    <row r="3198" ht="15.75" customHeight="1">
      <c r="A3198" s="2" t="s">
        <v>1092</v>
      </c>
      <c r="B3198" s="2" t="s">
        <v>1258</v>
      </c>
      <c r="C3198" s="2" t="s">
        <v>1004</v>
      </c>
      <c r="D3198" s="2" t="s">
        <v>29</v>
      </c>
      <c r="E3198" s="2" t="s">
        <v>19</v>
      </c>
      <c r="F3198" s="2">
        <v>8.092332041E9</v>
      </c>
    </row>
    <row r="3199" ht="15.75" customHeight="1">
      <c r="A3199" s="2" t="s">
        <v>1086</v>
      </c>
      <c r="B3199" s="2" t="s">
        <v>2962</v>
      </c>
      <c r="C3199" s="2" t="s">
        <v>2963</v>
      </c>
      <c r="D3199" s="2" t="s">
        <v>26</v>
      </c>
      <c r="E3199" s="2" t="s">
        <v>255</v>
      </c>
      <c r="F3199" s="2">
        <v>6.205403318E9</v>
      </c>
    </row>
    <row r="3200" ht="15.75" customHeight="1">
      <c r="A3200" s="2" t="s">
        <v>1441</v>
      </c>
      <c r="B3200" s="2" t="s">
        <v>50</v>
      </c>
      <c r="C3200" s="2" t="s">
        <v>2791</v>
      </c>
      <c r="D3200" s="2" t="s">
        <v>26</v>
      </c>
      <c r="E3200" s="2" t="s">
        <v>19</v>
      </c>
      <c r="F3200" s="2">
        <v>8.789664519E9</v>
      </c>
    </row>
    <row r="3201" ht="15.75" customHeight="1">
      <c r="A3201" s="2" t="s">
        <v>1654</v>
      </c>
      <c r="B3201" s="2" t="s">
        <v>50</v>
      </c>
      <c r="C3201" s="2" t="s">
        <v>2873</v>
      </c>
      <c r="D3201" s="2" t="s">
        <v>29</v>
      </c>
      <c r="E3201" s="2" t="s">
        <v>19</v>
      </c>
      <c r="F3201" s="2">
        <v>7.858938842E9</v>
      </c>
    </row>
    <row r="3202" ht="15.75" customHeight="1">
      <c r="A3202" s="2" t="s">
        <v>2964</v>
      </c>
      <c r="B3202" s="2" t="s">
        <v>55</v>
      </c>
      <c r="C3202" s="2" t="s">
        <v>1355</v>
      </c>
      <c r="D3202" s="2" t="s">
        <v>9</v>
      </c>
      <c r="E3202" s="2" t="s">
        <v>19</v>
      </c>
      <c r="F3202" s="2">
        <v>8.5521548872E10</v>
      </c>
    </row>
    <row r="3203" ht="15.75" customHeight="1">
      <c r="A3203" s="2" t="s">
        <v>871</v>
      </c>
      <c r="B3203" s="2" t="s">
        <v>1058</v>
      </c>
      <c r="C3203" s="2" t="s">
        <v>200</v>
      </c>
      <c r="D3203" s="2" t="s">
        <v>26</v>
      </c>
      <c r="E3203" s="2" t="s">
        <v>19</v>
      </c>
      <c r="F3203" s="2">
        <v>9.758213056E9</v>
      </c>
    </row>
    <row r="3204" ht="15.75" customHeight="1">
      <c r="A3204" s="2" t="s">
        <v>1092</v>
      </c>
      <c r="B3204" s="2" t="s">
        <v>108</v>
      </c>
      <c r="C3204" s="2" t="s">
        <v>305</v>
      </c>
      <c r="D3204" s="2" t="s">
        <v>29</v>
      </c>
      <c r="E3204" s="2" t="s">
        <v>19</v>
      </c>
      <c r="F3204" s="2">
        <v>6.200778843E9</v>
      </c>
    </row>
    <row r="3205" ht="15.75" customHeight="1">
      <c r="A3205" s="2" t="s">
        <v>2965</v>
      </c>
      <c r="B3205" s="2" t="s">
        <v>212</v>
      </c>
      <c r="C3205" s="2" t="s">
        <v>729</v>
      </c>
      <c r="D3205" s="2" t="s">
        <v>26</v>
      </c>
      <c r="E3205" s="2" t="s">
        <v>255</v>
      </c>
      <c r="F3205" s="2">
        <v>9.102139776E9</v>
      </c>
    </row>
    <row r="3206" ht="15.75" customHeight="1">
      <c r="A3206" s="2" t="s">
        <v>579</v>
      </c>
      <c r="B3206" s="2" t="s">
        <v>50</v>
      </c>
      <c r="C3206" s="2" t="s">
        <v>162</v>
      </c>
      <c r="D3206" s="2" t="s">
        <v>44</v>
      </c>
      <c r="E3206" s="2" t="s">
        <v>23</v>
      </c>
      <c r="F3206" s="2">
        <v>6.275550706E9</v>
      </c>
    </row>
    <row r="3207" ht="15.75" customHeight="1">
      <c r="A3207" s="2" t="s">
        <v>1800</v>
      </c>
      <c r="B3207" s="2" t="s">
        <v>594</v>
      </c>
      <c r="C3207" s="2" t="s">
        <v>289</v>
      </c>
      <c r="D3207" s="2" t="s">
        <v>56</v>
      </c>
      <c r="E3207" s="2" t="s">
        <v>19</v>
      </c>
      <c r="F3207" s="2">
        <v>7.979019764E9</v>
      </c>
    </row>
    <row r="3208" ht="15.75" customHeight="1">
      <c r="A3208" s="2" t="s">
        <v>95</v>
      </c>
      <c r="B3208" s="2" t="s">
        <v>50</v>
      </c>
      <c r="C3208" s="2" t="s">
        <v>650</v>
      </c>
      <c r="D3208" s="2" t="s">
        <v>9</v>
      </c>
      <c r="E3208" s="2" t="s">
        <v>19</v>
      </c>
      <c r="F3208" s="2">
        <v>8.709147117E9</v>
      </c>
    </row>
    <row r="3209" ht="15.75" customHeight="1">
      <c r="A3209" s="2" t="s">
        <v>2966</v>
      </c>
      <c r="B3209" s="2" t="s">
        <v>2967</v>
      </c>
      <c r="C3209" s="2" t="s">
        <v>237</v>
      </c>
      <c r="D3209" s="2" t="s">
        <v>26</v>
      </c>
      <c r="E3209" s="2" t="s">
        <v>255</v>
      </c>
      <c r="F3209" s="2">
        <v>6.202325792E9</v>
      </c>
    </row>
    <row r="3210" ht="15.75" customHeight="1">
      <c r="A3210" s="2" t="s">
        <v>2968</v>
      </c>
      <c r="B3210" s="2" t="s">
        <v>212</v>
      </c>
      <c r="C3210" s="2" t="s">
        <v>289</v>
      </c>
      <c r="D3210" s="2" t="s">
        <v>44</v>
      </c>
      <c r="E3210" s="2" t="s">
        <v>19</v>
      </c>
      <c r="F3210" s="2">
        <v>8.987654312E9</v>
      </c>
    </row>
    <row r="3211" ht="15.75" customHeight="1">
      <c r="A3211" s="2" t="s">
        <v>40</v>
      </c>
      <c r="B3211" s="2" t="s">
        <v>119</v>
      </c>
      <c r="C3211" s="2" t="s">
        <v>162</v>
      </c>
      <c r="D3211" s="2" t="s">
        <v>14</v>
      </c>
      <c r="E3211" s="2" t="s">
        <v>23</v>
      </c>
      <c r="F3211" s="2">
        <v>7.653964645E9</v>
      </c>
    </row>
    <row r="3212" ht="15.75" customHeight="1">
      <c r="A3212" s="2" t="s">
        <v>422</v>
      </c>
      <c r="B3212" s="2" t="s">
        <v>50</v>
      </c>
      <c r="C3212" s="2" t="s">
        <v>360</v>
      </c>
      <c r="D3212" s="2" t="s">
        <v>44</v>
      </c>
      <c r="E3212" s="2" t="s">
        <v>19</v>
      </c>
      <c r="F3212" s="2">
        <v>7.970464554E9</v>
      </c>
    </row>
    <row r="3213" ht="15.75" customHeight="1">
      <c r="A3213" s="2" t="s">
        <v>2969</v>
      </c>
      <c r="B3213" s="2" t="s">
        <v>797</v>
      </c>
      <c r="C3213" s="2" t="s">
        <v>844</v>
      </c>
      <c r="D3213" s="2" t="s">
        <v>44</v>
      </c>
      <c r="E3213" s="2" t="s">
        <v>19</v>
      </c>
      <c r="F3213" s="2">
        <v>9.122711399E9</v>
      </c>
    </row>
    <row r="3214" ht="15.75" customHeight="1">
      <c r="A3214" s="2" t="s">
        <v>1433</v>
      </c>
      <c r="B3214" s="2" t="s">
        <v>520</v>
      </c>
      <c r="C3214" s="2" t="s">
        <v>2855</v>
      </c>
      <c r="D3214" s="2" t="s">
        <v>26</v>
      </c>
      <c r="E3214" s="2" t="s">
        <v>19</v>
      </c>
      <c r="F3214" s="2">
        <v>9.30440387E9</v>
      </c>
    </row>
    <row r="3215" ht="15.75" customHeight="1">
      <c r="A3215" s="2" t="s">
        <v>1562</v>
      </c>
      <c r="B3215" s="2" t="s">
        <v>1514</v>
      </c>
      <c r="C3215" s="2" t="s">
        <v>200</v>
      </c>
      <c r="D3215" s="2" t="s">
        <v>56</v>
      </c>
      <c r="E3215" s="2" t="s">
        <v>19</v>
      </c>
      <c r="F3215" s="2">
        <v>6.205070854E9</v>
      </c>
    </row>
    <row r="3216" ht="15.75" customHeight="1">
      <c r="A3216" s="2" t="s">
        <v>2970</v>
      </c>
      <c r="B3216" s="2" t="s">
        <v>153</v>
      </c>
      <c r="C3216" s="2" t="s">
        <v>2971</v>
      </c>
      <c r="D3216" s="2" t="s">
        <v>44</v>
      </c>
      <c r="E3216" s="2" t="s">
        <v>19</v>
      </c>
      <c r="F3216" s="2">
        <v>9.1629227E9</v>
      </c>
    </row>
    <row r="3217" ht="15.75" customHeight="1">
      <c r="A3217" s="2" t="s">
        <v>1092</v>
      </c>
      <c r="B3217" s="2" t="s">
        <v>2972</v>
      </c>
      <c r="C3217" s="2" t="s">
        <v>1789</v>
      </c>
      <c r="D3217" s="2" t="s">
        <v>56</v>
      </c>
      <c r="E3217" s="2" t="s">
        <v>19</v>
      </c>
      <c r="F3217" s="2">
        <v>6.206574865E9</v>
      </c>
    </row>
    <row r="3218" ht="15.75" customHeight="1">
      <c r="A3218" s="2" t="s">
        <v>486</v>
      </c>
      <c r="B3218" s="2" t="s">
        <v>2973</v>
      </c>
      <c r="C3218" s="2" t="s">
        <v>200</v>
      </c>
      <c r="D3218" s="2" t="s">
        <v>26</v>
      </c>
      <c r="E3218" s="2" t="s">
        <v>23</v>
      </c>
      <c r="F3218" s="2">
        <v>8.861069635E9</v>
      </c>
    </row>
    <row r="3219" ht="15.75" customHeight="1">
      <c r="A3219" s="2" t="s">
        <v>1517</v>
      </c>
      <c r="B3219" s="2" t="s">
        <v>50</v>
      </c>
      <c r="C3219" s="2" t="s">
        <v>128</v>
      </c>
      <c r="D3219" s="2" t="s">
        <v>29</v>
      </c>
      <c r="E3219" s="2" t="s">
        <v>23</v>
      </c>
      <c r="F3219" s="2">
        <v>6.200112511E9</v>
      </c>
    </row>
    <row r="3220" ht="15.75" customHeight="1">
      <c r="A3220" s="2" t="s">
        <v>2974</v>
      </c>
      <c r="B3220" s="2" t="s">
        <v>1764</v>
      </c>
      <c r="C3220" s="2" t="s">
        <v>237</v>
      </c>
      <c r="D3220" s="2" t="s">
        <v>56</v>
      </c>
      <c r="E3220" s="2" t="s">
        <v>255</v>
      </c>
      <c r="F3220" s="2">
        <v>9.602545742E9</v>
      </c>
    </row>
    <row r="3221" ht="15.75" customHeight="1">
      <c r="A3221" s="2" t="s">
        <v>1387</v>
      </c>
      <c r="B3221" s="2" t="s">
        <v>65</v>
      </c>
      <c r="C3221" s="2" t="s">
        <v>162</v>
      </c>
      <c r="D3221" s="2" t="s">
        <v>56</v>
      </c>
      <c r="E3221" s="2" t="s">
        <v>19</v>
      </c>
      <c r="F3221" s="2">
        <v>8.797592287E9</v>
      </c>
    </row>
    <row r="3222" ht="15.75" customHeight="1">
      <c r="A3222" s="2" t="s">
        <v>2514</v>
      </c>
      <c r="B3222" s="2" t="s">
        <v>559</v>
      </c>
      <c r="C3222" s="2" t="s">
        <v>83</v>
      </c>
      <c r="D3222" s="2" t="s">
        <v>102</v>
      </c>
      <c r="E3222" s="2" t="s">
        <v>255</v>
      </c>
      <c r="F3222" s="2">
        <v>9.55880873E9</v>
      </c>
    </row>
    <row r="3223" ht="15.75" customHeight="1">
      <c r="A3223" s="2" t="s">
        <v>1479</v>
      </c>
      <c r="B3223" s="2" t="s">
        <v>2895</v>
      </c>
      <c r="C3223" s="2" t="s">
        <v>360</v>
      </c>
      <c r="D3223" s="2" t="s">
        <v>56</v>
      </c>
      <c r="E3223" s="2" t="s">
        <v>19</v>
      </c>
      <c r="F3223" s="2">
        <v>8.210561572E9</v>
      </c>
    </row>
    <row r="3224" ht="15.75" customHeight="1">
      <c r="A3224" s="2" t="s">
        <v>643</v>
      </c>
      <c r="B3224" s="2" t="s">
        <v>63</v>
      </c>
      <c r="C3224" s="2" t="s">
        <v>171</v>
      </c>
      <c r="D3224" s="2" t="s">
        <v>56</v>
      </c>
      <c r="E3224" s="2" t="s">
        <v>19</v>
      </c>
      <c r="F3224" s="2">
        <v>9.234573822E9</v>
      </c>
    </row>
    <row r="3225" ht="15.75" customHeight="1">
      <c r="A3225" s="2" t="s">
        <v>2305</v>
      </c>
      <c r="B3225" s="2" t="s">
        <v>65</v>
      </c>
      <c r="C3225" s="2" t="s">
        <v>240</v>
      </c>
      <c r="D3225" s="2" t="s">
        <v>44</v>
      </c>
      <c r="E3225" s="2" t="s">
        <v>23</v>
      </c>
      <c r="F3225" s="2">
        <v>9.1629227E9</v>
      </c>
    </row>
    <row r="3226" ht="15.75" customHeight="1">
      <c r="A3226" s="2" t="s">
        <v>2975</v>
      </c>
      <c r="B3226" s="2" t="s">
        <v>112</v>
      </c>
      <c r="C3226" s="2" t="s">
        <v>1841</v>
      </c>
      <c r="D3226" s="2" t="s">
        <v>44</v>
      </c>
      <c r="E3226" s="2" t="s">
        <v>19</v>
      </c>
      <c r="F3226" s="2">
        <v>6.201619491E9</v>
      </c>
    </row>
    <row r="3227" ht="15.75" customHeight="1">
      <c r="A3227" s="2" t="s">
        <v>2976</v>
      </c>
      <c r="B3227" s="2" t="s">
        <v>2977</v>
      </c>
      <c r="C3227" s="2" t="s">
        <v>729</v>
      </c>
      <c r="D3227" s="2" t="s">
        <v>56</v>
      </c>
      <c r="E3227" s="2" t="s">
        <v>19</v>
      </c>
      <c r="F3227" s="2">
        <v>8.789618838E9</v>
      </c>
    </row>
    <row r="3228" ht="15.75" customHeight="1">
      <c r="A3228" s="2" t="s">
        <v>2525</v>
      </c>
      <c r="B3228" s="2" t="s">
        <v>63</v>
      </c>
      <c r="C3228" s="2" t="s">
        <v>1720</v>
      </c>
      <c r="D3228" s="2" t="s">
        <v>56</v>
      </c>
      <c r="E3228" s="2" t="s">
        <v>19</v>
      </c>
      <c r="F3228" s="2">
        <v>7.667311315E9</v>
      </c>
    </row>
    <row r="3229" ht="15.75" customHeight="1">
      <c r="A3229" s="2" t="s">
        <v>2384</v>
      </c>
      <c r="B3229" s="2" t="s">
        <v>220</v>
      </c>
      <c r="C3229" s="2" t="s">
        <v>305</v>
      </c>
      <c r="D3229" s="2" t="s">
        <v>44</v>
      </c>
      <c r="E3229" s="2" t="s">
        <v>19</v>
      </c>
      <c r="F3229" s="2">
        <v>7.654984398E9</v>
      </c>
    </row>
    <row r="3230" ht="15.75" customHeight="1">
      <c r="A3230" s="2" t="s">
        <v>1536</v>
      </c>
      <c r="B3230" s="2" t="s">
        <v>135</v>
      </c>
      <c r="C3230" s="2" t="s">
        <v>1139</v>
      </c>
      <c r="D3230" s="2" t="s">
        <v>26</v>
      </c>
      <c r="E3230" s="2" t="s">
        <v>19</v>
      </c>
      <c r="F3230" s="2">
        <v>9.470957858E9</v>
      </c>
    </row>
    <row r="3231" ht="15.75" customHeight="1">
      <c r="A3231" s="2" t="s">
        <v>141</v>
      </c>
      <c r="B3231" s="2" t="s">
        <v>1999</v>
      </c>
      <c r="C3231" s="2" t="s">
        <v>729</v>
      </c>
      <c r="D3231" s="2" t="s">
        <v>44</v>
      </c>
      <c r="E3231" s="2" t="s">
        <v>23</v>
      </c>
      <c r="F3231" s="2">
        <v>9.631135711E9</v>
      </c>
    </row>
    <row r="3232" ht="15.75" customHeight="1">
      <c r="A3232" s="2" t="s">
        <v>643</v>
      </c>
      <c r="B3232" s="2" t="s">
        <v>63</v>
      </c>
      <c r="C3232" s="2" t="s">
        <v>1789</v>
      </c>
      <c r="D3232" s="2" t="s">
        <v>14</v>
      </c>
      <c r="E3232" s="2" t="s">
        <v>19</v>
      </c>
      <c r="F3232" s="2">
        <v>6.226008929E9</v>
      </c>
    </row>
    <row r="3233" ht="15.75" customHeight="1">
      <c r="A3233" s="2" t="s">
        <v>2978</v>
      </c>
      <c r="B3233" s="2" t="s">
        <v>212</v>
      </c>
      <c r="C3233" s="2" t="s">
        <v>867</v>
      </c>
      <c r="D3233" s="2" t="s">
        <v>9</v>
      </c>
      <c r="E3233" s="2" t="s">
        <v>255</v>
      </c>
      <c r="F3233" s="2">
        <v>9.835439638E9</v>
      </c>
    </row>
    <row r="3234" ht="15.75" customHeight="1">
      <c r="A3234" s="2" t="s">
        <v>2979</v>
      </c>
      <c r="B3234" s="2" t="s">
        <v>50</v>
      </c>
      <c r="C3234" s="2" t="s">
        <v>128</v>
      </c>
      <c r="D3234" s="2" t="s">
        <v>9</v>
      </c>
      <c r="E3234" s="2" t="s">
        <v>23</v>
      </c>
      <c r="F3234" s="2">
        <v>9.470520466E9</v>
      </c>
    </row>
    <row r="3235" ht="15.75" customHeight="1">
      <c r="A3235" s="2" t="s">
        <v>2980</v>
      </c>
      <c r="B3235" s="2" t="s">
        <v>50</v>
      </c>
      <c r="C3235" s="2" t="s">
        <v>1375</v>
      </c>
      <c r="D3235" s="2" t="s">
        <v>56</v>
      </c>
      <c r="E3235" s="2" t="s">
        <v>19</v>
      </c>
      <c r="F3235" s="2">
        <v>7.870218085E9</v>
      </c>
    </row>
    <row r="3236" ht="15.75" customHeight="1">
      <c r="A3236" s="2" t="s">
        <v>2981</v>
      </c>
      <c r="B3236" s="2" t="s">
        <v>55</v>
      </c>
      <c r="C3236" s="2" t="s">
        <v>1355</v>
      </c>
      <c r="D3236" s="2" t="s">
        <v>29</v>
      </c>
      <c r="E3236" s="2" t="s">
        <v>19</v>
      </c>
      <c r="F3236" s="2">
        <v>6.299981545E9</v>
      </c>
    </row>
    <row r="3237" ht="15.75" customHeight="1">
      <c r="A3237" s="2" t="s">
        <v>2982</v>
      </c>
      <c r="B3237" s="2" t="s">
        <v>50</v>
      </c>
      <c r="C3237" s="2" t="s">
        <v>2791</v>
      </c>
      <c r="D3237" s="2" t="s">
        <v>29</v>
      </c>
      <c r="E3237" s="2" t="s">
        <v>19</v>
      </c>
      <c r="F3237" s="2">
        <v>8.292259387E9</v>
      </c>
    </row>
    <row r="3238" ht="15.75" customHeight="1">
      <c r="A3238" s="2" t="s">
        <v>67</v>
      </c>
      <c r="B3238" s="2" t="s">
        <v>65</v>
      </c>
      <c r="C3238" s="2" t="s">
        <v>2097</v>
      </c>
      <c r="D3238" s="2" t="s">
        <v>56</v>
      </c>
      <c r="E3238" s="2" t="s">
        <v>19</v>
      </c>
      <c r="F3238" s="2">
        <v>9.006507555E9</v>
      </c>
    </row>
    <row r="3239" ht="15.75" customHeight="1">
      <c r="A3239" s="2" t="s">
        <v>1570</v>
      </c>
      <c r="B3239" s="2" t="s">
        <v>55</v>
      </c>
      <c r="C3239" s="2" t="s">
        <v>1443</v>
      </c>
      <c r="D3239" s="2" t="s">
        <v>56</v>
      </c>
      <c r="E3239" s="2" t="s">
        <v>23</v>
      </c>
      <c r="F3239" s="2">
        <v>9.774776359E9</v>
      </c>
    </row>
    <row r="3240" ht="15.75" customHeight="1">
      <c r="A3240" s="2" t="s">
        <v>2983</v>
      </c>
      <c r="B3240" s="2" t="s">
        <v>50</v>
      </c>
      <c r="C3240" s="2" t="s">
        <v>2984</v>
      </c>
      <c r="D3240" s="2" t="s">
        <v>56</v>
      </c>
      <c r="E3240" s="2" t="s">
        <v>19</v>
      </c>
      <c r="F3240" s="2">
        <v>9.334161371E9</v>
      </c>
    </row>
    <row r="3241" ht="15.75" customHeight="1">
      <c r="A3241" s="2" t="s">
        <v>486</v>
      </c>
      <c r="B3241" s="2" t="s">
        <v>55</v>
      </c>
      <c r="C3241" s="2" t="s">
        <v>354</v>
      </c>
      <c r="D3241" s="2" t="s">
        <v>26</v>
      </c>
      <c r="E3241" s="2" t="s">
        <v>255</v>
      </c>
      <c r="F3241" s="2">
        <v>9.135152786E9</v>
      </c>
    </row>
    <row r="3242" ht="15.75" customHeight="1">
      <c r="A3242" s="2" t="s">
        <v>2985</v>
      </c>
      <c r="B3242" s="2" t="s">
        <v>63</v>
      </c>
      <c r="C3242" s="2" t="s">
        <v>2986</v>
      </c>
      <c r="D3242" s="2" t="s">
        <v>56</v>
      </c>
      <c r="E3242" s="2" t="s">
        <v>19</v>
      </c>
      <c r="F3242" s="2">
        <v>9.304595001E9</v>
      </c>
    </row>
    <row r="3243" ht="15.75" customHeight="1">
      <c r="A3243" s="2" t="s">
        <v>2987</v>
      </c>
      <c r="B3243" s="2" t="s">
        <v>52</v>
      </c>
      <c r="C3243" s="2" t="s">
        <v>162</v>
      </c>
      <c r="D3243" s="2" t="s">
        <v>14</v>
      </c>
      <c r="E3243" s="2" t="s">
        <v>19</v>
      </c>
      <c r="F3243" s="2">
        <v>7.209000616E9</v>
      </c>
    </row>
    <row r="3244" ht="15.75" customHeight="1">
      <c r="A3244" s="2" t="s">
        <v>2988</v>
      </c>
      <c r="B3244" s="2" t="s">
        <v>276</v>
      </c>
      <c r="C3244" s="2" t="s">
        <v>254</v>
      </c>
      <c r="D3244" s="2" t="s">
        <v>56</v>
      </c>
      <c r="E3244" s="2" t="s">
        <v>255</v>
      </c>
      <c r="F3244" s="2">
        <v>9.712666628E9</v>
      </c>
    </row>
    <row r="3245" ht="15.75" customHeight="1">
      <c r="A3245" s="2" t="s">
        <v>317</v>
      </c>
      <c r="B3245" s="2" t="s">
        <v>2989</v>
      </c>
      <c r="C3245" s="2" t="s">
        <v>1010</v>
      </c>
      <c r="D3245" s="2" t="s">
        <v>102</v>
      </c>
      <c r="E3245" s="2" t="s">
        <v>19</v>
      </c>
      <c r="F3245" s="2">
        <v>9.334105114E9</v>
      </c>
    </row>
    <row r="3246" ht="15.75" customHeight="1">
      <c r="A3246" s="2" t="s">
        <v>1463</v>
      </c>
      <c r="B3246" s="2" t="s">
        <v>63</v>
      </c>
      <c r="C3246" s="2" t="s">
        <v>235</v>
      </c>
      <c r="D3246" s="2" t="s">
        <v>26</v>
      </c>
      <c r="E3246" s="2" t="s">
        <v>19</v>
      </c>
      <c r="F3246" s="2">
        <v>6.291625128E9</v>
      </c>
    </row>
    <row r="3247" ht="15.75" customHeight="1">
      <c r="A3247" s="2" t="s">
        <v>2990</v>
      </c>
      <c r="B3247" s="2" t="s">
        <v>784</v>
      </c>
      <c r="C3247" s="2" t="s">
        <v>200</v>
      </c>
      <c r="D3247" s="2" t="s">
        <v>56</v>
      </c>
      <c r="E3247" s="2" t="s">
        <v>23</v>
      </c>
      <c r="F3247" s="2">
        <v>9.732293971E9</v>
      </c>
    </row>
    <row r="3248" ht="15.75" customHeight="1">
      <c r="A3248" s="2" t="s">
        <v>1800</v>
      </c>
      <c r="B3248" s="2" t="s">
        <v>119</v>
      </c>
      <c r="C3248" s="2" t="s">
        <v>230</v>
      </c>
      <c r="D3248" s="2" t="s">
        <v>56</v>
      </c>
      <c r="E3248" s="2" t="s">
        <v>19</v>
      </c>
      <c r="F3248" s="2">
        <v>7.630099161E9</v>
      </c>
    </row>
    <row r="3249" ht="15.75" customHeight="1">
      <c r="A3249" s="2" t="s">
        <v>98</v>
      </c>
      <c r="B3249" s="2" t="s">
        <v>50</v>
      </c>
      <c r="C3249" s="2" t="s">
        <v>162</v>
      </c>
      <c r="D3249" s="2" t="s">
        <v>14</v>
      </c>
      <c r="E3249" s="2" t="s">
        <v>23</v>
      </c>
      <c r="F3249" s="2">
        <v>6.201612163E9</v>
      </c>
    </row>
    <row r="3250" ht="15.75" customHeight="1">
      <c r="A3250" s="2" t="s">
        <v>2991</v>
      </c>
      <c r="B3250" s="2" t="s">
        <v>2992</v>
      </c>
      <c r="C3250" s="2" t="s">
        <v>1375</v>
      </c>
      <c r="D3250" s="2" t="s">
        <v>26</v>
      </c>
      <c r="E3250" s="2" t="s">
        <v>19</v>
      </c>
      <c r="F3250" s="2">
        <v>9.546189437E9</v>
      </c>
    </row>
    <row r="3251" ht="15.75" customHeight="1">
      <c r="A3251" s="2" t="s">
        <v>1463</v>
      </c>
      <c r="B3251" s="2" t="s">
        <v>50</v>
      </c>
      <c r="C3251" s="2" t="s">
        <v>343</v>
      </c>
      <c r="D3251" s="2" t="s">
        <v>9</v>
      </c>
      <c r="E3251" s="2" t="s">
        <v>19</v>
      </c>
      <c r="F3251" s="2">
        <v>9.934312658E9</v>
      </c>
    </row>
    <row r="3252" ht="15.75" customHeight="1">
      <c r="A3252" s="2" t="s">
        <v>1002</v>
      </c>
      <c r="B3252" s="2" t="s">
        <v>719</v>
      </c>
      <c r="C3252" s="2" t="s">
        <v>254</v>
      </c>
      <c r="D3252" s="2" t="s">
        <v>26</v>
      </c>
      <c r="E3252" s="2" t="s">
        <v>255</v>
      </c>
      <c r="F3252" s="2">
        <v>9.625126801E9</v>
      </c>
    </row>
    <row r="3253" ht="15.75" customHeight="1">
      <c r="A3253" s="2" t="s">
        <v>2993</v>
      </c>
      <c r="B3253" s="2" t="s">
        <v>119</v>
      </c>
      <c r="C3253" s="3" t="s">
        <v>2994</v>
      </c>
      <c r="D3253" s="2" t="s">
        <v>56</v>
      </c>
      <c r="E3253" s="2" t="s">
        <v>19</v>
      </c>
      <c r="F3253" s="2">
        <v>8.969169539E9</v>
      </c>
    </row>
    <row r="3254" ht="15.75" customHeight="1">
      <c r="A3254" s="2" t="s">
        <v>2995</v>
      </c>
      <c r="B3254" s="2" t="s">
        <v>119</v>
      </c>
      <c r="C3254" s="2" t="s">
        <v>335</v>
      </c>
      <c r="D3254" s="2" t="s">
        <v>26</v>
      </c>
      <c r="E3254" s="2" t="s">
        <v>19</v>
      </c>
      <c r="F3254" s="2">
        <v>9.210690335E9</v>
      </c>
    </row>
    <row r="3255" ht="15.75" customHeight="1">
      <c r="A3255" s="2" t="s">
        <v>2996</v>
      </c>
      <c r="B3255" s="2" t="s">
        <v>276</v>
      </c>
      <c r="C3255" s="2" t="s">
        <v>1398</v>
      </c>
      <c r="D3255" s="2" t="s">
        <v>26</v>
      </c>
      <c r="E3255" s="2" t="s">
        <v>19</v>
      </c>
      <c r="F3255" s="2">
        <v>9.685112714E9</v>
      </c>
    </row>
    <row r="3256" ht="15.75" customHeight="1">
      <c r="A3256" s="2" t="s">
        <v>2997</v>
      </c>
      <c r="B3256" s="2" t="s">
        <v>21</v>
      </c>
      <c r="C3256" s="2" t="s">
        <v>58</v>
      </c>
      <c r="D3256" s="2" t="s">
        <v>56</v>
      </c>
      <c r="E3256" s="2" t="s">
        <v>23</v>
      </c>
      <c r="F3256" s="2">
        <v>9.709705022E9</v>
      </c>
    </row>
    <row r="3257" ht="15.75" customHeight="1">
      <c r="A3257" s="2" t="s">
        <v>2998</v>
      </c>
      <c r="B3257" s="2" t="s">
        <v>2999</v>
      </c>
      <c r="C3257" s="2" t="s">
        <v>323</v>
      </c>
      <c r="D3257" s="2" t="s">
        <v>44</v>
      </c>
      <c r="E3257" s="2" t="s">
        <v>255</v>
      </c>
      <c r="F3257" s="2">
        <v>7.574887736E9</v>
      </c>
    </row>
    <row r="3258" ht="15.75" customHeight="1">
      <c r="A3258" s="2" t="s">
        <v>3000</v>
      </c>
      <c r="B3258" s="2" t="s">
        <v>88</v>
      </c>
      <c r="C3258" s="2" t="s">
        <v>330</v>
      </c>
      <c r="D3258" s="2" t="s">
        <v>9</v>
      </c>
      <c r="E3258" s="2" t="s">
        <v>19</v>
      </c>
      <c r="F3258" s="2">
        <v>9.534008383E9</v>
      </c>
    </row>
    <row r="3259" ht="15.75" customHeight="1">
      <c r="A3259" s="2" t="s">
        <v>1283</v>
      </c>
      <c r="B3259" s="2" t="s">
        <v>212</v>
      </c>
      <c r="C3259" s="2" t="s">
        <v>237</v>
      </c>
      <c r="D3259" s="2" t="s">
        <v>26</v>
      </c>
      <c r="E3259" s="2" t="s">
        <v>255</v>
      </c>
      <c r="F3259" s="2">
        <v>9.905188419E9</v>
      </c>
    </row>
    <row r="3260" ht="15.75" customHeight="1">
      <c r="A3260" s="2" t="s">
        <v>1784</v>
      </c>
      <c r="B3260" s="2" t="s">
        <v>63</v>
      </c>
      <c r="C3260" s="2" t="s">
        <v>330</v>
      </c>
      <c r="D3260" s="2" t="s">
        <v>29</v>
      </c>
      <c r="E3260" s="2" t="s">
        <v>19</v>
      </c>
      <c r="F3260" s="2">
        <v>9.798982791E9</v>
      </c>
    </row>
    <row r="3261" ht="15.75" customHeight="1">
      <c r="A3261" s="2" t="s">
        <v>234</v>
      </c>
      <c r="B3261" s="2" t="s">
        <v>52</v>
      </c>
      <c r="C3261" s="2" t="s">
        <v>162</v>
      </c>
      <c r="D3261" s="2" t="s">
        <v>44</v>
      </c>
      <c r="E3261" s="2" t="s">
        <v>23</v>
      </c>
      <c r="F3261" s="2">
        <v>9.135880122E9</v>
      </c>
    </row>
    <row r="3262" ht="15.75" customHeight="1">
      <c r="A3262" s="2" t="s">
        <v>3001</v>
      </c>
      <c r="B3262" s="2" t="s">
        <v>21</v>
      </c>
      <c r="C3262" s="2" t="s">
        <v>2918</v>
      </c>
      <c r="D3262" s="2" t="s">
        <v>56</v>
      </c>
      <c r="E3262" s="2" t="s">
        <v>19</v>
      </c>
      <c r="F3262" s="2">
        <v>9.648920482E9</v>
      </c>
    </row>
    <row r="3263" ht="15.75" customHeight="1">
      <c r="A3263" s="2" t="s">
        <v>525</v>
      </c>
      <c r="B3263" s="2" t="s">
        <v>55</v>
      </c>
      <c r="C3263" s="2" t="s">
        <v>1010</v>
      </c>
      <c r="D3263" s="2" t="s">
        <v>26</v>
      </c>
      <c r="E3263" s="2" t="s">
        <v>19</v>
      </c>
      <c r="F3263" s="2">
        <v>8.709950673E9</v>
      </c>
    </row>
    <row r="3264" ht="15.75" customHeight="1">
      <c r="A3264" s="2" t="s">
        <v>3002</v>
      </c>
      <c r="B3264" s="2" t="s">
        <v>3003</v>
      </c>
      <c r="C3264" s="2" t="s">
        <v>237</v>
      </c>
      <c r="D3264" s="2" t="s">
        <v>44</v>
      </c>
      <c r="E3264" s="2" t="s">
        <v>255</v>
      </c>
      <c r="F3264" s="2">
        <v>9.270007231E9</v>
      </c>
    </row>
    <row r="3265" ht="15.75" customHeight="1">
      <c r="A3265" s="2" t="s">
        <v>3004</v>
      </c>
      <c r="B3265" s="2" t="s">
        <v>63</v>
      </c>
      <c r="C3265" s="2" t="s">
        <v>289</v>
      </c>
      <c r="D3265" s="2" t="s">
        <v>56</v>
      </c>
      <c r="E3265" s="2" t="s">
        <v>19</v>
      </c>
      <c r="F3265" s="2">
        <v>9.430129444E9</v>
      </c>
    </row>
    <row r="3266" ht="15.75" customHeight="1">
      <c r="A3266" s="2" t="s">
        <v>1092</v>
      </c>
      <c r="B3266" s="2" t="s">
        <v>2464</v>
      </c>
      <c r="C3266" s="2" t="s">
        <v>729</v>
      </c>
      <c r="D3266" s="2" t="s">
        <v>56</v>
      </c>
      <c r="E3266" s="2" t="s">
        <v>23</v>
      </c>
      <c r="F3266" s="2">
        <v>9.955176547E9</v>
      </c>
    </row>
    <row r="3267" ht="15.75" customHeight="1">
      <c r="A3267" s="2" t="s">
        <v>2305</v>
      </c>
      <c r="B3267" s="2" t="s">
        <v>225</v>
      </c>
      <c r="C3267" s="2" t="s">
        <v>3005</v>
      </c>
      <c r="D3267" s="2" t="s">
        <v>9</v>
      </c>
      <c r="E3267" s="2" t="s">
        <v>19</v>
      </c>
      <c r="F3267" s="2">
        <v>9.523440267E9</v>
      </c>
    </row>
    <row r="3268" ht="15.75" customHeight="1">
      <c r="A3268" s="2" t="s">
        <v>107</v>
      </c>
      <c r="B3268" s="2" t="s">
        <v>1557</v>
      </c>
      <c r="C3268" s="2" t="s">
        <v>676</v>
      </c>
      <c r="D3268" s="2" t="s">
        <v>29</v>
      </c>
      <c r="E3268" s="2" t="s">
        <v>19</v>
      </c>
      <c r="F3268" s="2">
        <v>9.915414891E9</v>
      </c>
    </row>
    <row r="3269" ht="15.75" customHeight="1">
      <c r="A3269" s="2" t="s">
        <v>1447</v>
      </c>
      <c r="B3269" s="2" t="s">
        <v>50</v>
      </c>
      <c r="C3269" s="2" t="s">
        <v>162</v>
      </c>
      <c r="D3269" s="2" t="s">
        <v>14</v>
      </c>
      <c r="E3269" s="2" t="s">
        <v>19</v>
      </c>
      <c r="F3269" s="2">
        <v>7.509801114E9</v>
      </c>
    </row>
    <row r="3270" ht="15.75" customHeight="1">
      <c r="A3270" s="2" t="s">
        <v>1788</v>
      </c>
      <c r="B3270" s="2" t="s">
        <v>119</v>
      </c>
      <c r="C3270" s="2" t="s">
        <v>729</v>
      </c>
      <c r="D3270" s="2" t="s">
        <v>56</v>
      </c>
      <c r="E3270" s="2" t="s">
        <v>19</v>
      </c>
      <c r="F3270" s="2">
        <v>7.209969366E9</v>
      </c>
    </row>
    <row r="3271" ht="15.75" customHeight="1">
      <c r="A3271" s="2" t="s">
        <v>3006</v>
      </c>
      <c r="B3271" s="2" t="s">
        <v>797</v>
      </c>
      <c r="C3271" s="2" t="s">
        <v>2855</v>
      </c>
      <c r="D3271" s="2" t="s">
        <v>44</v>
      </c>
      <c r="E3271" s="2" t="s">
        <v>19</v>
      </c>
      <c r="F3271" s="2">
        <v>6.209955231E9</v>
      </c>
    </row>
    <row r="3272" ht="15.75" customHeight="1">
      <c r="A3272" s="2" t="s">
        <v>516</v>
      </c>
      <c r="B3272" s="2" t="s">
        <v>212</v>
      </c>
      <c r="C3272" s="2" t="s">
        <v>763</v>
      </c>
      <c r="D3272" s="2" t="s">
        <v>56</v>
      </c>
      <c r="E3272" s="2" t="s">
        <v>19</v>
      </c>
      <c r="F3272" s="2">
        <v>9.685688363E9</v>
      </c>
    </row>
    <row r="3273" ht="15.75" customHeight="1">
      <c r="A3273" s="2" t="s">
        <v>1426</v>
      </c>
      <c r="B3273" s="2" t="s">
        <v>55</v>
      </c>
      <c r="C3273" s="2" t="s">
        <v>576</v>
      </c>
      <c r="D3273" s="2" t="s">
        <v>56</v>
      </c>
      <c r="E3273" s="2" t="s">
        <v>23</v>
      </c>
      <c r="F3273" s="2">
        <v>9.534008383E9</v>
      </c>
    </row>
    <row r="3274" ht="15.75" customHeight="1">
      <c r="A3274" s="2" t="s">
        <v>234</v>
      </c>
      <c r="B3274" s="2" t="s">
        <v>150</v>
      </c>
      <c r="C3274" s="2" t="s">
        <v>817</v>
      </c>
      <c r="D3274" s="2" t="s">
        <v>26</v>
      </c>
      <c r="E3274" s="2" t="s">
        <v>19</v>
      </c>
      <c r="F3274" s="2">
        <v>7.209773667E9</v>
      </c>
    </row>
    <row r="3275" ht="15.75" customHeight="1">
      <c r="A3275" s="2" t="s">
        <v>2305</v>
      </c>
      <c r="B3275" s="2" t="s">
        <v>2164</v>
      </c>
      <c r="C3275" s="2" t="s">
        <v>343</v>
      </c>
      <c r="D3275" s="2" t="s">
        <v>29</v>
      </c>
      <c r="E3275" s="2" t="s">
        <v>19</v>
      </c>
      <c r="F3275" s="2">
        <v>9.162717784E9</v>
      </c>
    </row>
    <row r="3276" ht="15.75" customHeight="1">
      <c r="A3276" s="2" t="s">
        <v>3007</v>
      </c>
      <c r="B3276" s="2" t="s">
        <v>108</v>
      </c>
      <c r="C3276" s="2" t="s">
        <v>655</v>
      </c>
      <c r="D3276" s="2" t="s">
        <v>56</v>
      </c>
      <c r="E3276" s="2" t="s">
        <v>19</v>
      </c>
      <c r="F3276" s="2">
        <v>7.488043762E9</v>
      </c>
    </row>
    <row r="3277" ht="15.75" customHeight="1">
      <c r="A3277" s="2" t="s">
        <v>3008</v>
      </c>
      <c r="B3277" s="2" t="s">
        <v>401</v>
      </c>
      <c r="C3277" s="2" t="s">
        <v>1139</v>
      </c>
      <c r="D3277" s="2" t="s">
        <v>26</v>
      </c>
      <c r="E3277" s="2" t="s">
        <v>19</v>
      </c>
      <c r="F3277" s="2">
        <v>7.632000758E9</v>
      </c>
    </row>
    <row r="3278" ht="15.75" customHeight="1">
      <c r="A3278" s="2" t="s">
        <v>3009</v>
      </c>
      <c r="B3278" s="2" t="s">
        <v>52</v>
      </c>
      <c r="C3278" s="2" t="s">
        <v>162</v>
      </c>
      <c r="D3278" s="2" t="s">
        <v>26</v>
      </c>
      <c r="E3278" s="2" t="s">
        <v>23</v>
      </c>
      <c r="F3278" s="2">
        <v>7.992425967E9</v>
      </c>
    </row>
    <row r="3279" ht="15.75" customHeight="1">
      <c r="A3279" s="2" t="s">
        <v>1005</v>
      </c>
      <c r="B3279" s="2" t="s">
        <v>220</v>
      </c>
      <c r="C3279" s="2" t="s">
        <v>341</v>
      </c>
      <c r="D3279" s="2" t="s">
        <v>56</v>
      </c>
      <c r="E3279" s="2" t="s">
        <v>255</v>
      </c>
      <c r="F3279" s="2">
        <v>9.939184162E9</v>
      </c>
    </row>
    <row r="3280" ht="15.75" customHeight="1">
      <c r="A3280" s="2" t="s">
        <v>2991</v>
      </c>
      <c r="B3280" s="2" t="s">
        <v>3010</v>
      </c>
      <c r="C3280" s="2" t="s">
        <v>3011</v>
      </c>
      <c r="D3280" s="2" t="s">
        <v>56</v>
      </c>
      <c r="E3280" s="2" t="s">
        <v>19</v>
      </c>
      <c r="F3280" s="2">
        <v>9.546189437E9</v>
      </c>
    </row>
    <row r="3281" ht="15.75" customHeight="1">
      <c r="A3281" s="2" t="s">
        <v>3012</v>
      </c>
      <c r="B3281" s="2" t="s">
        <v>55</v>
      </c>
      <c r="C3281" s="2" t="s">
        <v>844</v>
      </c>
      <c r="D3281" s="2" t="s">
        <v>102</v>
      </c>
      <c r="E3281" s="2" t="s">
        <v>19</v>
      </c>
      <c r="F3281" s="2">
        <v>9.431382613E9</v>
      </c>
    </row>
    <row r="3282" ht="15.75" customHeight="1">
      <c r="A3282" s="2" t="s">
        <v>182</v>
      </c>
      <c r="B3282" s="2" t="s">
        <v>91</v>
      </c>
      <c r="C3282" s="2" t="s">
        <v>1458</v>
      </c>
      <c r="D3282" s="2" t="s">
        <v>29</v>
      </c>
      <c r="E3282" s="2" t="s">
        <v>19</v>
      </c>
      <c r="F3282" s="2">
        <v>7.677705903E9</v>
      </c>
    </row>
    <row r="3283" ht="15.75" customHeight="1">
      <c r="A3283" s="2" t="s">
        <v>125</v>
      </c>
      <c r="B3283" s="2" t="s">
        <v>50</v>
      </c>
      <c r="C3283" s="2" t="s">
        <v>1476</v>
      </c>
      <c r="D3283" s="2" t="s">
        <v>56</v>
      </c>
      <c r="E3283" s="2" t="s">
        <v>23</v>
      </c>
      <c r="F3283" s="2">
        <v>9.771127314E9</v>
      </c>
    </row>
    <row r="3284" ht="15.75" customHeight="1">
      <c r="A3284" s="2" t="s">
        <v>3013</v>
      </c>
      <c r="B3284" s="2" t="s">
        <v>517</v>
      </c>
      <c r="C3284" s="2" t="s">
        <v>729</v>
      </c>
      <c r="D3284" s="2" t="s">
        <v>26</v>
      </c>
      <c r="E3284" s="2" t="s">
        <v>19</v>
      </c>
      <c r="F3284" s="2">
        <v>9.955926257E9</v>
      </c>
    </row>
    <row r="3285" ht="15.75" customHeight="1">
      <c r="A3285" s="2" t="s">
        <v>3014</v>
      </c>
      <c r="B3285" s="2" t="s">
        <v>212</v>
      </c>
      <c r="C3285" s="2" t="s">
        <v>237</v>
      </c>
      <c r="D3285" s="2" t="s">
        <v>26</v>
      </c>
      <c r="E3285" s="2" t="s">
        <v>255</v>
      </c>
      <c r="F3285" s="2">
        <v>7.20990117E9</v>
      </c>
    </row>
    <row r="3286" ht="15.75" customHeight="1">
      <c r="A3286" s="2" t="s">
        <v>2305</v>
      </c>
      <c r="B3286" s="2" t="s">
        <v>50</v>
      </c>
      <c r="C3286" s="2" t="s">
        <v>343</v>
      </c>
      <c r="D3286" s="2" t="s">
        <v>29</v>
      </c>
      <c r="E3286" s="2" t="s">
        <v>19</v>
      </c>
      <c r="F3286" s="2">
        <v>9.852123154E9</v>
      </c>
    </row>
    <row r="3287" ht="15.75" customHeight="1">
      <c r="A3287" s="2" t="s">
        <v>182</v>
      </c>
      <c r="B3287" s="2" t="s">
        <v>50</v>
      </c>
      <c r="C3287" s="2" t="s">
        <v>763</v>
      </c>
      <c r="D3287" s="2" t="s">
        <v>56</v>
      </c>
      <c r="E3287" s="2" t="s">
        <v>19</v>
      </c>
      <c r="F3287" s="2">
        <v>8.092459181E9</v>
      </c>
    </row>
    <row r="3288" ht="15.75" customHeight="1">
      <c r="A3288" s="2" t="s">
        <v>244</v>
      </c>
      <c r="B3288" s="2" t="s">
        <v>55</v>
      </c>
      <c r="C3288" s="2" t="s">
        <v>1355</v>
      </c>
      <c r="D3288" s="2" t="s">
        <v>29</v>
      </c>
      <c r="E3288" s="2" t="s">
        <v>19</v>
      </c>
      <c r="F3288" s="2">
        <v>9.83571501E9</v>
      </c>
    </row>
    <row r="3289" ht="15.75" customHeight="1">
      <c r="A3289" s="2" t="s">
        <v>994</v>
      </c>
      <c r="B3289" s="2" t="s">
        <v>220</v>
      </c>
      <c r="C3289" s="2" t="s">
        <v>1953</v>
      </c>
      <c r="D3289" s="2" t="s">
        <v>26</v>
      </c>
      <c r="E3289" s="2" t="s">
        <v>255</v>
      </c>
      <c r="F3289" s="2">
        <v>6.207944584E9</v>
      </c>
    </row>
    <row r="3290" ht="15.75" customHeight="1">
      <c r="A3290" s="2" t="s">
        <v>525</v>
      </c>
      <c r="B3290" s="2" t="s">
        <v>1233</v>
      </c>
      <c r="C3290" s="2" t="s">
        <v>162</v>
      </c>
      <c r="D3290" s="2" t="s">
        <v>44</v>
      </c>
      <c r="E3290" s="2" t="s">
        <v>23</v>
      </c>
      <c r="F3290" s="2">
        <v>8.292688326E9</v>
      </c>
    </row>
    <row r="3291" ht="15.75" customHeight="1">
      <c r="A3291" s="2" t="s">
        <v>3015</v>
      </c>
      <c r="B3291" s="2" t="s">
        <v>63</v>
      </c>
      <c r="C3291" s="2" t="s">
        <v>1024</v>
      </c>
      <c r="D3291" s="2" t="s">
        <v>44</v>
      </c>
      <c r="E3291" s="2" t="s">
        <v>19</v>
      </c>
      <c r="F3291" s="2">
        <v>8.051118283E9</v>
      </c>
    </row>
    <row r="3292" ht="15.75" customHeight="1">
      <c r="A3292" s="2" t="s">
        <v>1575</v>
      </c>
      <c r="B3292" s="2" t="s">
        <v>212</v>
      </c>
      <c r="C3292" s="2" t="s">
        <v>330</v>
      </c>
      <c r="D3292" s="2" t="s">
        <v>26</v>
      </c>
      <c r="E3292" s="2" t="s">
        <v>19</v>
      </c>
      <c r="F3292" s="2">
        <v>7.250804292E9</v>
      </c>
    </row>
    <row r="3293" ht="15.75" customHeight="1">
      <c r="A3293" s="2" t="s">
        <v>2305</v>
      </c>
      <c r="B3293" s="2" t="s">
        <v>50</v>
      </c>
      <c r="C3293" s="2" t="s">
        <v>354</v>
      </c>
      <c r="D3293" s="2" t="s">
        <v>9</v>
      </c>
      <c r="E3293" s="2" t="s">
        <v>19</v>
      </c>
      <c r="F3293" s="2">
        <v>9.794131637E9</v>
      </c>
    </row>
    <row r="3294" ht="15.75" customHeight="1">
      <c r="A3294" s="2" t="s">
        <v>3016</v>
      </c>
      <c r="B3294" s="2" t="s">
        <v>119</v>
      </c>
      <c r="C3294" s="2" t="s">
        <v>662</v>
      </c>
      <c r="D3294" s="2" t="s">
        <v>26</v>
      </c>
      <c r="E3294" s="2" t="s">
        <v>19</v>
      </c>
      <c r="F3294" s="2">
        <v>9.599199921E9</v>
      </c>
    </row>
    <row r="3295" ht="15.75" customHeight="1">
      <c r="A3295" s="2" t="s">
        <v>2157</v>
      </c>
      <c r="B3295" s="2" t="s">
        <v>3017</v>
      </c>
      <c r="C3295" s="2" t="s">
        <v>200</v>
      </c>
      <c r="D3295" s="2" t="s">
        <v>26</v>
      </c>
      <c r="E3295" s="2" t="s">
        <v>23</v>
      </c>
      <c r="F3295" s="2">
        <v>9.414087574E9</v>
      </c>
    </row>
    <row r="3296" ht="15.75" customHeight="1">
      <c r="A3296" s="2" t="s">
        <v>3018</v>
      </c>
      <c r="B3296" s="2" t="s">
        <v>3019</v>
      </c>
      <c r="C3296" s="2" t="s">
        <v>330</v>
      </c>
      <c r="D3296" s="2" t="s">
        <v>56</v>
      </c>
      <c r="E3296" s="2" t="s">
        <v>19</v>
      </c>
      <c r="F3296" s="2">
        <v>9.431520567E9</v>
      </c>
    </row>
    <row r="3297" ht="15.75" customHeight="1">
      <c r="A3297" s="2" t="s">
        <v>3020</v>
      </c>
      <c r="B3297" s="2" t="s">
        <v>50</v>
      </c>
      <c r="C3297" s="2" t="s">
        <v>3021</v>
      </c>
      <c r="D3297" s="2" t="s">
        <v>26</v>
      </c>
      <c r="E3297" s="2" t="s">
        <v>19</v>
      </c>
      <c r="F3297" s="2">
        <v>9.03132519E9</v>
      </c>
    </row>
    <row r="3298" ht="15.75" customHeight="1">
      <c r="A3298" s="2" t="s">
        <v>3022</v>
      </c>
      <c r="B3298" s="2" t="s">
        <v>1712</v>
      </c>
      <c r="C3298" s="2" t="s">
        <v>1375</v>
      </c>
      <c r="D3298" s="2" t="s">
        <v>26</v>
      </c>
      <c r="E3298" s="2" t="s">
        <v>19</v>
      </c>
      <c r="F3298" s="2">
        <v>9.602865085E9</v>
      </c>
    </row>
    <row r="3299" ht="15.75" customHeight="1">
      <c r="A3299" s="2" t="s">
        <v>3014</v>
      </c>
      <c r="B3299" s="2" t="s">
        <v>3023</v>
      </c>
      <c r="C3299" s="2" t="s">
        <v>867</v>
      </c>
      <c r="D3299" s="2" t="s">
        <v>56</v>
      </c>
      <c r="E3299" s="2" t="s">
        <v>255</v>
      </c>
      <c r="F3299" s="2">
        <v>7.280888852E9</v>
      </c>
    </row>
    <row r="3300" ht="15.75" customHeight="1">
      <c r="A3300" s="2" t="s">
        <v>2633</v>
      </c>
      <c r="B3300" s="2" t="s">
        <v>65</v>
      </c>
      <c r="C3300" s="2" t="s">
        <v>305</v>
      </c>
      <c r="D3300" s="2" t="s">
        <v>56</v>
      </c>
      <c r="E3300" s="2" t="s">
        <v>23</v>
      </c>
      <c r="F3300" s="2">
        <v>7.06107497E9</v>
      </c>
    </row>
    <row r="3301" ht="15.75" customHeight="1">
      <c r="A3301" s="2" t="s">
        <v>1499</v>
      </c>
      <c r="B3301" s="2" t="s">
        <v>212</v>
      </c>
      <c r="C3301" s="2" t="s">
        <v>3024</v>
      </c>
      <c r="D3301" s="2" t="s">
        <v>56</v>
      </c>
      <c r="E3301" s="2" t="s">
        <v>19</v>
      </c>
      <c r="F3301" s="2">
        <v>7.549151E9</v>
      </c>
    </row>
    <row r="3302" ht="15.75" customHeight="1">
      <c r="A3302" s="2" t="s">
        <v>2305</v>
      </c>
      <c r="B3302" s="2" t="s">
        <v>50</v>
      </c>
      <c r="C3302" s="2" t="s">
        <v>300</v>
      </c>
      <c r="D3302" s="2" t="s">
        <v>56</v>
      </c>
      <c r="E3302" s="2" t="s">
        <v>19</v>
      </c>
      <c r="F3302" s="2">
        <v>9.899398697E9</v>
      </c>
    </row>
    <row r="3303" ht="15.75" customHeight="1">
      <c r="A3303" s="2" t="s">
        <v>3025</v>
      </c>
      <c r="B3303" s="2" t="s">
        <v>1724</v>
      </c>
      <c r="C3303" s="2" t="s">
        <v>2385</v>
      </c>
      <c r="D3303" s="2" t="s">
        <v>44</v>
      </c>
      <c r="E3303" s="2" t="s">
        <v>19</v>
      </c>
      <c r="F3303" s="2">
        <v>7.061542354E9</v>
      </c>
    </row>
    <row r="3304" ht="15.75" customHeight="1">
      <c r="A3304" s="2" t="s">
        <v>1386</v>
      </c>
      <c r="B3304" s="2" t="s">
        <v>88</v>
      </c>
      <c r="C3304" s="2" t="s">
        <v>1458</v>
      </c>
      <c r="D3304" s="2" t="s">
        <v>26</v>
      </c>
      <c r="E3304" s="2" t="s">
        <v>23</v>
      </c>
      <c r="F3304" s="2">
        <v>7.498607454E9</v>
      </c>
    </row>
    <row r="3305" ht="15.75" customHeight="1">
      <c r="A3305" s="2" t="s">
        <v>1623</v>
      </c>
      <c r="B3305" s="2" t="s">
        <v>55</v>
      </c>
      <c r="C3305" s="2" t="s">
        <v>230</v>
      </c>
      <c r="D3305" s="2" t="s">
        <v>26</v>
      </c>
      <c r="E3305" s="2" t="s">
        <v>19</v>
      </c>
      <c r="F3305" s="2">
        <v>7.274859387E9</v>
      </c>
    </row>
    <row r="3306" ht="15.75" customHeight="1">
      <c r="A3306" s="2" t="s">
        <v>565</v>
      </c>
      <c r="B3306" s="2" t="s">
        <v>982</v>
      </c>
      <c r="C3306" s="2" t="s">
        <v>1408</v>
      </c>
      <c r="D3306" s="2" t="s">
        <v>44</v>
      </c>
      <c r="E3306" s="2" t="s">
        <v>23</v>
      </c>
      <c r="F3306" s="2">
        <v>9.155191231E9</v>
      </c>
    </row>
    <row r="3307" ht="15.75" customHeight="1">
      <c r="A3307" s="2" t="s">
        <v>3026</v>
      </c>
      <c r="B3307" s="2" t="s">
        <v>743</v>
      </c>
      <c r="C3307" s="2" t="s">
        <v>2480</v>
      </c>
      <c r="D3307" s="2" t="s">
        <v>26</v>
      </c>
      <c r="E3307" s="2" t="s">
        <v>19</v>
      </c>
      <c r="F3307" s="2">
        <v>8.789773326E9</v>
      </c>
    </row>
    <row r="3308" ht="15.75" customHeight="1">
      <c r="A3308" s="2" t="s">
        <v>3027</v>
      </c>
      <c r="B3308" s="2" t="s">
        <v>1724</v>
      </c>
      <c r="C3308" s="2" t="s">
        <v>1510</v>
      </c>
      <c r="D3308" s="2" t="s">
        <v>44</v>
      </c>
      <c r="E3308" s="2" t="s">
        <v>19</v>
      </c>
      <c r="F3308" s="2">
        <v>7.717744027E9</v>
      </c>
    </row>
    <row r="3309" ht="15.75" customHeight="1">
      <c r="A3309" s="2" t="s">
        <v>3028</v>
      </c>
      <c r="B3309" s="2" t="s">
        <v>119</v>
      </c>
      <c r="C3309" s="2" t="s">
        <v>504</v>
      </c>
      <c r="D3309" s="2" t="s">
        <v>26</v>
      </c>
      <c r="E3309" s="2" t="s">
        <v>19</v>
      </c>
      <c r="F3309" s="2">
        <v>8.092807906E9</v>
      </c>
    </row>
    <row r="3310" ht="15.75" customHeight="1">
      <c r="A3310" s="2" t="s">
        <v>3029</v>
      </c>
      <c r="B3310" s="2" t="s">
        <v>212</v>
      </c>
      <c r="C3310" s="2" t="s">
        <v>817</v>
      </c>
      <c r="D3310" s="2" t="s">
        <v>26</v>
      </c>
      <c r="E3310" s="2" t="s">
        <v>19</v>
      </c>
      <c r="F3310" s="2">
        <v>7.765953536E9</v>
      </c>
    </row>
    <row r="3311" ht="15.75" customHeight="1">
      <c r="A3311" s="2" t="s">
        <v>3030</v>
      </c>
      <c r="B3311" s="2" t="s">
        <v>212</v>
      </c>
      <c r="C3311" s="2" t="s">
        <v>2450</v>
      </c>
      <c r="D3311" s="2" t="s">
        <v>29</v>
      </c>
      <c r="E3311" s="2" t="s">
        <v>23</v>
      </c>
      <c r="F3311" s="2">
        <v>9.939919652E9</v>
      </c>
    </row>
    <row r="3312" ht="15.75" customHeight="1">
      <c r="A3312" s="2" t="s">
        <v>2011</v>
      </c>
      <c r="B3312" s="2" t="s">
        <v>719</v>
      </c>
      <c r="C3312" s="2" t="s">
        <v>1818</v>
      </c>
      <c r="D3312" s="2" t="s">
        <v>56</v>
      </c>
      <c r="E3312" s="2" t="s">
        <v>19</v>
      </c>
      <c r="F3312" s="2">
        <v>7.320925052E9</v>
      </c>
    </row>
    <row r="3313" ht="15.75" customHeight="1">
      <c r="A3313" s="2" t="s">
        <v>3031</v>
      </c>
      <c r="B3313" s="2" t="s">
        <v>3032</v>
      </c>
      <c r="C3313" s="2" t="s">
        <v>128</v>
      </c>
      <c r="D3313" s="2" t="s">
        <v>14</v>
      </c>
      <c r="E3313" s="2" t="s">
        <v>282</v>
      </c>
      <c r="F3313" s="2">
        <v>9.996897384E9</v>
      </c>
    </row>
    <row r="3314" ht="15.75" customHeight="1">
      <c r="A3314" s="2" t="s">
        <v>3033</v>
      </c>
      <c r="B3314" s="2" t="s">
        <v>55</v>
      </c>
      <c r="C3314" s="2" t="s">
        <v>1036</v>
      </c>
      <c r="D3314" s="2" t="s">
        <v>56</v>
      </c>
      <c r="E3314" s="2" t="s">
        <v>19</v>
      </c>
      <c r="F3314" s="2">
        <v>7.87976546E9</v>
      </c>
    </row>
    <row r="3315" ht="15.75" customHeight="1">
      <c r="A3315" s="2" t="s">
        <v>1800</v>
      </c>
      <c r="B3315" s="2" t="s">
        <v>119</v>
      </c>
      <c r="C3315" s="2" t="s">
        <v>3034</v>
      </c>
      <c r="D3315" s="2" t="s">
        <v>26</v>
      </c>
      <c r="E3315" s="2" t="s">
        <v>19</v>
      </c>
      <c r="F3315" s="2">
        <v>9.60884778E9</v>
      </c>
    </row>
    <row r="3316" ht="15.75" customHeight="1">
      <c r="A3316" s="2" t="s">
        <v>624</v>
      </c>
      <c r="B3316" s="2" t="s">
        <v>65</v>
      </c>
      <c r="C3316" s="2" t="s">
        <v>235</v>
      </c>
      <c r="D3316" s="2" t="s">
        <v>44</v>
      </c>
      <c r="E3316" s="2" t="s">
        <v>19</v>
      </c>
      <c r="F3316" s="2">
        <v>8.092277394E9</v>
      </c>
    </row>
    <row r="3317" ht="15.75" customHeight="1">
      <c r="A3317" s="2" t="s">
        <v>1939</v>
      </c>
      <c r="B3317" s="2" t="s">
        <v>1940</v>
      </c>
      <c r="C3317" s="2" t="s">
        <v>3035</v>
      </c>
      <c r="D3317" s="2" t="s">
        <v>26</v>
      </c>
      <c r="E3317" s="2" t="s">
        <v>19</v>
      </c>
      <c r="F3317" s="2">
        <v>8.235560449E9</v>
      </c>
    </row>
    <row r="3318" ht="15.75" customHeight="1">
      <c r="A3318" s="2" t="s">
        <v>994</v>
      </c>
      <c r="B3318" s="2" t="s">
        <v>88</v>
      </c>
      <c r="C3318" s="2" t="s">
        <v>3036</v>
      </c>
      <c r="D3318" s="2" t="s">
        <v>26</v>
      </c>
      <c r="E3318" s="2" t="s">
        <v>255</v>
      </c>
      <c r="F3318" s="2">
        <v>9.155813675E9</v>
      </c>
    </row>
    <row r="3319" ht="15.75" customHeight="1">
      <c r="A3319" s="2" t="s">
        <v>70</v>
      </c>
      <c r="B3319" s="2" t="s">
        <v>1704</v>
      </c>
      <c r="C3319" s="2" t="s">
        <v>330</v>
      </c>
      <c r="D3319" s="2" t="s">
        <v>56</v>
      </c>
      <c r="E3319" s="2" t="s">
        <v>19</v>
      </c>
      <c r="F3319" s="2">
        <v>9.03132519E9</v>
      </c>
    </row>
    <row r="3320" ht="15.75" customHeight="1">
      <c r="A3320" s="2" t="s">
        <v>208</v>
      </c>
      <c r="B3320" s="2" t="s">
        <v>3037</v>
      </c>
      <c r="C3320" s="2" t="s">
        <v>863</v>
      </c>
      <c r="D3320" s="2" t="s">
        <v>9</v>
      </c>
      <c r="E3320" s="2" t="s">
        <v>255</v>
      </c>
      <c r="F3320" s="2">
        <v>6.299987625E9</v>
      </c>
    </row>
    <row r="3321" ht="15.75" customHeight="1">
      <c r="A3321" s="2" t="s">
        <v>1846</v>
      </c>
      <c r="B3321" s="2" t="s">
        <v>1846</v>
      </c>
      <c r="C3321" s="2" t="s">
        <v>1081</v>
      </c>
      <c r="D3321" s="2" t="s">
        <v>44</v>
      </c>
      <c r="E3321" s="2" t="s">
        <v>19</v>
      </c>
      <c r="F3321" s="2">
        <v>6.201442189E9</v>
      </c>
    </row>
    <row r="3322" ht="15.75" customHeight="1">
      <c r="A3322" s="2" t="s">
        <v>126</v>
      </c>
      <c r="B3322" s="2" t="s">
        <v>512</v>
      </c>
      <c r="C3322" s="2" t="s">
        <v>729</v>
      </c>
      <c r="D3322" s="2" t="s">
        <v>9</v>
      </c>
      <c r="E3322" s="2" t="s">
        <v>19</v>
      </c>
      <c r="F3322" s="2">
        <v>7.923344001E9</v>
      </c>
    </row>
    <row r="3323" ht="15.75" customHeight="1">
      <c r="A3323" s="2" t="s">
        <v>3038</v>
      </c>
      <c r="B3323" s="2" t="s">
        <v>150</v>
      </c>
      <c r="C3323" s="2" t="s">
        <v>1735</v>
      </c>
      <c r="D3323" s="2" t="s">
        <v>26</v>
      </c>
      <c r="E3323" s="2" t="s">
        <v>19</v>
      </c>
      <c r="F3323" s="2">
        <v>8.084999302E9</v>
      </c>
    </row>
    <row r="3324" ht="15.75" customHeight="1">
      <c r="A3324" s="2" t="s">
        <v>3039</v>
      </c>
      <c r="B3324" s="2" t="s">
        <v>960</v>
      </c>
      <c r="C3324" s="2" t="s">
        <v>1024</v>
      </c>
      <c r="D3324" s="2" t="s">
        <v>56</v>
      </c>
      <c r="E3324" s="2" t="s">
        <v>19</v>
      </c>
      <c r="F3324" s="2">
        <v>9.117750873E9</v>
      </c>
    </row>
    <row r="3325" ht="15.75" customHeight="1">
      <c r="A3325" s="2" t="s">
        <v>2445</v>
      </c>
      <c r="B3325" s="2" t="s">
        <v>654</v>
      </c>
      <c r="C3325" s="2" t="s">
        <v>2050</v>
      </c>
      <c r="D3325" s="2" t="s">
        <v>26</v>
      </c>
      <c r="E3325" s="2" t="s">
        <v>19</v>
      </c>
      <c r="F3325" s="2">
        <v>8.709769791E9</v>
      </c>
    </row>
    <row r="3326" ht="15.75" customHeight="1">
      <c r="A3326" s="2" t="s">
        <v>374</v>
      </c>
      <c r="B3326" s="2" t="s">
        <v>3040</v>
      </c>
      <c r="C3326" s="2" t="s">
        <v>370</v>
      </c>
      <c r="D3326" s="2" t="s">
        <v>29</v>
      </c>
      <c r="E3326" s="2" t="s">
        <v>19</v>
      </c>
      <c r="F3326" s="2">
        <v>8.162241924E9</v>
      </c>
    </row>
    <row r="3327" ht="15.75" customHeight="1">
      <c r="A3327" s="2" t="s">
        <v>126</v>
      </c>
      <c r="B3327" s="2" t="s">
        <v>922</v>
      </c>
      <c r="C3327" s="2" t="s">
        <v>1998</v>
      </c>
      <c r="D3327" s="2" t="s">
        <v>56</v>
      </c>
      <c r="E3327" s="2" t="s">
        <v>19</v>
      </c>
      <c r="F3327" s="2">
        <v>9.863273626E9</v>
      </c>
    </row>
    <row r="3328" ht="15.75" customHeight="1">
      <c r="A3328" s="2" t="s">
        <v>208</v>
      </c>
      <c r="B3328" s="2" t="s">
        <v>618</v>
      </c>
      <c r="C3328" s="2" t="s">
        <v>2811</v>
      </c>
      <c r="D3328" s="2" t="s">
        <v>26</v>
      </c>
      <c r="E3328" s="2" t="s">
        <v>255</v>
      </c>
      <c r="F3328" s="2">
        <v>6.723641768E9</v>
      </c>
    </row>
    <row r="3329" ht="15.75" customHeight="1">
      <c r="A3329" s="2" t="s">
        <v>175</v>
      </c>
      <c r="B3329" s="2" t="s">
        <v>3041</v>
      </c>
      <c r="C3329" s="2" t="s">
        <v>3042</v>
      </c>
      <c r="D3329" s="2" t="s">
        <v>44</v>
      </c>
      <c r="E3329" s="2" t="s">
        <v>23</v>
      </c>
      <c r="F3329" s="2">
        <v>9.884762426E9</v>
      </c>
    </row>
    <row r="3330" ht="15.75" customHeight="1">
      <c r="A3330" s="2" t="s">
        <v>1092</v>
      </c>
      <c r="B3330" s="2" t="s">
        <v>117</v>
      </c>
      <c r="C3330" s="2" t="s">
        <v>230</v>
      </c>
      <c r="D3330" s="2" t="s">
        <v>29</v>
      </c>
      <c r="E3330" s="2" t="s">
        <v>19</v>
      </c>
      <c r="F3330" s="2">
        <v>8.092332041E9</v>
      </c>
    </row>
    <row r="3331" ht="15.75" customHeight="1">
      <c r="A3331" s="2" t="s">
        <v>628</v>
      </c>
      <c r="B3331" s="2" t="s">
        <v>2864</v>
      </c>
      <c r="C3331" s="2" t="s">
        <v>354</v>
      </c>
      <c r="D3331" s="2" t="s">
        <v>26</v>
      </c>
      <c r="E3331" s="2" t="s">
        <v>19</v>
      </c>
      <c r="F3331" s="2">
        <v>8.789955684E9</v>
      </c>
    </row>
    <row r="3332" ht="15.75" customHeight="1">
      <c r="A3332" s="2" t="s">
        <v>579</v>
      </c>
      <c r="B3332" s="2" t="s">
        <v>50</v>
      </c>
      <c r="C3332" s="2" t="s">
        <v>1355</v>
      </c>
      <c r="D3332" s="2" t="s">
        <v>9</v>
      </c>
      <c r="E3332" s="2" t="s">
        <v>19</v>
      </c>
      <c r="F3332" s="2">
        <v>8.434583158E9</v>
      </c>
    </row>
    <row r="3333" ht="15.75" customHeight="1">
      <c r="A3333" s="2" t="s">
        <v>1222</v>
      </c>
      <c r="B3333" s="2" t="s">
        <v>88</v>
      </c>
      <c r="C3333" s="2" t="s">
        <v>1355</v>
      </c>
      <c r="D3333" s="2" t="s">
        <v>9</v>
      </c>
      <c r="E3333" s="2" t="s">
        <v>19</v>
      </c>
      <c r="F3333" s="2">
        <v>9.835704569E9</v>
      </c>
    </row>
    <row r="3334" ht="15.75" customHeight="1">
      <c r="A3334" s="2" t="s">
        <v>208</v>
      </c>
      <c r="B3334" s="2" t="s">
        <v>2087</v>
      </c>
      <c r="C3334" s="2" t="s">
        <v>83</v>
      </c>
      <c r="D3334" s="2" t="s">
        <v>44</v>
      </c>
      <c r="E3334" s="2" t="s">
        <v>255</v>
      </c>
      <c r="F3334" s="2">
        <v>7.903527461E9</v>
      </c>
    </row>
    <row r="3335" ht="15.75" customHeight="1">
      <c r="A3335" s="2" t="s">
        <v>1221</v>
      </c>
      <c r="B3335" s="2" t="s">
        <v>3043</v>
      </c>
      <c r="C3335" s="2" t="s">
        <v>2855</v>
      </c>
      <c r="D3335" s="2" t="s">
        <v>56</v>
      </c>
      <c r="E3335" s="2" t="s">
        <v>19</v>
      </c>
      <c r="F3335" s="2">
        <v>8.709282272E9</v>
      </c>
    </row>
    <row r="3336" ht="15.75" customHeight="1">
      <c r="A3336" s="2" t="s">
        <v>1230</v>
      </c>
      <c r="B3336" s="2" t="s">
        <v>312</v>
      </c>
      <c r="C3336" s="2" t="s">
        <v>354</v>
      </c>
      <c r="D3336" s="2" t="s">
        <v>26</v>
      </c>
      <c r="E3336" s="2" t="s">
        <v>19</v>
      </c>
      <c r="F3336" s="2">
        <v>7.90308973E9</v>
      </c>
    </row>
    <row r="3337" ht="15.75" customHeight="1">
      <c r="A3337" s="2" t="s">
        <v>3044</v>
      </c>
      <c r="B3337" s="2" t="s">
        <v>75</v>
      </c>
      <c r="C3337" s="2" t="s">
        <v>1036</v>
      </c>
      <c r="D3337" s="2" t="s">
        <v>102</v>
      </c>
      <c r="E3337" s="2" t="s">
        <v>19</v>
      </c>
      <c r="F3337" s="2">
        <v>9.131534563E9</v>
      </c>
    </row>
    <row r="3338" ht="15.75" customHeight="1">
      <c r="A3338" s="2" t="s">
        <v>3045</v>
      </c>
      <c r="B3338" s="2" t="s">
        <v>50</v>
      </c>
      <c r="C3338" s="2" t="s">
        <v>370</v>
      </c>
      <c r="D3338" s="2" t="s">
        <v>56</v>
      </c>
      <c r="E3338" s="2" t="s">
        <v>19</v>
      </c>
      <c r="F3338" s="2">
        <v>6.205392163E9</v>
      </c>
    </row>
    <row r="3339" ht="15.75" customHeight="1">
      <c r="A3339" s="2" t="s">
        <v>631</v>
      </c>
      <c r="B3339" s="2" t="s">
        <v>153</v>
      </c>
      <c r="C3339" s="2" t="s">
        <v>1010</v>
      </c>
      <c r="D3339" s="2" t="s">
        <v>26</v>
      </c>
      <c r="E3339" s="2" t="s">
        <v>19</v>
      </c>
      <c r="F3339" s="2">
        <v>9.508757423E9</v>
      </c>
    </row>
    <row r="3340" ht="15.75" customHeight="1">
      <c r="A3340" s="2" t="s">
        <v>1230</v>
      </c>
      <c r="B3340" s="2" t="s">
        <v>119</v>
      </c>
      <c r="C3340" s="2" t="s">
        <v>300</v>
      </c>
      <c r="D3340" s="2" t="s">
        <v>56</v>
      </c>
      <c r="E3340" s="2" t="s">
        <v>19</v>
      </c>
      <c r="F3340" s="2">
        <v>7.902333024E9</v>
      </c>
    </row>
    <row r="3341" ht="15.75" customHeight="1">
      <c r="A3341" s="2" t="s">
        <v>3006</v>
      </c>
      <c r="B3341" s="2" t="s">
        <v>212</v>
      </c>
      <c r="C3341" s="2" t="s">
        <v>246</v>
      </c>
      <c r="D3341" s="2" t="s">
        <v>29</v>
      </c>
      <c r="E3341" s="2" t="s">
        <v>255</v>
      </c>
      <c r="F3341" s="2">
        <v>9.79831562E9</v>
      </c>
    </row>
    <row r="3342" ht="15.75" customHeight="1">
      <c r="A3342" s="2" t="s">
        <v>3046</v>
      </c>
      <c r="B3342" s="2" t="s">
        <v>63</v>
      </c>
      <c r="C3342" s="2" t="s">
        <v>1355</v>
      </c>
      <c r="D3342" s="2" t="s">
        <v>9</v>
      </c>
      <c r="E3342" s="2" t="s">
        <v>19</v>
      </c>
      <c r="F3342" s="2">
        <v>9.386364311E9</v>
      </c>
    </row>
    <row r="3343" ht="15.75" customHeight="1">
      <c r="A3343" s="2" t="s">
        <v>175</v>
      </c>
      <c r="B3343" s="2" t="s">
        <v>1254</v>
      </c>
      <c r="C3343" s="2" t="s">
        <v>3047</v>
      </c>
      <c r="D3343" s="2" t="s">
        <v>29</v>
      </c>
      <c r="E3343" s="2" t="s">
        <v>255</v>
      </c>
      <c r="F3343" s="2">
        <v>7.488108699E9</v>
      </c>
    </row>
    <row r="3344" ht="15.75" customHeight="1">
      <c r="A3344" s="2" t="s">
        <v>3048</v>
      </c>
      <c r="B3344" s="2" t="s">
        <v>50</v>
      </c>
      <c r="C3344" s="2" t="s">
        <v>1355</v>
      </c>
      <c r="D3344" s="2" t="s">
        <v>9</v>
      </c>
      <c r="E3344" s="2" t="s">
        <v>19</v>
      </c>
      <c r="F3344" s="2">
        <v>9.263408342E9</v>
      </c>
    </row>
    <row r="3345" ht="15.75" customHeight="1">
      <c r="A3345" s="2" t="s">
        <v>2351</v>
      </c>
      <c r="B3345" s="2" t="s">
        <v>50</v>
      </c>
      <c r="C3345" s="2" t="s">
        <v>300</v>
      </c>
      <c r="D3345" s="2" t="s">
        <v>44</v>
      </c>
      <c r="E3345" s="2" t="s">
        <v>19</v>
      </c>
      <c r="F3345" s="2">
        <v>9.162066612E9</v>
      </c>
    </row>
    <row r="3346" ht="15.75" customHeight="1">
      <c r="A3346" s="2" t="s">
        <v>1289</v>
      </c>
      <c r="B3346" s="2" t="s">
        <v>88</v>
      </c>
      <c r="C3346" s="2" t="s">
        <v>1355</v>
      </c>
      <c r="D3346" s="2" t="s">
        <v>9</v>
      </c>
      <c r="E3346" s="2" t="s">
        <v>19</v>
      </c>
      <c r="F3346" s="2">
        <v>6.200216385E9</v>
      </c>
    </row>
    <row r="3347" ht="15.75" customHeight="1">
      <c r="A3347" s="2" t="s">
        <v>3049</v>
      </c>
      <c r="B3347" s="2" t="s">
        <v>3050</v>
      </c>
      <c r="C3347" s="2" t="s">
        <v>323</v>
      </c>
      <c r="D3347" s="2" t="s">
        <v>26</v>
      </c>
      <c r="E3347" s="2" t="s">
        <v>282</v>
      </c>
      <c r="F3347" s="2">
        <v>8.511742959E9</v>
      </c>
    </row>
    <row r="3348" ht="15.75" customHeight="1">
      <c r="A3348" s="2" t="s">
        <v>1429</v>
      </c>
      <c r="B3348" s="2" t="s">
        <v>2164</v>
      </c>
      <c r="C3348" s="2" t="s">
        <v>1355</v>
      </c>
      <c r="D3348" s="2" t="s">
        <v>29</v>
      </c>
      <c r="E3348" s="2" t="s">
        <v>19</v>
      </c>
      <c r="F3348" s="2">
        <v>8.340591775E9</v>
      </c>
    </row>
    <row r="3349" ht="15.75" customHeight="1">
      <c r="A3349" s="2" t="s">
        <v>1767</v>
      </c>
      <c r="B3349" s="2" t="s">
        <v>1663</v>
      </c>
      <c r="C3349" s="2" t="s">
        <v>1036</v>
      </c>
      <c r="D3349" s="2" t="s">
        <v>56</v>
      </c>
      <c r="E3349" s="2" t="s">
        <v>19</v>
      </c>
      <c r="F3349" s="2">
        <v>7.903960315E9</v>
      </c>
    </row>
    <row r="3350" ht="15.75" customHeight="1">
      <c r="A3350" s="2" t="s">
        <v>3006</v>
      </c>
      <c r="B3350" s="2" t="s">
        <v>88</v>
      </c>
      <c r="C3350" s="2" t="s">
        <v>246</v>
      </c>
      <c r="D3350" s="2" t="s">
        <v>26</v>
      </c>
      <c r="E3350" s="2" t="s">
        <v>255</v>
      </c>
      <c r="F3350" s="2">
        <v>9.570151718E9</v>
      </c>
    </row>
    <row r="3351" ht="15.75" customHeight="1">
      <c r="A3351" s="2" t="s">
        <v>2305</v>
      </c>
      <c r="B3351" s="2" t="s">
        <v>50</v>
      </c>
      <c r="C3351" s="2" t="s">
        <v>1355</v>
      </c>
      <c r="D3351" s="2" t="s">
        <v>9</v>
      </c>
      <c r="E3351" s="2" t="s">
        <v>19</v>
      </c>
      <c r="F3351" s="2">
        <v>9.162913758E9</v>
      </c>
    </row>
    <row r="3352" ht="15.75" customHeight="1">
      <c r="A3352" s="2" t="s">
        <v>3051</v>
      </c>
      <c r="B3352" s="2" t="s">
        <v>882</v>
      </c>
      <c r="C3352" s="2" t="s">
        <v>2744</v>
      </c>
      <c r="D3352" s="2" t="s">
        <v>26</v>
      </c>
      <c r="E3352" s="2" t="s">
        <v>402</v>
      </c>
      <c r="F3352" s="2">
        <v>9.925413259E9</v>
      </c>
    </row>
    <row r="3353" ht="15.75" customHeight="1">
      <c r="A3353" s="2" t="s">
        <v>3052</v>
      </c>
      <c r="B3353" s="2" t="s">
        <v>654</v>
      </c>
      <c r="C3353" s="2" t="s">
        <v>3005</v>
      </c>
      <c r="D3353" s="2" t="s">
        <v>9</v>
      </c>
      <c r="E3353" s="2" t="s">
        <v>19</v>
      </c>
      <c r="F3353" s="2">
        <v>7.20985116E9</v>
      </c>
    </row>
    <row r="3354" ht="15.75" customHeight="1">
      <c r="A3354" s="2" t="s">
        <v>1985</v>
      </c>
      <c r="B3354" s="2" t="s">
        <v>203</v>
      </c>
      <c r="C3354" s="2" t="s">
        <v>3053</v>
      </c>
      <c r="D3354" s="2" t="s">
        <v>26</v>
      </c>
      <c r="E3354" s="2" t="s">
        <v>255</v>
      </c>
      <c r="F3354" s="2">
        <v>6.309024838E9</v>
      </c>
    </row>
    <row r="3355" ht="15.75" customHeight="1">
      <c r="A3355" s="2" t="s">
        <v>3054</v>
      </c>
      <c r="B3355" s="2" t="s">
        <v>153</v>
      </c>
      <c r="C3355" s="2" t="s">
        <v>237</v>
      </c>
      <c r="D3355" s="2" t="s">
        <v>14</v>
      </c>
      <c r="E3355" s="2" t="s">
        <v>255</v>
      </c>
      <c r="F3355" s="2">
        <v>9.470333848E9</v>
      </c>
    </row>
    <row r="3356" ht="15.75" customHeight="1">
      <c r="A3356" s="2" t="s">
        <v>1255</v>
      </c>
      <c r="B3356" s="2" t="s">
        <v>50</v>
      </c>
      <c r="C3356" s="2" t="s">
        <v>354</v>
      </c>
      <c r="D3356" s="2" t="s">
        <v>26</v>
      </c>
      <c r="E3356" s="2" t="s">
        <v>19</v>
      </c>
      <c r="F3356" s="2">
        <v>8.709091659E9</v>
      </c>
    </row>
    <row r="3357" ht="15.75" customHeight="1">
      <c r="A3357" s="2" t="s">
        <v>3055</v>
      </c>
      <c r="B3357" s="2" t="s">
        <v>50</v>
      </c>
      <c r="C3357" s="2" t="s">
        <v>305</v>
      </c>
      <c r="D3357" s="2" t="s">
        <v>29</v>
      </c>
      <c r="E3357" s="2" t="s">
        <v>19</v>
      </c>
      <c r="F3357" s="2">
        <v>8.825336893E9</v>
      </c>
    </row>
    <row r="3358" ht="15.75" customHeight="1">
      <c r="A3358" s="2" t="s">
        <v>1783</v>
      </c>
      <c r="B3358" s="2" t="s">
        <v>276</v>
      </c>
      <c r="C3358" s="2" t="s">
        <v>763</v>
      </c>
      <c r="D3358" s="2" t="s">
        <v>26</v>
      </c>
      <c r="E3358" s="2" t="s">
        <v>19</v>
      </c>
      <c r="F3358" s="2">
        <v>6.200216385E9</v>
      </c>
    </row>
    <row r="3359" ht="15.75" customHeight="1">
      <c r="A3359" s="2" t="s">
        <v>1218</v>
      </c>
      <c r="B3359" s="2" t="s">
        <v>225</v>
      </c>
      <c r="C3359" s="2" t="s">
        <v>3056</v>
      </c>
      <c r="D3359" s="2" t="s">
        <v>26</v>
      </c>
      <c r="E3359" s="2" t="s">
        <v>19</v>
      </c>
      <c r="F3359" s="2">
        <v>9.801726606E9</v>
      </c>
    </row>
    <row r="3360" ht="15.75" customHeight="1">
      <c r="A3360" s="2" t="s">
        <v>994</v>
      </c>
      <c r="B3360" s="2" t="s">
        <v>52</v>
      </c>
      <c r="C3360" s="2" t="s">
        <v>246</v>
      </c>
      <c r="D3360" s="2" t="s">
        <v>29</v>
      </c>
      <c r="E3360" s="2" t="s">
        <v>255</v>
      </c>
      <c r="F3360" s="2">
        <v>9.304199621E9</v>
      </c>
    </row>
    <row r="3361" ht="15.75" customHeight="1">
      <c r="A3361" s="2" t="s">
        <v>1079</v>
      </c>
      <c r="B3361" s="2" t="s">
        <v>50</v>
      </c>
      <c r="C3361" s="2" t="s">
        <v>729</v>
      </c>
      <c r="D3361" s="2" t="s">
        <v>44</v>
      </c>
      <c r="E3361" s="2" t="s">
        <v>19</v>
      </c>
      <c r="F3361" s="2">
        <v>6.287672747E9</v>
      </c>
    </row>
    <row r="3362" ht="15.75" customHeight="1">
      <c r="A3362" s="2" t="s">
        <v>571</v>
      </c>
      <c r="B3362" s="2" t="s">
        <v>960</v>
      </c>
      <c r="C3362" s="2" t="s">
        <v>1024</v>
      </c>
      <c r="D3362" s="2" t="s">
        <v>56</v>
      </c>
      <c r="E3362" s="2" t="s">
        <v>19</v>
      </c>
      <c r="F3362" s="2">
        <v>7.209788174E9</v>
      </c>
    </row>
    <row r="3363" ht="15.75" customHeight="1">
      <c r="A3363" s="2" t="s">
        <v>96</v>
      </c>
      <c r="B3363" s="2" t="s">
        <v>1848</v>
      </c>
      <c r="C3363" s="2" t="s">
        <v>576</v>
      </c>
      <c r="D3363" s="2" t="s">
        <v>56</v>
      </c>
      <c r="E3363" s="2" t="s">
        <v>19</v>
      </c>
      <c r="F3363" s="2">
        <v>6.206846701E9</v>
      </c>
    </row>
    <row r="3364" ht="15.75" customHeight="1">
      <c r="A3364" s="2" t="s">
        <v>2109</v>
      </c>
      <c r="B3364" s="2" t="s">
        <v>520</v>
      </c>
      <c r="C3364" s="2" t="s">
        <v>1024</v>
      </c>
      <c r="D3364" s="2" t="s">
        <v>14</v>
      </c>
      <c r="E3364" s="2" t="s">
        <v>19</v>
      </c>
      <c r="F3364" s="2">
        <v>8.340146217E9</v>
      </c>
    </row>
    <row r="3365" ht="15.75" customHeight="1">
      <c r="A3365" s="2" t="s">
        <v>1295</v>
      </c>
      <c r="B3365" s="2" t="s">
        <v>3057</v>
      </c>
      <c r="C3365" s="2" t="s">
        <v>3058</v>
      </c>
      <c r="D3365" s="2" t="s">
        <v>14</v>
      </c>
      <c r="E3365" s="2" t="s">
        <v>402</v>
      </c>
      <c r="F3365" s="2">
        <v>7.043020605E9</v>
      </c>
    </row>
    <row r="3366" ht="15.75" customHeight="1">
      <c r="A3366" s="2" t="s">
        <v>3059</v>
      </c>
      <c r="B3366" s="2" t="s">
        <v>55</v>
      </c>
      <c r="C3366" s="2" t="s">
        <v>1355</v>
      </c>
      <c r="D3366" s="2" t="s">
        <v>9</v>
      </c>
      <c r="E3366" s="2" t="s">
        <v>19</v>
      </c>
      <c r="F3366" s="2">
        <v>9.835701171E9</v>
      </c>
    </row>
    <row r="3367" ht="15.75" customHeight="1">
      <c r="A3367" s="2" t="s">
        <v>175</v>
      </c>
      <c r="B3367" s="2" t="s">
        <v>982</v>
      </c>
      <c r="C3367" s="2" t="s">
        <v>246</v>
      </c>
      <c r="D3367" s="2" t="s">
        <v>29</v>
      </c>
      <c r="E3367" s="2" t="s">
        <v>255</v>
      </c>
      <c r="F3367" s="2">
        <v>7.667970759E9</v>
      </c>
    </row>
    <row r="3368" ht="15.75" customHeight="1">
      <c r="A3368" s="2" t="s">
        <v>1239</v>
      </c>
      <c r="B3368" s="2" t="s">
        <v>119</v>
      </c>
      <c r="C3368" s="2" t="s">
        <v>2900</v>
      </c>
      <c r="D3368" s="2" t="s">
        <v>102</v>
      </c>
      <c r="E3368" s="2" t="s">
        <v>19</v>
      </c>
      <c r="F3368" s="2">
        <v>9.110934427E9</v>
      </c>
    </row>
    <row r="3369" ht="15.75" customHeight="1">
      <c r="A3369" s="2" t="s">
        <v>525</v>
      </c>
      <c r="B3369" s="2" t="s">
        <v>50</v>
      </c>
      <c r="C3369" s="2" t="s">
        <v>343</v>
      </c>
      <c r="D3369" s="2" t="s">
        <v>29</v>
      </c>
      <c r="E3369" s="2" t="s">
        <v>19</v>
      </c>
      <c r="F3369" s="2">
        <v>8.271049926E9</v>
      </c>
    </row>
    <row r="3370" ht="15.75" customHeight="1">
      <c r="A3370" s="2" t="s">
        <v>3060</v>
      </c>
      <c r="B3370" s="2" t="s">
        <v>3060</v>
      </c>
      <c r="C3370" s="2" t="s">
        <v>2070</v>
      </c>
      <c r="D3370" s="2" t="s">
        <v>26</v>
      </c>
      <c r="E3370" s="2" t="s">
        <v>19</v>
      </c>
      <c r="F3370" s="2">
        <v>6.204392042E9</v>
      </c>
    </row>
    <row r="3371" ht="15.75" customHeight="1">
      <c r="A3371" s="2" t="s">
        <v>3061</v>
      </c>
      <c r="B3371" s="2" t="s">
        <v>382</v>
      </c>
      <c r="C3371" s="2" t="s">
        <v>1024</v>
      </c>
      <c r="D3371" s="2" t="s">
        <v>56</v>
      </c>
      <c r="E3371" s="2" t="s">
        <v>19</v>
      </c>
      <c r="F3371" s="2">
        <v>9.8355847E9</v>
      </c>
    </row>
    <row r="3372" ht="15.75" customHeight="1">
      <c r="A3372" s="2" t="s">
        <v>1294</v>
      </c>
      <c r="B3372" s="2" t="s">
        <v>50</v>
      </c>
      <c r="C3372" s="2" t="s">
        <v>300</v>
      </c>
      <c r="D3372" s="2" t="s">
        <v>26</v>
      </c>
      <c r="E3372" s="2" t="s">
        <v>19</v>
      </c>
      <c r="F3372" s="2">
        <v>8.229811705E9</v>
      </c>
    </row>
    <row r="3373" ht="15.75" customHeight="1">
      <c r="A3373" s="2" t="s">
        <v>3062</v>
      </c>
      <c r="B3373" s="2" t="s">
        <v>212</v>
      </c>
      <c r="C3373" s="2" t="s">
        <v>627</v>
      </c>
      <c r="D3373" s="2" t="s">
        <v>26</v>
      </c>
      <c r="E3373" s="2" t="s">
        <v>19</v>
      </c>
      <c r="F3373" s="2">
        <v>9.89396555E9</v>
      </c>
    </row>
    <row r="3374" ht="15.75" customHeight="1">
      <c r="A3374" s="2" t="s">
        <v>2774</v>
      </c>
      <c r="B3374" s="2" t="s">
        <v>960</v>
      </c>
      <c r="C3374" s="2" t="s">
        <v>763</v>
      </c>
      <c r="D3374" s="2" t="s">
        <v>26</v>
      </c>
      <c r="E3374" s="2" t="s">
        <v>19</v>
      </c>
      <c r="F3374" s="2">
        <v>9.338762426E9</v>
      </c>
    </row>
    <row r="3375" ht="15.75" customHeight="1">
      <c r="A3375" s="2" t="s">
        <v>3063</v>
      </c>
      <c r="B3375" s="2" t="s">
        <v>119</v>
      </c>
      <c r="C3375" s="2" t="s">
        <v>3064</v>
      </c>
      <c r="D3375" s="2" t="s">
        <v>29</v>
      </c>
      <c r="E3375" s="2" t="s">
        <v>19</v>
      </c>
      <c r="F3375" s="2">
        <v>7.99117077E9</v>
      </c>
    </row>
    <row r="3376" ht="15.75" customHeight="1">
      <c r="A3376" s="2" t="s">
        <v>159</v>
      </c>
      <c r="B3376" s="2" t="s">
        <v>55</v>
      </c>
      <c r="C3376" s="2" t="s">
        <v>370</v>
      </c>
      <c r="D3376" s="2" t="s">
        <v>56</v>
      </c>
      <c r="E3376" s="2" t="s">
        <v>255</v>
      </c>
      <c r="F3376" s="2">
        <v>6.201558356E9</v>
      </c>
    </row>
    <row r="3377" ht="15.75" customHeight="1">
      <c r="A3377" s="2" t="s">
        <v>3065</v>
      </c>
      <c r="B3377" s="2" t="s">
        <v>3066</v>
      </c>
      <c r="C3377" s="2" t="s">
        <v>2659</v>
      </c>
      <c r="D3377" s="2" t="s">
        <v>26</v>
      </c>
      <c r="E3377" s="2" t="s">
        <v>282</v>
      </c>
      <c r="F3377" s="2">
        <v>9.898660099E9</v>
      </c>
    </row>
    <row r="3378" ht="15.75" customHeight="1">
      <c r="A3378" s="2" t="s">
        <v>833</v>
      </c>
      <c r="B3378" s="2" t="s">
        <v>50</v>
      </c>
      <c r="C3378" s="2" t="s">
        <v>1010</v>
      </c>
      <c r="D3378" s="2" t="s">
        <v>26</v>
      </c>
      <c r="E3378" s="2" t="s">
        <v>19</v>
      </c>
      <c r="F3378" s="2">
        <v>8.409167983E9</v>
      </c>
    </row>
    <row r="3379" ht="15.75" customHeight="1">
      <c r="A3379" s="2" t="s">
        <v>3067</v>
      </c>
      <c r="B3379" s="2" t="s">
        <v>63</v>
      </c>
      <c r="C3379" s="2" t="s">
        <v>729</v>
      </c>
      <c r="D3379" s="2" t="s">
        <v>26</v>
      </c>
      <c r="E3379" s="2" t="s">
        <v>19</v>
      </c>
      <c r="F3379" s="2">
        <v>6.206053257E9</v>
      </c>
    </row>
    <row r="3380" ht="15.75" customHeight="1">
      <c r="A3380" s="2" t="s">
        <v>3068</v>
      </c>
      <c r="B3380" s="2" t="s">
        <v>3068</v>
      </c>
      <c r="C3380" s="2" t="s">
        <v>106</v>
      </c>
      <c r="D3380" s="2" t="s">
        <v>26</v>
      </c>
      <c r="E3380" s="2" t="s">
        <v>19</v>
      </c>
      <c r="F3380" s="2">
        <v>7.549930979E9</v>
      </c>
    </row>
    <row r="3381" ht="15.75" customHeight="1">
      <c r="A3381" s="2" t="s">
        <v>3069</v>
      </c>
      <c r="B3381" s="2" t="s">
        <v>312</v>
      </c>
      <c r="C3381" s="2" t="s">
        <v>3005</v>
      </c>
      <c r="D3381" s="2" t="s">
        <v>26</v>
      </c>
      <c r="E3381" s="2" t="s">
        <v>19</v>
      </c>
      <c r="F3381" s="2">
        <v>7.00417793E9</v>
      </c>
    </row>
    <row r="3382" ht="15.75" customHeight="1">
      <c r="A3382" s="2" t="s">
        <v>3070</v>
      </c>
      <c r="B3382" s="2" t="s">
        <v>119</v>
      </c>
      <c r="C3382" s="2" t="s">
        <v>1355</v>
      </c>
      <c r="D3382" s="2" t="s">
        <v>9</v>
      </c>
      <c r="E3382" s="2" t="s">
        <v>19</v>
      </c>
      <c r="F3382" s="2">
        <v>9.905127421E9</v>
      </c>
    </row>
    <row r="3383" ht="15.75" customHeight="1">
      <c r="A3383" s="2" t="s">
        <v>3071</v>
      </c>
      <c r="B3383" s="2" t="s">
        <v>50</v>
      </c>
      <c r="C3383" s="2" t="s">
        <v>3072</v>
      </c>
      <c r="D3383" s="2" t="s">
        <v>29</v>
      </c>
      <c r="E3383" s="2" t="s">
        <v>19</v>
      </c>
      <c r="F3383" s="2">
        <v>9.162310781E9</v>
      </c>
    </row>
    <row r="3384" ht="15.75" customHeight="1">
      <c r="A3384" s="2" t="s">
        <v>1164</v>
      </c>
      <c r="B3384" s="2" t="s">
        <v>212</v>
      </c>
      <c r="C3384" s="2" t="s">
        <v>3073</v>
      </c>
      <c r="D3384" s="2" t="s">
        <v>56</v>
      </c>
      <c r="E3384" s="2" t="s">
        <v>19</v>
      </c>
      <c r="F3384" s="2">
        <v>9.523440267E9</v>
      </c>
    </row>
    <row r="3385" ht="15.75" customHeight="1">
      <c r="A3385" s="2" t="s">
        <v>3074</v>
      </c>
      <c r="B3385" s="2" t="s">
        <v>75</v>
      </c>
      <c r="C3385" s="2" t="s">
        <v>3075</v>
      </c>
      <c r="D3385" s="2" t="s">
        <v>26</v>
      </c>
      <c r="E3385" s="2" t="s">
        <v>434</v>
      </c>
      <c r="F3385" s="2">
        <v>9.98710483E9</v>
      </c>
    </row>
    <row r="3386" ht="15.75" customHeight="1">
      <c r="A3386" s="2" t="s">
        <v>3076</v>
      </c>
      <c r="B3386" s="2" t="s">
        <v>606</v>
      </c>
      <c r="C3386" s="2" t="s">
        <v>1792</v>
      </c>
      <c r="D3386" s="2" t="s">
        <v>44</v>
      </c>
      <c r="E3386" s="2" t="s">
        <v>19</v>
      </c>
      <c r="F3386" s="2">
        <v>9.304529365E9</v>
      </c>
    </row>
    <row r="3387" ht="15.75" customHeight="1">
      <c r="A3387" s="2" t="s">
        <v>417</v>
      </c>
      <c r="B3387" s="2" t="s">
        <v>65</v>
      </c>
      <c r="C3387" s="2" t="s">
        <v>1010</v>
      </c>
      <c r="D3387" s="2" t="s">
        <v>26</v>
      </c>
      <c r="E3387" s="2" t="s">
        <v>19</v>
      </c>
      <c r="F3387" s="2">
        <v>9.905363755E9</v>
      </c>
    </row>
    <row r="3388" ht="15.75" customHeight="1">
      <c r="A3388" s="2" t="s">
        <v>2492</v>
      </c>
      <c r="B3388" s="2" t="s">
        <v>119</v>
      </c>
      <c r="C3388" s="2" t="s">
        <v>3077</v>
      </c>
      <c r="D3388" s="2" t="s">
        <v>26</v>
      </c>
      <c r="E3388" s="2" t="s">
        <v>19</v>
      </c>
      <c r="F3388" s="2">
        <v>7.079016989E9</v>
      </c>
    </row>
    <row r="3389" ht="15.75" customHeight="1">
      <c r="A3389" s="2" t="s">
        <v>1205</v>
      </c>
      <c r="B3389" s="2" t="s">
        <v>50</v>
      </c>
      <c r="C3389" s="2" t="s">
        <v>1408</v>
      </c>
      <c r="D3389" s="2" t="s">
        <v>102</v>
      </c>
      <c r="E3389" s="2" t="s">
        <v>19</v>
      </c>
      <c r="F3389" s="2">
        <v>9.304760482E9</v>
      </c>
    </row>
    <row r="3390" ht="15.75" customHeight="1">
      <c r="A3390" s="2" t="s">
        <v>3078</v>
      </c>
      <c r="B3390" s="2" t="s">
        <v>119</v>
      </c>
      <c r="C3390" s="2" t="s">
        <v>235</v>
      </c>
      <c r="D3390" s="2" t="s">
        <v>26</v>
      </c>
      <c r="E3390" s="2" t="s">
        <v>19</v>
      </c>
      <c r="F3390" s="2">
        <v>9.899199921E9</v>
      </c>
    </row>
    <row r="3391" ht="15.75" customHeight="1">
      <c r="A3391" s="2" t="s">
        <v>2276</v>
      </c>
      <c r="B3391" s="2" t="s">
        <v>3079</v>
      </c>
      <c r="C3391" s="2" t="s">
        <v>2782</v>
      </c>
      <c r="D3391" s="2" t="s">
        <v>29</v>
      </c>
      <c r="E3391" s="2" t="s">
        <v>19</v>
      </c>
      <c r="F3391" s="2">
        <v>9.939336101E9</v>
      </c>
    </row>
    <row r="3392" ht="15.75" customHeight="1">
      <c r="A3392" s="2" t="s">
        <v>456</v>
      </c>
      <c r="B3392" s="2" t="s">
        <v>50</v>
      </c>
      <c r="C3392" s="2" t="s">
        <v>650</v>
      </c>
      <c r="D3392" s="2" t="s">
        <v>9</v>
      </c>
      <c r="E3392" s="2" t="s">
        <v>19</v>
      </c>
      <c r="F3392" s="2">
        <v>7.050895873E9</v>
      </c>
    </row>
    <row r="3393" ht="15.75" customHeight="1">
      <c r="A3393" s="2" t="s">
        <v>525</v>
      </c>
      <c r="B3393" s="2" t="s">
        <v>50</v>
      </c>
      <c r="C3393" s="2" t="s">
        <v>2782</v>
      </c>
      <c r="D3393" s="2" t="s">
        <v>29</v>
      </c>
      <c r="E3393" s="2" t="s">
        <v>19</v>
      </c>
      <c r="F3393" s="2">
        <v>8.87706456E9</v>
      </c>
    </row>
    <row r="3394" ht="15.75" customHeight="1">
      <c r="A3394" s="2" t="s">
        <v>2523</v>
      </c>
      <c r="B3394" s="2" t="s">
        <v>50</v>
      </c>
      <c r="C3394" s="2" t="s">
        <v>3064</v>
      </c>
      <c r="D3394" s="2" t="s">
        <v>29</v>
      </c>
      <c r="E3394" s="2" t="s">
        <v>19</v>
      </c>
      <c r="F3394" s="2">
        <v>9.939687491E9</v>
      </c>
    </row>
    <row r="3395" ht="15.75" customHeight="1">
      <c r="A3395" s="2" t="s">
        <v>3080</v>
      </c>
      <c r="B3395" s="2" t="s">
        <v>1265</v>
      </c>
      <c r="C3395" s="2" t="s">
        <v>627</v>
      </c>
      <c r="D3395" s="2" t="s">
        <v>56</v>
      </c>
      <c r="E3395" s="2" t="s">
        <v>19</v>
      </c>
      <c r="F3395" s="2">
        <v>9.508998769E9</v>
      </c>
    </row>
    <row r="3396" ht="15.75" customHeight="1">
      <c r="A3396" s="2" t="s">
        <v>525</v>
      </c>
      <c r="B3396" s="2" t="s">
        <v>382</v>
      </c>
      <c r="C3396" s="2" t="s">
        <v>1487</v>
      </c>
      <c r="D3396" s="2" t="s">
        <v>56</v>
      </c>
      <c r="E3396" s="2" t="s">
        <v>19</v>
      </c>
      <c r="F3396" s="2">
        <v>9.522225399E9</v>
      </c>
    </row>
    <row r="3397" ht="15.75" customHeight="1">
      <c r="A3397" s="2" t="s">
        <v>3081</v>
      </c>
      <c r="B3397" s="2" t="s">
        <v>1298</v>
      </c>
      <c r="C3397" s="2" t="s">
        <v>763</v>
      </c>
      <c r="D3397" s="2" t="s">
        <v>26</v>
      </c>
      <c r="E3397" s="2" t="s">
        <v>19</v>
      </c>
      <c r="F3397" s="2">
        <v>9.060785415E9</v>
      </c>
    </row>
    <row r="3398" ht="15.75" customHeight="1">
      <c r="A3398" s="2" t="s">
        <v>456</v>
      </c>
      <c r="B3398" s="2" t="s">
        <v>1090</v>
      </c>
      <c r="C3398" s="2" t="s">
        <v>867</v>
      </c>
      <c r="D3398" s="2" t="s">
        <v>56</v>
      </c>
      <c r="E3398" s="2" t="s">
        <v>19</v>
      </c>
      <c r="F3398" s="2">
        <v>7.903233024E9</v>
      </c>
    </row>
    <row r="3399" ht="15.75" customHeight="1">
      <c r="A3399" s="2" t="s">
        <v>3082</v>
      </c>
      <c r="B3399" s="2" t="s">
        <v>3083</v>
      </c>
      <c r="C3399" s="2" t="s">
        <v>235</v>
      </c>
      <c r="D3399" s="2" t="s">
        <v>26</v>
      </c>
      <c r="E3399" s="2" t="s">
        <v>19</v>
      </c>
      <c r="F3399" s="2">
        <v>8.987869199E9</v>
      </c>
    </row>
    <row r="3400" ht="15.75" customHeight="1">
      <c r="A3400" s="2" t="s">
        <v>578</v>
      </c>
      <c r="B3400" s="2" t="s">
        <v>225</v>
      </c>
      <c r="C3400" s="2" t="s">
        <v>1010</v>
      </c>
      <c r="D3400" s="2" t="s">
        <v>102</v>
      </c>
      <c r="E3400" s="2" t="s">
        <v>19</v>
      </c>
      <c r="F3400" s="2">
        <v>8.252196446E9</v>
      </c>
    </row>
    <row r="3401" ht="15.75" customHeight="1">
      <c r="A3401" s="2" t="s">
        <v>1654</v>
      </c>
      <c r="B3401" s="2" t="s">
        <v>50</v>
      </c>
      <c r="C3401" s="2" t="s">
        <v>592</v>
      </c>
      <c r="D3401" s="2" t="s">
        <v>26</v>
      </c>
      <c r="E3401" s="2" t="s">
        <v>19</v>
      </c>
      <c r="F3401" s="2">
        <v>7.369026238E9</v>
      </c>
    </row>
    <row r="3402" ht="15.75" customHeight="1">
      <c r="A3402" s="2" t="s">
        <v>1218</v>
      </c>
      <c r="B3402" s="2" t="s">
        <v>1287</v>
      </c>
      <c r="C3402" s="2" t="s">
        <v>2782</v>
      </c>
      <c r="D3402" s="2" t="s">
        <v>9</v>
      </c>
      <c r="E3402" s="2" t="s">
        <v>19</v>
      </c>
      <c r="F3402" s="2">
        <v>9.955310062E9</v>
      </c>
    </row>
    <row r="3403" ht="15.75" customHeight="1">
      <c r="A3403" s="2" t="s">
        <v>3084</v>
      </c>
      <c r="B3403" s="2" t="s">
        <v>112</v>
      </c>
      <c r="C3403" s="2" t="s">
        <v>1487</v>
      </c>
      <c r="D3403" s="2" t="s">
        <v>14</v>
      </c>
      <c r="E3403" s="2" t="s">
        <v>19</v>
      </c>
      <c r="F3403" s="2">
        <v>8.340544834E9</v>
      </c>
    </row>
    <row r="3404" ht="15.75" customHeight="1">
      <c r="A3404" s="2" t="s">
        <v>299</v>
      </c>
      <c r="B3404" s="2" t="s">
        <v>50</v>
      </c>
      <c r="C3404" s="2" t="s">
        <v>2070</v>
      </c>
      <c r="D3404" s="2" t="s">
        <v>102</v>
      </c>
      <c r="E3404" s="2" t="s">
        <v>19</v>
      </c>
      <c r="F3404" s="2">
        <v>7.992286819E9</v>
      </c>
    </row>
    <row r="3405" ht="15.75" customHeight="1">
      <c r="A3405" s="2" t="s">
        <v>1188</v>
      </c>
      <c r="B3405" s="2" t="s">
        <v>65</v>
      </c>
      <c r="C3405" s="2" t="s">
        <v>343</v>
      </c>
      <c r="D3405" s="2" t="s">
        <v>29</v>
      </c>
      <c r="E3405" s="2" t="s">
        <v>19</v>
      </c>
      <c r="F3405" s="2">
        <v>8.340501336E9</v>
      </c>
    </row>
    <row r="3406" ht="15.75" customHeight="1">
      <c r="A3406" s="2" t="s">
        <v>1481</v>
      </c>
      <c r="B3406" s="2" t="s">
        <v>3085</v>
      </c>
      <c r="C3406" s="2" t="s">
        <v>662</v>
      </c>
      <c r="D3406" s="2" t="s">
        <v>26</v>
      </c>
      <c r="E3406" s="2" t="s">
        <v>19</v>
      </c>
      <c r="F3406" s="2">
        <v>8.789451802E9</v>
      </c>
    </row>
    <row r="3407" ht="15.75" customHeight="1">
      <c r="A3407" s="2" t="s">
        <v>2209</v>
      </c>
      <c r="B3407" s="2" t="s">
        <v>220</v>
      </c>
      <c r="C3407" s="2" t="s">
        <v>1010</v>
      </c>
      <c r="D3407" s="2" t="s">
        <v>26</v>
      </c>
      <c r="E3407" s="2" t="s">
        <v>19</v>
      </c>
      <c r="F3407" s="2">
        <v>9.304849317E9</v>
      </c>
    </row>
    <row r="3408" ht="15.75" customHeight="1">
      <c r="A3408" s="2" t="s">
        <v>356</v>
      </c>
      <c r="B3408" s="2" t="s">
        <v>654</v>
      </c>
      <c r="C3408" s="2" t="s">
        <v>2782</v>
      </c>
      <c r="D3408" s="2" t="s">
        <v>29</v>
      </c>
      <c r="E3408" s="2" t="s">
        <v>19</v>
      </c>
      <c r="F3408" s="2">
        <v>9.93154022E9</v>
      </c>
    </row>
    <row r="3409" ht="15.75" customHeight="1">
      <c r="A3409" s="2" t="s">
        <v>3086</v>
      </c>
      <c r="B3409" s="2" t="s">
        <v>2358</v>
      </c>
      <c r="C3409" s="2" t="s">
        <v>640</v>
      </c>
      <c r="D3409" s="2" t="s">
        <v>26</v>
      </c>
      <c r="E3409" s="2" t="s">
        <v>19</v>
      </c>
      <c r="F3409" s="2">
        <v>7.820221212E9</v>
      </c>
    </row>
    <row r="3410" ht="15.75" customHeight="1">
      <c r="A3410" s="2" t="s">
        <v>405</v>
      </c>
      <c r="B3410" s="2" t="s">
        <v>50</v>
      </c>
      <c r="C3410" s="2" t="s">
        <v>2782</v>
      </c>
      <c r="D3410" s="2" t="s">
        <v>29</v>
      </c>
      <c r="E3410" s="2" t="s">
        <v>19</v>
      </c>
      <c r="F3410" s="2">
        <v>9.431158582E9</v>
      </c>
    </row>
    <row r="3411" ht="15.75" customHeight="1">
      <c r="A3411" s="2" t="s">
        <v>636</v>
      </c>
      <c r="B3411" s="2" t="s">
        <v>654</v>
      </c>
      <c r="C3411" s="2" t="s">
        <v>1792</v>
      </c>
      <c r="D3411" s="2" t="s">
        <v>26</v>
      </c>
      <c r="E3411" s="2" t="s">
        <v>19</v>
      </c>
      <c r="F3411" s="2">
        <v>6.207923531E9</v>
      </c>
    </row>
    <row r="3412" ht="15.75" customHeight="1">
      <c r="A3412" s="2" t="s">
        <v>3087</v>
      </c>
      <c r="B3412" s="2" t="s">
        <v>312</v>
      </c>
      <c r="C3412" s="2" t="s">
        <v>354</v>
      </c>
      <c r="D3412" s="2" t="s">
        <v>26</v>
      </c>
      <c r="E3412" s="2" t="s">
        <v>19</v>
      </c>
      <c r="F3412" s="2">
        <v>6.202831321E9</v>
      </c>
    </row>
    <row r="3413" ht="15.75" customHeight="1">
      <c r="A3413" s="2" t="s">
        <v>1149</v>
      </c>
      <c r="B3413" s="2" t="s">
        <v>55</v>
      </c>
      <c r="C3413" s="2" t="s">
        <v>3088</v>
      </c>
      <c r="D3413" s="2" t="s">
        <v>9</v>
      </c>
      <c r="E3413" s="2" t="s">
        <v>19</v>
      </c>
      <c r="F3413" s="2">
        <v>7.091578222E9</v>
      </c>
    </row>
    <row r="3414" ht="15.75" customHeight="1">
      <c r="A3414" s="2" t="s">
        <v>2448</v>
      </c>
      <c r="B3414" s="2" t="s">
        <v>312</v>
      </c>
      <c r="C3414" s="2" t="s">
        <v>2050</v>
      </c>
      <c r="D3414" s="2" t="s">
        <v>26</v>
      </c>
      <c r="E3414" s="2" t="s">
        <v>19</v>
      </c>
      <c r="F3414" s="2">
        <v>7.367042813E9</v>
      </c>
    </row>
    <row r="3415" ht="15.75" customHeight="1">
      <c r="A3415" s="2" t="s">
        <v>3089</v>
      </c>
      <c r="B3415" s="2" t="s">
        <v>1362</v>
      </c>
      <c r="C3415" s="2" t="s">
        <v>1519</v>
      </c>
      <c r="D3415" s="2" t="s">
        <v>56</v>
      </c>
      <c r="E3415" s="2" t="s">
        <v>19</v>
      </c>
      <c r="F3415" s="2">
        <v>9.905503097E9</v>
      </c>
    </row>
    <row r="3416" ht="15.75" customHeight="1">
      <c r="A3416" s="2" t="s">
        <v>3090</v>
      </c>
      <c r="B3416" s="2" t="s">
        <v>2164</v>
      </c>
      <c r="C3416" s="2" t="s">
        <v>354</v>
      </c>
      <c r="D3416" s="2" t="s">
        <v>26</v>
      </c>
      <c r="E3416" s="2" t="s">
        <v>19</v>
      </c>
      <c r="F3416" s="2">
        <v>9.102313844E9</v>
      </c>
    </row>
    <row r="3417" ht="15.75" customHeight="1">
      <c r="A3417" s="2" t="s">
        <v>1383</v>
      </c>
      <c r="B3417" s="2" t="s">
        <v>50</v>
      </c>
      <c r="C3417" s="2" t="s">
        <v>2782</v>
      </c>
      <c r="D3417" s="2" t="s">
        <v>9</v>
      </c>
      <c r="E3417" s="2" t="s">
        <v>19</v>
      </c>
      <c r="F3417" s="2">
        <v>9.534086614E9</v>
      </c>
    </row>
    <row r="3418" ht="15.75" customHeight="1">
      <c r="A3418" s="2" t="s">
        <v>3091</v>
      </c>
      <c r="B3418" s="2" t="s">
        <v>3092</v>
      </c>
      <c r="C3418" s="2" t="s">
        <v>2842</v>
      </c>
      <c r="D3418" s="2" t="s">
        <v>26</v>
      </c>
      <c r="E3418" s="2" t="s">
        <v>19</v>
      </c>
      <c r="F3418" s="2">
        <v>9.308317871E9</v>
      </c>
    </row>
    <row r="3419" ht="15.75" customHeight="1">
      <c r="A3419" s="2" t="s">
        <v>3093</v>
      </c>
      <c r="B3419" s="2" t="s">
        <v>63</v>
      </c>
      <c r="C3419" s="2" t="s">
        <v>1637</v>
      </c>
      <c r="D3419" s="2" t="s">
        <v>26</v>
      </c>
      <c r="E3419" s="2" t="s">
        <v>19</v>
      </c>
      <c r="F3419" s="2">
        <v>8.434915808E9</v>
      </c>
    </row>
    <row r="3420" ht="15.75" customHeight="1">
      <c r="A3420" s="2" t="s">
        <v>3094</v>
      </c>
      <c r="B3420" s="2" t="s">
        <v>63</v>
      </c>
      <c r="C3420" s="2" t="s">
        <v>289</v>
      </c>
      <c r="D3420" s="2" t="s">
        <v>56</v>
      </c>
      <c r="E3420" s="2" t="s">
        <v>19</v>
      </c>
      <c r="F3420" s="2">
        <v>9.483229089E9</v>
      </c>
    </row>
    <row r="3421" ht="15.75" customHeight="1">
      <c r="A3421" s="2" t="s">
        <v>3095</v>
      </c>
      <c r="B3421" s="2" t="s">
        <v>117</v>
      </c>
      <c r="C3421" s="2" t="s">
        <v>3096</v>
      </c>
      <c r="D3421" s="2" t="s">
        <v>9</v>
      </c>
      <c r="E3421" s="2" t="s">
        <v>19</v>
      </c>
      <c r="F3421" s="2">
        <v>8.304800415E9</v>
      </c>
    </row>
    <row r="3422" ht="15.75" customHeight="1">
      <c r="A3422" s="2" t="s">
        <v>579</v>
      </c>
      <c r="B3422" s="2" t="s">
        <v>50</v>
      </c>
      <c r="C3422" s="2" t="s">
        <v>2782</v>
      </c>
      <c r="D3422" s="2" t="s">
        <v>9</v>
      </c>
      <c r="E3422" s="2" t="s">
        <v>19</v>
      </c>
      <c r="F3422" s="2">
        <v>7.004652177E9</v>
      </c>
    </row>
    <row r="3423" ht="15.75" customHeight="1">
      <c r="A3423" s="2" t="s">
        <v>895</v>
      </c>
      <c r="B3423" s="2" t="s">
        <v>119</v>
      </c>
      <c r="C3423" s="2" t="s">
        <v>354</v>
      </c>
      <c r="D3423" s="2" t="s">
        <v>26</v>
      </c>
      <c r="E3423" s="2" t="s">
        <v>19</v>
      </c>
      <c r="F3423" s="2">
        <v>7.991144861E9</v>
      </c>
    </row>
    <row r="3424" ht="15.75" customHeight="1">
      <c r="A3424" s="2" t="s">
        <v>1263</v>
      </c>
      <c r="B3424" s="2" t="s">
        <v>832</v>
      </c>
      <c r="C3424" s="2" t="s">
        <v>3088</v>
      </c>
      <c r="D3424" s="2" t="s">
        <v>9</v>
      </c>
      <c r="E3424" s="2" t="s">
        <v>19</v>
      </c>
      <c r="F3424" s="2">
        <v>9.955564985E9</v>
      </c>
    </row>
    <row r="3425" ht="15.75" customHeight="1">
      <c r="A3425" s="2" t="s">
        <v>507</v>
      </c>
      <c r="B3425" s="2" t="s">
        <v>50</v>
      </c>
      <c r="C3425" s="2" t="s">
        <v>1487</v>
      </c>
      <c r="D3425" s="2" t="s">
        <v>56</v>
      </c>
      <c r="E3425" s="2" t="s">
        <v>19</v>
      </c>
      <c r="F3425" s="2">
        <v>9.835570362E9</v>
      </c>
    </row>
    <row r="3426" ht="15.75" customHeight="1">
      <c r="A3426" s="2" t="s">
        <v>2490</v>
      </c>
      <c r="B3426" s="2" t="s">
        <v>443</v>
      </c>
      <c r="C3426" s="2" t="s">
        <v>3097</v>
      </c>
      <c r="D3426" s="2" t="s">
        <v>56</v>
      </c>
      <c r="E3426" s="2" t="s">
        <v>282</v>
      </c>
      <c r="F3426" s="2">
        <v>9.825733947E9</v>
      </c>
    </row>
    <row r="3427" ht="15.75" customHeight="1">
      <c r="A3427" s="2" t="s">
        <v>94</v>
      </c>
      <c r="B3427" s="2" t="s">
        <v>63</v>
      </c>
      <c r="C3427" s="2" t="s">
        <v>2782</v>
      </c>
      <c r="D3427" s="2" t="s">
        <v>9</v>
      </c>
      <c r="E3427" s="2" t="s">
        <v>19</v>
      </c>
      <c r="F3427" s="2">
        <v>9.934189987E9</v>
      </c>
    </row>
    <row r="3428" ht="15.75" customHeight="1">
      <c r="A3428" s="2" t="s">
        <v>895</v>
      </c>
      <c r="B3428" s="2" t="s">
        <v>1540</v>
      </c>
      <c r="C3428" s="2" t="s">
        <v>3005</v>
      </c>
      <c r="D3428" s="2" t="s">
        <v>26</v>
      </c>
      <c r="E3428" s="2" t="s">
        <v>19</v>
      </c>
      <c r="F3428" s="2">
        <v>9.905580106E9</v>
      </c>
    </row>
    <row r="3429" ht="15.75" customHeight="1">
      <c r="A3429" s="2" t="s">
        <v>205</v>
      </c>
      <c r="B3429" s="2" t="s">
        <v>225</v>
      </c>
      <c r="C3429" s="2" t="s">
        <v>3056</v>
      </c>
      <c r="D3429" s="2" t="s">
        <v>26</v>
      </c>
      <c r="E3429" s="2" t="s">
        <v>19</v>
      </c>
      <c r="F3429" s="2">
        <v>9.304849317E9</v>
      </c>
    </row>
    <row r="3430" ht="15.75" customHeight="1">
      <c r="A3430" s="2" t="s">
        <v>545</v>
      </c>
      <c r="B3430" s="2" t="s">
        <v>483</v>
      </c>
      <c r="C3430" s="2" t="s">
        <v>2050</v>
      </c>
      <c r="D3430" s="2" t="s">
        <v>26</v>
      </c>
      <c r="E3430" s="2" t="s">
        <v>19</v>
      </c>
      <c r="F3430" s="2">
        <v>9.53405149E9</v>
      </c>
    </row>
    <row r="3431" ht="15.75" customHeight="1">
      <c r="A3431" s="2" t="s">
        <v>565</v>
      </c>
      <c r="B3431" s="2" t="s">
        <v>312</v>
      </c>
      <c r="C3431" s="2" t="s">
        <v>2083</v>
      </c>
      <c r="D3431" s="2" t="s">
        <v>26</v>
      </c>
      <c r="E3431" s="2" t="s">
        <v>19</v>
      </c>
      <c r="F3431" s="2">
        <v>8.40907633E9</v>
      </c>
    </row>
    <row r="3432" ht="15.75" customHeight="1">
      <c r="A3432" s="2" t="s">
        <v>3098</v>
      </c>
      <c r="B3432" s="2" t="s">
        <v>3099</v>
      </c>
      <c r="C3432" s="2" t="s">
        <v>3100</v>
      </c>
      <c r="D3432" s="2" t="s">
        <v>29</v>
      </c>
      <c r="E3432" s="2" t="s">
        <v>19</v>
      </c>
      <c r="F3432" s="2">
        <v>8.789656188E9</v>
      </c>
    </row>
    <row r="3433" ht="15.75" customHeight="1">
      <c r="A3433" s="2" t="s">
        <v>96</v>
      </c>
      <c r="B3433" s="2" t="s">
        <v>63</v>
      </c>
      <c r="C3433" s="2" t="s">
        <v>761</v>
      </c>
      <c r="D3433" s="2" t="s">
        <v>56</v>
      </c>
      <c r="E3433" s="2" t="s">
        <v>19</v>
      </c>
      <c r="F3433" s="2">
        <v>8.79932865E9</v>
      </c>
    </row>
    <row r="3434" ht="15.75" customHeight="1">
      <c r="A3434" s="2" t="s">
        <v>234</v>
      </c>
      <c r="B3434" s="2" t="s">
        <v>2217</v>
      </c>
      <c r="C3434" s="2" t="s">
        <v>1066</v>
      </c>
      <c r="D3434" s="2" t="s">
        <v>44</v>
      </c>
      <c r="E3434" s="2" t="s">
        <v>19</v>
      </c>
      <c r="F3434" s="2">
        <v>6.204595359E9</v>
      </c>
    </row>
    <row r="3435" ht="15.75" customHeight="1">
      <c r="A3435" s="2" t="s">
        <v>3101</v>
      </c>
      <c r="B3435" s="2" t="s">
        <v>55</v>
      </c>
      <c r="C3435" s="2" t="s">
        <v>3102</v>
      </c>
      <c r="D3435" s="2" t="s">
        <v>26</v>
      </c>
      <c r="E3435" s="2" t="s">
        <v>2542</v>
      </c>
      <c r="F3435" s="2">
        <v>9.470373457E9</v>
      </c>
    </row>
    <row r="3436" ht="15.75" customHeight="1">
      <c r="A3436" s="2" t="s">
        <v>1660</v>
      </c>
      <c r="B3436" s="2" t="s">
        <v>50</v>
      </c>
      <c r="C3436" s="2" t="s">
        <v>2782</v>
      </c>
      <c r="D3436" s="2" t="s">
        <v>9</v>
      </c>
      <c r="E3436" s="2" t="s">
        <v>19</v>
      </c>
      <c r="F3436" s="2">
        <v>9.5700594E9</v>
      </c>
    </row>
    <row r="3437" ht="15.75" customHeight="1">
      <c r="A3437" s="2" t="s">
        <v>1915</v>
      </c>
      <c r="B3437" s="2" t="s">
        <v>312</v>
      </c>
      <c r="C3437" s="2" t="s">
        <v>2070</v>
      </c>
      <c r="D3437" s="2" t="s">
        <v>56</v>
      </c>
      <c r="E3437" s="2" t="s">
        <v>19</v>
      </c>
      <c r="F3437" s="2">
        <v>9.110088117E9</v>
      </c>
    </row>
    <row r="3438" ht="15.75" customHeight="1">
      <c r="A3438" s="2" t="s">
        <v>3103</v>
      </c>
      <c r="B3438" s="2" t="s">
        <v>2808</v>
      </c>
      <c r="C3438" s="2" t="s">
        <v>3104</v>
      </c>
      <c r="D3438" s="2" t="s">
        <v>56</v>
      </c>
      <c r="E3438" s="2" t="s">
        <v>3105</v>
      </c>
      <c r="F3438" s="2">
        <v>9.741091586E9</v>
      </c>
    </row>
    <row r="3439" ht="15.75" customHeight="1">
      <c r="A3439" s="2" t="s">
        <v>1180</v>
      </c>
      <c r="B3439" s="2" t="s">
        <v>3106</v>
      </c>
      <c r="C3439" s="2" t="s">
        <v>1010</v>
      </c>
      <c r="D3439" s="2" t="s">
        <v>26</v>
      </c>
      <c r="E3439" s="2" t="s">
        <v>19</v>
      </c>
      <c r="F3439" s="2">
        <v>6.207299385E9</v>
      </c>
    </row>
    <row r="3440" ht="15.75" customHeight="1">
      <c r="A3440" s="2" t="s">
        <v>125</v>
      </c>
      <c r="B3440" s="2" t="s">
        <v>78</v>
      </c>
      <c r="C3440" s="2" t="s">
        <v>2653</v>
      </c>
      <c r="D3440" s="2" t="s">
        <v>26</v>
      </c>
      <c r="E3440" s="2" t="s">
        <v>282</v>
      </c>
      <c r="F3440" s="2">
        <v>9.723136184E9</v>
      </c>
    </row>
    <row r="3441" ht="15.75" customHeight="1">
      <c r="A3441" s="2" t="s">
        <v>1871</v>
      </c>
      <c r="B3441" s="2" t="s">
        <v>1954</v>
      </c>
      <c r="C3441" s="2" t="s">
        <v>2050</v>
      </c>
      <c r="D3441" s="2" t="s">
        <v>9</v>
      </c>
      <c r="E3441" s="2" t="s">
        <v>19</v>
      </c>
      <c r="F3441" s="2">
        <v>8.809766391E9</v>
      </c>
    </row>
    <row r="3442" ht="15.75" customHeight="1">
      <c r="A3442" s="2" t="s">
        <v>535</v>
      </c>
      <c r="B3442" s="2" t="s">
        <v>1848</v>
      </c>
      <c r="C3442" s="2" t="s">
        <v>1010</v>
      </c>
      <c r="D3442" s="2" t="s">
        <v>26</v>
      </c>
      <c r="E3442" s="2" t="s">
        <v>19</v>
      </c>
      <c r="F3442" s="2">
        <v>7.632984311E9</v>
      </c>
    </row>
    <row r="3443" ht="15.75" customHeight="1">
      <c r="A3443" s="2" t="s">
        <v>406</v>
      </c>
      <c r="B3443" s="2" t="s">
        <v>3107</v>
      </c>
      <c r="C3443" s="2" t="s">
        <v>763</v>
      </c>
      <c r="D3443" s="2" t="s">
        <v>56</v>
      </c>
      <c r="E3443" s="2" t="s">
        <v>19</v>
      </c>
      <c r="F3443" s="2">
        <v>8.709663372E9</v>
      </c>
    </row>
    <row r="3444" ht="15.75" customHeight="1">
      <c r="A3444" s="2" t="s">
        <v>3108</v>
      </c>
      <c r="B3444" s="2" t="s">
        <v>88</v>
      </c>
      <c r="C3444" s="2" t="s">
        <v>763</v>
      </c>
      <c r="D3444" s="2" t="s">
        <v>56</v>
      </c>
      <c r="E3444" s="2" t="s">
        <v>19</v>
      </c>
      <c r="F3444" s="2">
        <v>7.77104008E9</v>
      </c>
    </row>
    <row r="3445" ht="15.75" customHeight="1">
      <c r="A3445" s="2" t="s">
        <v>3109</v>
      </c>
      <c r="B3445" s="2" t="s">
        <v>108</v>
      </c>
      <c r="C3445" s="2" t="s">
        <v>592</v>
      </c>
      <c r="D3445" s="2" t="s">
        <v>29</v>
      </c>
      <c r="E3445" s="2" t="s">
        <v>19</v>
      </c>
      <c r="F3445" s="2">
        <v>9.060325179E9</v>
      </c>
    </row>
    <row r="3446" ht="15.75" customHeight="1">
      <c r="A3446" s="2" t="s">
        <v>3110</v>
      </c>
      <c r="B3446" s="2" t="s">
        <v>50</v>
      </c>
      <c r="C3446" s="2" t="s">
        <v>1066</v>
      </c>
      <c r="D3446" s="2" t="s">
        <v>26</v>
      </c>
      <c r="E3446" s="2" t="s">
        <v>19</v>
      </c>
      <c r="F3446" s="2">
        <v>8.434630686E9</v>
      </c>
    </row>
    <row r="3447" ht="15.75" customHeight="1">
      <c r="A3447" s="2" t="s">
        <v>2226</v>
      </c>
      <c r="B3447" s="2" t="s">
        <v>65</v>
      </c>
      <c r="C3447" s="2" t="s">
        <v>2050</v>
      </c>
      <c r="D3447" s="2" t="s">
        <v>26</v>
      </c>
      <c r="E3447" s="2" t="s">
        <v>19</v>
      </c>
      <c r="F3447" s="2">
        <v>8.252860811E9</v>
      </c>
    </row>
    <row r="3448" ht="15.75" customHeight="1">
      <c r="A3448" s="2" t="s">
        <v>3111</v>
      </c>
      <c r="B3448" s="2" t="s">
        <v>3112</v>
      </c>
      <c r="C3448" s="2" t="s">
        <v>1010</v>
      </c>
      <c r="D3448" s="2" t="s">
        <v>26</v>
      </c>
      <c r="E3448" s="2" t="s">
        <v>19</v>
      </c>
      <c r="F3448" s="2">
        <v>9.142772172E9</v>
      </c>
    </row>
    <row r="3449" ht="15.75" customHeight="1">
      <c r="A3449" s="2" t="s">
        <v>1230</v>
      </c>
      <c r="B3449" s="2" t="s">
        <v>63</v>
      </c>
      <c r="C3449" s="2" t="s">
        <v>729</v>
      </c>
      <c r="D3449" s="2" t="s">
        <v>26</v>
      </c>
      <c r="E3449" s="2" t="s">
        <v>19</v>
      </c>
      <c r="F3449" s="2">
        <v>6.202905428E9</v>
      </c>
    </row>
    <row r="3450" ht="15.75" customHeight="1">
      <c r="A3450" s="2" t="s">
        <v>3113</v>
      </c>
      <c r="B3450" s="2" t="s">
        <v>119</v>
      </c>
      <c r="C3450" s="2" t="s">
        <v>2050</v>
      </c>
      <c r="D3450" s="2" t="s">
        <v>26</v>
      </c>
      <c r="E3450" s="2" t="s">
        <v>19</v>
      </c>
      <c r="F3450" s="2">
        <v>7.485816737E9</v>
      </c>
    </row>
    <row r="3451" ht="15.75" customHeight="1">
      <c r="A3451" s="2" t="s">
        <v>1700</v>
      </c>
      <c r="B3451" s="2" t="s">
        <v>63</v>
      </c>
      <c r="C3451" s="2" t="s">
        <v>3114</v>
      </c>
      <c r="D3451" s="2" t="s">
        <v>26</v>
      </c>
      <c r="E3451" s="2" t="s">
        <v>19</v>
      </c>
      <c r="F3451" s="2">
        <v>8.304804395E9</v>
      </c>
    </row>
    <row r="3452" ht="15.75" customHeight="1">
      <c r="A3452" s="2" t="s">
        <v>3115</v>
      </c>
      <c r="B3452" s="2" t="s">
        <v>276</v>
      </c>
      <c r="C3452" s="2" t="s">
        <v>821</v>
      </c>
      <c r="D3452" s="2" t="s">
        <v>26</v>
      </c>
      <c r="E3452" s="2" t="s">
        <v>19</v>
      </c>
      <c r="F3452" s="2">
        <v>9.340829308E9</v>
      </c>
    </row>
    <row r="3453" ht="15.75" customHeight="1">
      <c r="A3453" s="2" t="s">
        <v>3116</v>
      </c>
      <c r="B3453" s="2" t="s">
        <v>50</v>
      </c>
      <c r="C3453" s="2" t="s">
        <v>3117</v>
      </c>
      <c r="D3453" s="2" t="s">
        <v>9</v>
      </c>
      <c r="E3453" s="2" t="s">
        <v>19</v>
      </c>
      <c r="F3453" s="2">
        <v>9.142758923E9</v>
      </c>
    </row>
    <row r="3454" ht="15.75" customHeight="1">
      <c r="A3454" s="2" t="s">
        <v>3118</v>
      </c>
      <c r="B3454" s="2" t="s">
        <v>119</v>
      </c>
      <c r="C3454" s="2" t="s">
        <v>3119</v>
      </c>
      <c r="D3454" s="2" t="s">
        <v>26</v>
      </c>
      <c r="E3454" s="2" t="s">
        <v>19</v>
      </c>
      <c r="F3454" s="2">
        <v>7.979802305E9</v>
      </c>
    </row>
    <row r="3455" ht="15.75" customHeight="1">
      <c r="A3455" s="2" t="s">
        <v>3120</v>
      </c>
      <c r="B3455" s="2" t="s">
        <v>3120</v>
      </c>
      <c r="C3455" s="2" t="s">
        <v>1010</v>
      </c>
      <c r="D3455" s="2" t="s">
        <v>26</v>
      </c>
      <c r="E3455" s="2" t="s">
        <v>19</v>
      </c>
      <c r="F3455" s="2">
        <v>8.228073113E9</v>
      </c>
    </row>
    <row r="3456" ht="15.75" customHeight="1">
      <c r="A3456" s="2" t="s">
        <v>853</v>
      </c>
      <c r="B3456" s="2" t="s">
        <v>220</v>
      </c>
      <c r="C3456" s="2" t="s">
        <v>2842</v>
      </c>
      <c r="D3456" s="2" t="s">
        <v>56</v>
      </c>
      <c r="E3456" s="2" t="s">
        <v>19</v>
      </c>
      <c r="F3456" s="2">
        <v>6.204392042E9</v>
      </c>
    </row>
    <row r="3457" ht="15.75" customHeight="1">
      <c r="A3457" s="2" t="s">
        <v>3121</v>
      </c>
      <c r="B3457" s="2" t="s">
        <v>55</v>
      </c>
      <c r="C3457" s="2" t="s">
        <v>3122</v>
      </c>
      <c r="D3457" s="2" t="s">
        <v>56</v>
      </c>
      <c r="E3457" s="2" t="s">
        <v>255</v>
      </c>
      <c r="F3457" s="2">
        <v>7.18033428E9</v>
      </c>
    </row>
    <row r="3458" ht="15.75" customHeight="1">
      <c r="A3458" s="2" t="s">
        <v>3123</v>
      </c>
      <c r="B3458" s="2" t="s">
        <v>50</v>
      </c>
      <c r="C3458" s="2" t="s">
        <v>2050</v>
      </c>
      <c r="D3458" s="2" t="s">
        <v>26</v>
      </c>
      <c r="E3458" s="2" t="s">
        <v>19</v>
      </c>
      <c r="F3458" s="2">
        <v>8.797121383E9</v>
      </c>
    </row>
    <row r="3459" ht="15.75" customHeight="1">
      <c r="A3459" s="2" t="s">
        <v>110</v>
      </c>
      <c r="B3459" s="2" t="s">
        <v>50</v>
      </c>
      <c r="C3459" s="2" t="s">
        <v>2782</v>
      </c>
      <c r="D3459" s="2" t="s">
        <v>29</v>
      </c>
      <c r="E3459" s="2" t="s">
        <v>19</v>
      </c>
      <c r="F3459" s="2">
        <v>6.201511231E9</v>
      </c>
    </row>
    <row r="3460" ht="15.75" customHeight="1">
      <c r="A3460" s="2" t="s">
        <v>3124</v>
      </c>
      <c r="B3460" s="2" t="s">
        <v>3125</v>
      </c>
      <c r="C3460" s="2" t="s">
        <v>763</v>
      </c>
      <c r="D3460" s="2" t="s">
        <v>26</v>
      </c>
      <c r="E3460" s="2" t="s">
        <v>19</v>
      </c>
      <c r="F3460" s="2">
        <v>9.006814957E9</v>
      </c>
    </row>
    <row r="3461" ht="15.75" customHeight="1">
      <c r="A3461" s="2" t="s">
        <v>642</v>
      </c>
      <c r="B3461" s="2" t="s">
        <v>3126</v>
      </c>
      <c r="C3461" s="2" t="s">
        <v>3088</v>
      </c>
      <c r="D3461" s="2" t="s">
        <v>29</v>
      </c>
      <c r="E3461" s="2" t="s">
        <v>19</v>
      </c>
      <c r="F3461" s="2">
        <v>7.667973155E9</v>
      </c>
    </row>
    <row r="3462" ht="15.75" customHeight="1">
      <c r="A3462" s="2" t="s">
        <v>130</v>
      </c>
      <c r="B3462" s="2" t="s">
        <v>654</v>
      </c>
      <c r="C3462" s="2" t="s">
        <v>1010</v>
      </c>
      <c r="D3462" s="2" t="s">
        <v>26</v>
      </c>
      <c r="E3462" s="2" t="s">
        <v>19</v>
      </c>
      <c r="F3462" s="2">
        <v>8.434182663E9</v>
      </c>
    </row>
    <row r="3463" ht="15.75" customHeight="1">
      <c r="A3463" s="2" t="s">
        <v>3127</v>
      </c>
      <c r="B3463" s="2" t="s">
        <v>862</v>
      </c>
      <c r="C3463" s="2" t="s">
        <v>3128</v>
      </c>
      <c r="D3463" s="2" t="s">
        <v>9</v>
      </c>
      <c r="E3463" s="2" t="s">
        <v>282</v>
      </c>
      <c r="F3463" s="2">
        <v>9.10663275E9</v>
      </c>
    </row>
    <row r="3464" ht="15.75" customHeight="1">
      <c r="A3464" s="2" t="s">
        <v>152</v>
      </c>
      <c r="B3464" s="2" t="s">
        <v>1134</v>
      </c>
      <c r="C3464" s="2" t="s">
        <v>3129</v>
      </c>
      <c r="D3464" s="2" t="s">
        <v>56</v>
      </c>
      <c r="E3464" s="2" t="s">
        <v>19</v>
      </c>
      <c r="F3464" s="2">
        <v>9.470350643E9</v>
      </c>
    </row>
    <row r="3465" ht="15.75" customHeight="1">
      <c r="A3465" s="2" t="s">
        <v>3130</v>
      </c>
      <c r="B3465" s="2" t="s">
        <v>654</v>
      </c>
      <c r="C3465" s="2" t="s">
        <v>3131</v>
      </c>
      <c r="D3465" s="2" t="s">
        <v>26</v>
      </c>
      <c r="E3465" s="2" t="s">
        <v>19</v>
      </c>
      <c r="F3465" s="2">
        <v>7.033174904E9</v>
      </c>
    </row>
    <row r="3466" ht="15.75" customHeight="1">
      <c r="A3466" s="2" t="s">
        <v>1463</v>
      </c>
      <c r="B3466" s="2" t="s">
        <v>50</v>
      </c>
      <c r="C3466" s="2" t="s">
        <v>3117</v>
      </c>
      <c r="D3466" s="2" t="s">
        <v>9</v>
      </c>
      <c r="E3466" s="2" t="s">
        <v>19</v>
      </c>
      <c r="F3466" s="2">
        <v>7.903498651E9</v>
      </c>
    </row>
    <row r="3467" ht="15.75" customHeight="1">
      <c r="A3467" s="2" t="s">
        <v>456</v>
      </c>
      <c r="B3467" s="2" t="s">
        <v>50</v>
      </c>
      <c r="C3467" s="2" t="s">
        <v>2782</v>
      </c>
      <c r="D3467" s="2" t="s">
        <v>29</v>
      </c>
      <c r="E3467" s="2" t="s">
        <v>19</v>
      </c>
      <c r="F3467" s="2">
        <v>8.298636996E9</v>
      </c>
    </row>
    <row r="3468" ht="15.75" customHeight="1">
      <c r="A3468" s="2" t="s">
        <v>3132</v>
      </c>
      <c r="B3468" s="2" t="s">
        <v>191</v>
      </c>
      <c r="C3468" s="2" t="s">
        <v>3047</v>
      </c>
      <c r="D3468" s="2" t="s">
        <v>9</v>
      </c>
      <c r="E3468" s="2" t="s">
        <v>255</v>
      </c>
      <c r="F3468" s="2">
        <v>7.209176948E9</v>
      </c>
    </row>
    <row r="3469" ht="15.75" customHeight="1">
      <c r="A3469" s="2" t="s">
        <v>1125</v>
      </c>
      <c r="B3469" s="2" t="s">
        <v>170</v>
      </c>
      <c r="C3469" s="2" t="s">
        <v>160</v>
      </c>
      <c r="D3469" s="2" t="s">
        <v>56</v>
      </c>
      <c r="E3469" s="2" t="s">
        <v>19</v>
      </c>
      <c r="F3469" s="2">
        <v>9.47033668E9</v>
      </c>
    </row>
    <row r="3470" ht="15.75" customHeight="1">
      <c r="A3470" s="2" t="s">
        <v>3133</v>
      </c>
      <c r="B3470" s="2" t="s">
        <v>3134</v>
      </c>
      <c r="C3470" s="2" t="s">
        <v>3135</v>
      </c>
      <c r="D3470" s="2" t="s">
        <v>44</v>
      </c>
      <c r="E3470" s="2" t="s">
        <v>402</v>
      </c>
      <c r="F3470" s="2">
        <v>9.106415171E9</v>
      </c>
    </row>
    <row r="3471" ht="15.75" customHeight="1">
      <c r="A3471" s="2" t="s">
        <v>3136</v>
      </c>
      <c r="B3471" s="2" t="s">
        <v>382</v>
      </c>
      <c r="C3471" s="2" t="s">
        <v>1735</v>
      </c>
      <c r="D3471" s="2" t="s">
        <v>14</v>
      </c>
      <c r="E3471" s="2" t="s">
        <v>19</v>
      </c>
      <c r="F3471" s="2">
        <v>9.576565041E9</v>
      </c>
    </row>
    <row r="3472" ht="15.75" customHeight="1">
      <c r="A3472" s="2" t="s">
        <v>1386</v>
      </c>
      <c r="B3472" s="2" t="s">
        <v>50</v>
      </c>
      <c r="C3472" s="2" t="s">
        <v>2782</v>
      </c>
      <c r="D3472" s="2" t="s">
        <v>9</v>
      </c>
      <c r="E3472" s="2" t="s">
        <v>19</v>
      </c>
      <c r="F3472" s="2">
        <v>8.409081504E9</v>
      </c>
    </row>
    <row r="3473" ht="15.75" customHeight="1">
      <c r="A3473" s="2" t="s">
        <v>3137</v>
      </c>
      <c r="B3473" s="2" t="s">
        <v>675</v>
      </c>
      <c r="C3473" s="2" t="s">
        <v>3138</v>
      </c>
      <c r="D3473" s="2" t="s">
        <v>9</v>
      </c>
      <c r="E3473" s="2" t="s">
        <v>402</v>
      </c>
      <c r="F3473" s="2">
        <v>9.376016781E9</v>
      </c>
    </row>
    <row r="3474" ht="15.75" customHeight="1">
      <c r="A3474" s="2" t="s">
        <v>3139</v>
      </c>
      <c r="B3474" s="2" t="s">
        <v>3139</v>
      </c>
      <c r="C3474" s="2" t="s">
        <v>106</v>
      </c>
      <c r="D3474" s="2" t="s">
        <v>26</v>
      </c>
      <c r="E3474" s="2" t="s">
        <v>19</v>
      </c>
      <c r="F3474" s="2">
        <v>8.409077627E9</v>
      </c>
    </row>
    <row r="3475" ht="15.75" customHeight="1">
      <c r="A3475" s="2" t="s">
        <v>927</v>
      </c>
      <c r="B3475" s="2" t="s">
        <v>1134</v>
      </c>
      <c r="C3475" s="2" t="s">
        <v>2842</v>
      </c>
      <c r="D3475" s="2" t="s">
        <v>9</v>
      </c>
      <c r="E3475" s="2" t="s">
        <v>19</v>
      </c>
      <c r="F3475" s="2">
        <v>7.033180475E9</v>
      </c>
    </row>
    <row r="3476" ht="15.75" customHeight="1">
      <c r="A3476" s="2" t="s">
        <v>511</v>
      </c>
      <c r="B3476" s="2" t="s">
        <v>3140</v>
      </c>
      <c r="C3476" s="2" t="s">
        <v>3141</v>
      </c>
      <c r="D3476" s="2" t="s">
        <v>56</v>
      </c>
      <c r="E3476" s="2" t="s">
        <v>434</v>
      </c>
      <c r="F3476" s="2">
        <v>8.108056403E9</v>
      </c>
    </row>
    <row r="3477" ht="15.75" customHeight="1">
      <c r="A3477" s="2" t="s">
        <v>1000</v>
      </c>
      <c r="B3477" s="2" t="s">
        <v>88</v>
      </c>
      <c r="C3477" s="2" t="s">
        <v>3142</v>
      </c>
      <c r="D3477" s="2" t="s">
        <v>56</v>
      </c>
      <c r="E3477" s="2" t="s">
        <v>255</v>
      </c>
      <c r="F3477" s="2">
        <v>7.545976918E9</v>
      </c>
    </row>
    <row r="3478" ht="15.75" customHeight="1">
      <c r="A3478" s="2" t="s">
        <v>3143</v>
      </c>
      <c r="B3478" s="2" t="s">
        <v>63</v>
      </c>
      <c r="C3478" s="2" t="s">
        <v>763</v>
      </c>
      <c r="D3478" s="2" t="s">
        <v>26</v>
      </c>
      <c r="E3478" s="2" t="s">
        <v>19</v>
      </c>
      <c r="F3478" s="2">
        <v>8.109315113E9</v>
      </c>
    </row>
    <row r="3479" ht="15.75" customHeight="1">
      <c r="A3479" s="2" t="s">
        <v>3144</v>
      </c>
      <c r="B3479" s="2" t="s">
        <v>3145</v>
      </c>
      <c r="C3479" s="2" t="s">
        <v>3146</v>
      </c>
      <c r="D3479" s="2" t="s">
        <v>14</v>
      </c>
      <c r="E3479" s="2" t="s">
        <v>402</v>
      </c>
      <c r="F3479" s="2">
        <v>9.879431527E9</v>
      </c>
    </row>
    <row r="3480" ht="15.75" customHeight="1">
      <c r="A3480" s="2" t="s">
        <v>3147</v>
      </c>
      <c r="B3480" s="2" t="s">
        <v>3125</v>
      </c>
      <c r="C3480" s="2" t="s">
        <v>106</v>
      </c>
      <c r="D3480" s="2" t="s">
        <v>26</v>
      </c>
      <c r="E3480" s="2" t="s">
        <v>19</v>
      </c>
      <c r="F3480" s="2">
        <v>9.1226656755E10</v>
      </c>
    </row>
    <row r="3481" ht="15.75" customHeight="1">
      <c r="A3481" s="2" t="s">
        <v>2959</v>
      </c>
      <c r="B3481" s="2" t="s">
        <v>832</v>
      </c>
      <c r="C3481" s="2" t="s">
        <v>3088</v>
      </c>
      <c r="D3481" s="2" t="s">
        <v>9</v>
      </c>
      <c r="E3481" s="2" t="s">
        <v>19</v>
      </c>
      <c r="F3481" s="2">
        <v>7.008767203E9</v>
      </c>
    </row>
    <row r="3482" ht="15.75" customHeight="1">
      <c r="A3482" s="2" t="s">
        <v>49</v>
      </c>
      <c r="B3482" s="2" t="s">
        <v>1954</v>
      </c>
      <c r="C3482" s="2" t="s">
        <v>2782</v>
      </c>
      <c r="D3482" s="2" t="s">
        <v>102</v>
      </c>
      <c r="E3482" s="2" t="s">
        <v>19</v>
      </c>
      <c r="F3482" s="2">
        <v>9.810968987E9</v>
      </c>
    </row>
    <row r="3483" ht="15.75" customHeight="1">
      <c r="A3483" s="2" t="s">
        <v>2218</v>
      </c>
      <c r="B3483" s="2" t="s">
        <v>2388</v>
      </c>
      <c r="C3483" s="2" t="s">
        <v>3135</v>
      </c>
      <c r="D3483" s="2" t="s">
        <v>56</v>
      </c>
      <c r="E3483" s="2" t="s">
        <v>402</v>
      </c>
      <c r="F3483" s="2">
        <v>9.111627554E9</v>
      </c>
    </row>
    <row r="3484" ht="15.75" customHeight="1">
      <c r="A3484" s="2" t="s">
        <v>2370</v>
      </c>
      <c r="B3484" s="2" t="s">
        <v>50</v>
      </c>
      <c r="C3484" s="2" t="s">
        <v>3148</v>
      </c>
      <c r="D3484" s="2" t="s">
        <v>56</v>
      </c>
      <c r="E3484" s="2" t="s">
        <v>19</v>
      </c>
      <c r="F3484" s="2">
        <v>8.051458491E9</v>
      </c>
    </row>
    <row r="3485" ht="15.75" customHeight="1">
      <c r="A3485" s="2" t="s">
        <v>3149</v>
      </c>
      <c r="B3485" s="2" t="s">
        <v>50</v>
      </c>
      <c r="C3485" s="2" t="s">
        <v>2782</v>
      </c>
      <c r="D3485" s="2" t="s">
        <v>29</v>
      </c>
      <c r="E3485" s="2" t="s">
        <v>19</v>
      </c>
      <c r="F3485" s="2">
        <v>9.612496525E9</v>
      </c>
    </row>
    <row r="3486" ht="15.75" customHeight="1">
      <c r="A3486" s="2" t="s">
        <v>3150</v>
      </c>
      <c r="B3486" s="2" t="s">
        <v>654</v>
      </c>
      <c r="C3486" s="2" t="s">
        <v>3151</v>
      </c>
      <c r="D3486" s="2" t="s">
        <v>29</v>
      </c>
      <c r="E3486" s="2" t="s">
        <v>402</v>
      </c>
      <c r="F3486" s="2">
        <v>8.238080895E9</v>
      </c>
    </row>
    <row r="3487" ht="15.75" customHeight="1">
      <c r="A3487" s="2" t="s">
        <v>2436</v>
      </c>
      <c r="B3487" s="2" t="s">
        <v>559</v>
      </c>
      <c r="C3487" s="2" t="s">
        <v>341</v>
      </c>
      <c r="D3487" s="2" t="s">
        <v>56</v>
      </c>
      <c r="E3487" s="2" t="s">
        <v>255</v>
      </c>
      <c r="F3487" s="2">
        <v>9.983826518E9</v>
      </c>
    </row>
    <row r="3488" ht="15.75" customHeight="1">
      <c r="A3488" s="2" t="s">
        <v>3152</v>
      </c>
      <c r="B3488" s="2" t="s">
        <v>63</v>
      </c>
      <c r="C3488" s="2" t="s">
        <v>1066</v>
      </c>
      <c r="D3488" s="2" t="s">
        <v>102</v>
      </c>
      <c r="E3488" s="2" t="s">
        <v>19</v>
      </c>
      <c r="F3488" s="2">
        <v>7.03378005E9</v>
      </c>
    </row>
    <row r="3489" ht="15.75" customHeight="1">
      <c r="A3489" s="2" t="s">
        <v>3153</v>
      </c>
      <c r="B3489" s="2" t="s">
        <v>1134</v>
      </c>
      <c r="C3489" s="2" t="s">
        <v>2842</v>
      </c>
      <c r="D3489" s="2" t="s">
        <v>26</v>
      </c>
      <c r="E3489" s="2" t="s">
        <v>19</v>
      </c>
      <c r="F3489" s="2">
        <v>9.939316901E9</v>
      </c>
    </row>
    <row r="3490" ht="15.75" customHeight="1">
      <c r="A3490" s="2" t="s">
        <v>3154</v>
      </c>
      <c r="B3490" s="2" t="s">
        <v>3155</v>
      </c>
      <c r="C3490" s="2" t="s">
        <v>3156</v>
      </c>
      <c r="D3490" s="2" t="s">
        <v>14</v>
      </c>
      <c r="E3490" s="2" t="s">
        <v>402</v>
      </c>
      <c r="F3490" s="2">
        <v>9.662252489E9</v>
      </c>
    </row>
    <row r="3491" ht="15.75" customHeight="1">
      <c r="A3491" s="2" t="s">
        <v>244</v>
      </c>
      <c r="B3491" s="2" t="s">
        <v>50</v>
      </c>
      <c r="C3491" s="2" t="s">
        <v>2782</v>
      </c>
      <c r="D3491" s="2" t="s">
        <v>102</v>
      </c>
      <c r="E3491" s="2" t="s">
        <v>19</v>
      </c>
      <c r="F3491" s="2">
        <v>7.856931819E9</v>
      </c>
    </row>
    <row r="3492" ht="15.75" customHeight="1">
      <c r="A3492" s="2" t="s">
        <v>3157</v>
      </c>
      <c r="B3492" s="2" t="s">
        <v>63</v>
      </c>
      <c r="C3492" s="2" t="s">
        <v>1637</v>
      </c>
      <c r="D3492" s="2" t="s">
        <v>9</v>
      </c>
      <c r="E3492" s="2" t="s">
        <v>19</v>
      </c>
      <c r="F3492" s="2">
        <v>8.084130023E9</v>
      </c>
    </row>
    <row r="3493" ht="15.75" customHeight="1">
      <c r="A3493" s="2" t="s">
        <v>3158</v>
      </c>
      <c r="B3493" s="2" t="s">
        <v>3159</v>
      </c>
      <c r="C3493" s="2" t="s">
        <v>3160</v>
      </c>
      <c r="D3493" s="2" t="s">
        <v>14</v>
      </c>
      <c r="E3493" s="2" t="s">
        <v>402</v>
      </c>
      <c r="F3493" s="2">
        <v>9.824827031E9</v>
      </c>
    </row>
    <row r="3494" ht="15.75" customHeight="1">
      <c r="A3494" s="2" t="s">
        <v>3161</v>
      </c>
      <c r="B3494" s="2" t="s">
        <v>3162</v>
      </c>
      <c r="C3494" s="2" t="s">
        <v>957</v>
      </c>
      <c r="D3494" s="2" t="s">
        <v>44</v>
      </c>
      <c r="E3494" s="2" t="s">
        <v>19</v>
      </c>
      <c r="F3494" s="2">
        <v>8.438904234E9</v>
      </c>
    </row>
    <row r="3495" ht="15.75" customHeight="1">
      <c r="A3495" s="2" t="s">
        <v>1257</v>
      </c>
      <c r="B3495" s="2" t="s">
        <v>88</v>
      </c>
      <c r="C3495" s="2" t="s">
        <v>592</v>
      </c>
      <c r="D3495" s="2" t="s">
        <v>29</v>
      </c>
      <c r="E3495" s="2" t="s">
        <v>255</v>
      </c>
      <c r="F3495" s="2">
        <v>8.75705775E9</v>
      </c>
    </row>
    <row r="3496" ht="15.75" customHeight="1">
      <c r="A3496" s="2" t="s">
        <v>1389</v>
      </c>
      <c r="B3496" s="2" t="s">
        <v>1848</v>
      </c>
      <c r="C3496" s="2" t="s">
        <v>2070</v>
      </c>
      <c r="D3496" s="2" t="s">
        <v>102</v>
      </c>
      <c r="E3496" s="2" t="s">
        <v>19</v>
      </c>
      <c r="F3496" s="2">
        <v>6.206874475E9</v>
      </c>
    </row>
    <row r="3497" ht="15.75" customHeight="1">
      <c r="A3497" s="2" t="s">
        <v>3163</v>
      </c>
      <c r="B3497" s="2" t="s">
        <v>3164</v>
      </c>
      <c r="C3497" s="2" t="s">
        <v>3156</v>
      </c>
      <c r="D3497" s="2" t="s">
        <v>29</v>
      </c>
      <c r="E3497" s="2" t="s">
        <v>402</v>
      </c>
      <c r="F3497" s="2">
        <v>9.63803616E9</v>
      </c>
    </row>
    <row r="3498" ht="15.75" customHeight="1">
      <c r="A3498" s="2" t="s">
        <v>535</v>
      </c>
      <c r="B3498" s="2" t="s">
        <v>50</v>
      </c>
      <c r="C3498" s="2" t="s">
        <v>3117</v>
      </c>
      <c r="D3498" s="2" t="s">
        <v>29</v>
      </c>
      <c r="E3498" s="2" t="s">
        <v>19</v>
      </c>
      <c r="F3498" s="2">
        <v>6.202936311E9</v>
      </c>
    </row>
    <row r="3499" ht="15.75" customHeight="1">
      <c r="A3499" s="2" t="s">
        <v>1575</v>
      </c>
      <c r="B3499" s="2" t="s">
        <v>63</v>
      </c>
      <c r="C3499" s="2" t="s">
        <v>3165</v>
      </c>
      <c r="D3499" s="2" t="s">
        <v>29</v>
      </c>
      <c r="E3499" s="2" t="s">
        <v>19</v>
      </c>
      <c r="F3499" s="2">
        <v>8.877189222E9</v>
      </c>
    </row>
    <row r="3500" ht="15.75" customHeight="1">
      <c r="A3500" s="2" t="s">
        <v>1857</v>
      </c>
      <c r="B3500" s="2" t="s">
        <v>832</v>
      </c>
      <c r="C3500" s="2" t="s">
        <v>3088</v>
      </c>
      <c r="D3500" s="2" t="s">
        <v>9</v>
      </c>
      <c r="E3500" s="2" t="s">
        <v>19</v>
      </c>
      <c r="F3500" s="2">
        <v>6.200818175E9</v>
      </c>
    </row>
    <row r="3501" ht="15.75" customHeight="1">
      <c r="A3501" s="2" t="s">
        <v>1935</v>
      </c>
      <c r="B3501" s="2" t="s">
        <v>3166</v>
      </c>
      <c r="C3501" s="2" t="s">
        <v>3167</v>
      </c>
      <c r="D3501" s="2" t="s">
        <v>29</v>
      </c>
      <c r="E3501" s="2" t="s">
        <v>255</v>
      </c>
      <c r="F3501" s="2">
        <v>9.608307005E9</v>
      </c>
    </row>
    <row r="3502" ht="15.75" customHeight="1">
      <c r="A3502" s="2" t="s">
        <v>3168</v>
      </c>
      <c r="B3502" s="2" t="s">
        <v>63</v>
      </c>
      <c r="C3502" s="2" t="s">
        <v>729</v>
      </c>
      <c r="D3502" s="2" t="s">
        <v>56</v>
      </c>
      <c r="E3502" s="2" t="s">
        <v>19</v>
      </c>
      <c r="F3502" s="2">
        <v>9.472681931E9</v>
      </c>
    </row>
    <row r="3503" ht="15.75" customHeight="1">
      <c r="A3503" s="2" t="s">
        <v>3169</v>
      </c>
      <c r="B3503" s="2" t="s">
        <v>3170</v>
      </c>
      <c r="C3503" s="2" t="s">
        <v>3171</v>
      </c>
      <c r="D3503" s="2" t="s">
        <v>14</v>
      </c>
      <c r="E3503" s="2" t="s">
        <v>402</v>
      </c>
      <c r="F3503" s="2">
        <v>9.724659359E9</v>
      </c>
    </row>
    <row r="3504" ht="15.75" customHeight="1">
      <c r="A3504" s="2" t="s">
        <v>2384</v>
      </c>
      <c r="B3504" s="2" t="s">
        <v>832</v>
      </c>
      <c r="C3504" s="2" t="s">
        <v>3088</v>
      </c>
      <c r="D3504" s="2" t="s">
        <v>29</v>
      </c>
      <c r="E3504" s="2" t="s">
        <v>19</v>
      </c>
      <c r="F3504" s="2">
        <v>6.205429623E9</v>
      </c>
    </row>
    <row r="3505" ht="15.75" customHeight="1">
      <c r="A3505" s="2" t="s">
        <v>3172</v>
      </c>
      <c r="B3505" s="2" t="s">
        <v>1839</v>
      </c>
      <c r="C3505" s="2" t="s">
        <v>3173</v>
      </c>
      <c r="D3505" s="2" t="s">
        <v>9</v>
      </c>
      <c r="E3505" s="2" t="s">
        <v>19</v>
      </c>
      <c r="F3505" s="2">
        <v>9.507617935E9</v>
      </c>
    </row>
    <row r="3506" ht="15.75" customHeight="1">
      <c r="A3506" s="2" t="s">
        <v>1031</v>
      </c>
      <c r="B3506" s="2" t="s">
        <v>50</v>
      </c>
      <c r="C3506" s="2" t="s">
        <v>2782</v>
      </c>
      <c r="D3506" s="2" t="s">
        <v>102</v>
      </c>
      <c r="E3506" s="2" t="s">
        <v>19</v>
      </c>
      <c r="F3506" s="2">
        <v>9.883545563E9</v>
      </c>
    </row>
    <row r="3507" ht="15.75" customHeight="1">
      <c r="A3507" s="2" t="s">
        <v>3174</v>
      </c>
      <c r="B3507" s="2" t="s">
        <v>220</v>
      </c>
      <c r="C3507" s="2" t="s">
        <v>160</v>
      </c>
      <c r="D3507" s="2" t="s">
        <v>26</v>
      </c>
      <c r="E3507" s="2" t="s">
        <v>3175</v>
      </c>
      <c r="F3507" s="2">
        <v>8.789974949E9</v>
      </c>
    </row>
    <row r="3508" ht="15.75" customHeight="1">
      <c r="A3508" s="2" t="s">
        <v>3176</v>
      </c>
      <c r="B3508" s="2" t="s">
        <v>654</v>
      </c>
      <c r="C3508" s="2" t="s">
        <v>3177</v>
      </c>
      <c r="D3508" s="2" t="s">
        <v>26</v>
      </c>
      <c r="E3508" s="2" t="s">
        <v>402</v>
      </c>
      <c r="F3508" s="2">
        <v>9.925196011E9</v>
      </c>
    </row>
    <row r="3509" ht="15.75" customHeight="1">
      <c r="A3509" s="2" t="s">
        <v>1348</v>
      </c>
      <c r="B3509" s="2" t="s">
        <v>3178</v>
      </c>
      <c r="C3509" s="2" t="s">
        <v>3179</v>
      </c>
      <c r="D3509" s="2" t="s">
        <v>56</v>
      </c>
      <c r="E3509" s="2" t="s">
        <v>402</v>
      </c>
      <c r="F3509" s="2">
        <v>8.401845822E9</v>
      </c>
    </row>
    <row r="3510" ht="15.75" customHeight="1">
      <c r="A3510" s="2" t="s">
        <v>657</v>
      </c>
      <c r="B3510" s="2" t="s">
        <v>50</v>
      </c>
      <c r="C3510" s="2" t="s">
        <v>2782</v>
      </c>
      <c r="D3510" s="2" t="s">
        <v>29</v>
      </c>
      <c r="E3510" s="2" t="s">
        <v>19</v>
      </c>
      <c r="F3510" s="2">
        <v>6.200112511E9</v>
      </c>
    </row>
    <row r="3511" ht="15.75" customHeight="1">
      <c r="A3511" s="2" t="s">
        <v>123</v>
      </c>
      <c r="B3511" s="2" t="s">
        <v>63</v>
      </c>
      <c r="C3511" s="2" t="s">
        <v>2791</v>
      </c>
      <c r="D3511" s="2" t="s">
        <v>29</v>
      </c>
      <c r="E3511" s="2" t="s">
        <v>19</v>
      </c>
      <c r="F3511" s="2">
        <v>7.870780626E9</v>
      </c>
    </row>
    <row r="3512" ht="15.75" customHeight="1">
      <c r="A3512" s="2" t="s">
        <v>3180</v>
      </c>
      <c r="B3512" s="2" t="s">
        <v>3181</v>
      </c>
      <c r="C3512" s="2" t="s">
        <v>3177</v>
      </c>
      <c r="D3512" s="2" t="s">
        <v>44</v>
      </c>
      <c r="E3512" s="2" t="s">
        <v>402</v>
      </c>
      <c r="F3512" s="2">
        <v>9.998421446E9</v>
      </c>
    </row>
    <row r="3513" ht="15.75" customHeight="1">
      <c r="A3513" s="2" t="s">
        <v>175</v>
      </c>
      <c r="B3513" s="2" t="s">
        <v>203</v>
      </c>
      <c r="C3513" s="2" t="s">
        <v>83</v>
      </c>
      <c r="D3513" s="2" t="s">
        <v>56</v>
      </c>
      <c r="E3513" s="2" t="s">
        <v>255</v>
      </c>
      <c r="F3513" s="2">
        <v>8.697038828E9</v>
      </c>
    </row>
    <row r="3514" ht="15.75" customHeight="1">
      <c r="A3514" s="2" t="s">
        <v>3182</v>
      </c>
      <c r="B3514" s="2" t="s">
        <v>3183</v>
      </c>
      <c r="C3514" s="2" t="s">
        <v>3184</v>
      </c>
      <c r="D3514" s="2" t="s">
        <v>29</v>
      </c>
      <c r="E3514" s="2" t="s">
        <v>402</v>
      </c>
      <c r="F3514" s="2">
        <v>9.376795321E9</v>
      </c>
    </row>
    <row r="3515" ht="15.75" customHeight="1">
      <c r="A3515" s="2" t="s">
        <v>2517</v>
      </c>
      <c r="B3515" s="2" t="s">
        <v>1134</v>
      </c>
      <c r="C3515" s="2" t="s">
        <v>3185</v>
      </c>
      <c r="D3515" s="2" t="s">
        <v>44</v>
      </c>
      <c r="E3515" s="2" t="s">
        <v>23</v>
      </c>
      <c r="F3515" s="2">
        <v>9.355983521E9</v>
      </c>
    </row>
    <row r="3516" ht="15.75" customHeight="1">
      <c r="A3516" s="2" t="s">
        <v>123</v>
      </c>
      <c r="B3516" s="2" t="s">
        <v>440</v>
      </c>
      <c r="C3516" s="2" t="s">
        <v>246</v>
      </c>
      <c r="D3516" s="2" t="s">
        <v>29</v>
      </c>
      <c r="E3516" s="2" t="s">
        <v>19</v>
      </c>
      <c r="F3516" s="2">
        <v>9.835332141E9</v>
      </c>
    </row>
    <row r="3517" ht="15.75" customHeight="1">
      <c r="A3517" s="2" t="s">
        <v>175</v>
      </c>
      <c r="B3517" s="2" t="s">
        <v>1254</v>
      </c>
      <c r="C3517" s="2" t="s">
        <v>237</v>
      </c>
      <c r="D3517" s="2" t="s">
        <v>26</v>
      </c>
      <c r="E3517" s="2" t="s">
        <v>255</v>
      </c>
      <c r="F3517" s="2">
        <v>7.587835971E9</v>
      </c>
    </row>
    <row r="3518" ht="15.75" customHeight="1">
      <c r="A3518" s="2" t="s">
        <v>3186</v>
      </c>
      <c r="B3518" s="2" t="s">
        <v>2046</v>
      </c>
      <c r="C3518" s="2" t="s">
        <v>3187</v>
      </c>
      <c r="D3518" s="2" t="s">
        <v>14</v>
      </c>
      <c r="E3518" s="2" t="s">
        <v>402</v>
      </c>
      <c r="F3518" s="2">
        <v>8.849331418E9</v>
      </c>
    </row>
    <row r="3519" ht="15.75" customHeight="1">
      <c r="A3519" s="2" t="s">
        <v>175</v>
      </c>
      <c r="B3519" s="2" t="s">
        <v>1466</v>
      </c>
      <c r="C3519" s="2" t="s">
        <v>246</v>
      </c>
      <c r="D3519" s="2" t="s">
        <v>26</v>
      </c>
      <c r="E3519" s="2" t="s">
        <v>255</v>
      </c>
      <c r="F3519" s="2">
        <v>9.102028953E9</v>
      </c>
    </row>
    <row r="3520" ht="15.75" customHeight="1">
      <c r="A3520" s="2" t="s">
        <v>3188</v>
      </c>
      <c r="B3520" s="2" t="s">
        <v>3189</v>
      </c>
      <c r="C3520" s="2" t="s">
        <v>3187</v>
      </c>
      <c r="D3520" s="2" t="s">
        <v>14</v>
      </c>
      <c r="E3520" s="2" t="s">
        <v>402</v>
      </c>
      <c r="F3520" s="2">
        <v>9.998051703E9</v>
      </c>
    </row>
    <row r="3521" ht="15.75" customHeight="1">
      <c r="A3521" s="2" t="s">
        <v>94</v>
      </c>
      <c r="B3521" s="2" t="s">
        <v>50</v>
      </c>
      <c r="C3521" s="2" t="s">
        <v>2782</v>
      </c>
      <c r="D3521" s="2" t="s">
        <v>9</v>
      </c>
      <c r="E3521" s="2" t="s">
        <v>19</v>
      </c>
      <c r="F3521" s="2">
        <v>8.340490537E9</v>
      </c>
    </row>
    <row r="3522" ht="15.75" customHeight="1">
      <c r="A3522" s="2" t="s">
        <v>175</v>
      </c>
      <c r="B3522" s="2" t="s">
        <v>2234</v>
      </c>
      <c r="C3522" s="2" t="s">
        <v>599</v>
      </c>
      <c r="D3522" s="2" t="s">
        <v>44</v>
      </c>
      <c r="E3522" s="2" t="s">
        <v>255</v>
      </c>
      <c r="F3522" s="2">
        <v>8.102484055E9</v>
      </c>
    </row>
    <row r="3523" ht="15.75" customHeight="1">
      <c r="A3523" s="2" t="s">
        <v>3190</v>
      </c>
      <c r="B3523" s="2" t="s">
        <v>50</v>
      </c>
      <c r="C3523" s="2" t="s">
        <v>3117</v>
      </c>
      <c r="D3523" s="2" t="s">
        <v>29</v>
      </c>
      <c r="E3523" s="2" t="s">
        <v>19</v>
      </c>
      <c r="F3523" s="2">
        <v>9.470520466E9</v>
      </c>
    </row>
    <row r="3524" ht="15.75" customHeight="1">
      <c r="A3524" s="2" t="s">
        <v>3191</v>
      </c>
      <c r="B3524" s="2" t="s">
        <v>63</v>
      </c>
      <c r="C3524" s="2" t="s">
        <v>252</v>
      </c>
      <c r="D3524" s="2" t="s">
        <v>44</v>
      </c>
      <c r="E3524" s="2" t="s">
        <v>19</v>
      </c>
      <c r="F3524" s="2">
        <v>8.083170871E9</v>
      </c>
    </row>
    <row r="3525" ht="15.75" customHeight="1">
      <c r="A3525" s="2" t="s">
        <v>903</v>
      </c>
      <c r="B3525" s="2" t="s">
        <v>1650</v>
      </c>
      <c r="C3525" s="2" t="s">
        <v>249</v>
      </c>
      <c r="D3525" s="2" t="s">
        <v>26</v>
      </c>
      <c r="E3525" s="2" t="s">
        <v>23</v>
      </c>
      <c r="F3525" s="2">
        <v>9.304536986E9</v>
      </c>
    </row>
    <row r="3526" ht="15.75" customHeight="1">
      <c r="A3526" s="2" t="s">
        <v>408</v>
      </c>
      <c r="B3526" s="2" t="s">
        <v>3192</v>
      </c>
      <c r="C3526" s="2" t="s">
        <v>3177</v>
      </c>
      <c r="D3526" s="2" t="s">
        <v>102</v>
      </c>
      <c r="E3526" s="2" t="s">
        <v>402</v>
      </c>
      <c r="F3526" s="2">
        <v>9.924423665E9</v>
      </c>
    </row>
    <row r="3527" ht="15.75" customHeight="1">
      <c r="A3527" s="2" t="s">
        <v>3193</v>
      </c>
      <c r="B3527" s="2" t="s">
        <v>88</v>
      </c>
      <c r="C3527" s="2" t="s">
        <v>160</v>
      </c>
      <c r="D3527" s="2" t="s">
        <v>56</v>
      </c>
      <c r="E3527" s="2" t="s">
        <v>19</v>
      </c>
      <c r="F3527" s="2">
        <v>8.789974949E9</v>
      </c>
    </row>
    <row r="3528" ht="15.75" customHeight="1">
      <c r="A3528" s="2" t="s">
        <v>1985</v>
      </c>
      <c r="B3528" s="2" t="s">
        <v>2279</v>
      </c>
      <c r="C3528" s="2" t="s">
        <v>974</v>
      </c>
      <c r="D3528" s="2" t="s">
        <v>26</v>
      </c>
      <c r="E3528" s="2" t="s">
        <v>255</v>
      </c>
      <c r="F3528" s="2">
        <v>9.608569892E9</v>
      </c>
    </row>
    <row r="3529" ht="15.75" customHeight="1">
      <c r="A3529" s="2" t="s">
        <v>3194</v>
      </c>
      <c r="B3529" s="2" t="s">
        <v>75</v>
      </c>
      <c r="C3529" s="2" t="s">
        <v>106</v>
      </c>
      <c r="D3529" s="2" t="s">
        <v>56</v>
      </c>
      <c r="E3529" s="2" t="s">
        <v>19</v>
      </c>
      <c r="F3529" s="2">
        <v>7.488216876E9</v>
      </c>
    </row>
    <row r="3530" ht="15.75" customHeight="1">
      <c r="A3530" s="2" t="s">
        <v>1893</v>
      </c>
      <c r="B3530" s="2" t="s">
        <v>63</v>
      </c>
      <c r="C3530" s="2" t="s">
        <v>763</v>
      </c>
      <c r="D3530" s="2" t="s">
        <v>26</v>
      </c>
      <c r="E3530" s="2" t="s">
        <v>19</v>
      </c>
      <c r="F3530" s="2">
        <v>7.371867112E9</v>
      </c>
    </row>
    <row r="3531" ht="15.75" customHeight="1">
      <c r="A3531" s="2" t="s">
        <v>3195</v>
      </c>
      <c r="B3531" s="2" t="s">
        <v>2164</v>
      </c>
      <c r="C3531" s="2" t="s">
        <v>3117</v>
      </c>
      <c r="D3531" s="2" t="s">
        <v>9</v>
      </c>
      <c r="E3531" s="2" t="s">
        <v>19</v>
      </c>
      <c r="F3531" s="2">
        <v>7.632825132E9</v>
      </c>
    </row>
    <row r="3532" ht="15.75" customHeight="1">
      <c r="A3532" s="2" t="s">
        <v>3196</v>
      </c>
      <c r="B3532" s="2" t="s">
        <v>88</v>
      </c>
      <c r="C3532" s="2" t="s">
        <v>83</v>
      </c>
      <c r="D3532" s="2" t="s">
        <v>102</v>
      </c>
      <c r="E3532" s="2" t="s">
        <v>255</v>
      </c>
      <c r="F3532" s="2">
        <v>7.875318921E9</v>
      </c>
    </row>
    <row r="3533" ht="15.75" customHeight="1">
      <c r="A3533" s="2" t="s">
        <v>98</v>
      </c>
      <c r="B3533" s="2" t="s">
        <v>832</v>
      </c>
      <c r="C3533" s="2" t="s">
        <v>3197</v>
      </c>
      <c r="D3533" s="2" t="s">
        <v>26</v>
      </c>
      <c r="E3533" s="2" t="s">
        <v>19</v>
      </c>
      <c r="F3533" s="2">
        <v>7.488216876E9</v>
      </c>
    </row>
    <row r="3534" ht="15.75" customHeight="1">
      <c r="A3534" s="2" t="s">
        <v>2384</v>
      </c>
      <c r="B3534" s="2" t="s">
        <v>75</v>
      </c>
      <c r="C3534" s="2" t="s">
        <v>3198</v>
      </c>
      <c r="D3534" s="2" t="s">
        <v>56</v>
      </c>
      <c r="E3534" s="2" t="s">
        <v>19</v>
      </c>
      <c r="F3534" s="2">
        <v>8.083839958E9</v>
      </c>
    </row>
    <row r="3535" ht="15.75" customHeight="1">
      <c r="A3535" s="2" t="s">
        <v>2305</v>
      </c>
      <c r="B3535" s="2" t="s">
        <v>3199</v>
      </c>
      <c r="C3535" s="2" t="s">
        <v>3151</v>
      </c>
      <c r="D3535" s="2" t="s">
        <v>56</v>
      </c>
      <c r="E3535" s="2" t="s">
        <v>19</v>
      </c>
      <c r="F3535" s="2">
        <v>8.140426011E9</v>
      </c>
    </row>
    <row r="3536" ht="15.75" customHeight="1">
      <c r="A3536" s="2" t="s">
        <v>1295</v>
      </c>
      <c r="B3536" s="2" t="s">
        <v>212</v>
      </c>
      <c r="C3536" s="2" t="s">
        <v>821</v>
      </c>
      <c r="D3536" s="2" t="s">
        <v>14</v>
      </c>
      <c r="E3536" s="2" t="s">
        <v>255</v>
      </c>
      <c r="F3536" s="2">
        <v>9.1134805E9</v>
      </c>
    </row>
    <row r="3537" ht="15.75" customHeight="1">
      <c r="A3537" s="2" t="s">
        <v>3200</v>
      </c>
      <c r="B3537" s="2" t="s">
        <v>312</v>
      </c>
      <c r="C3537" s="2" t="s">
        <v>1637</v>
      </c>
      <c r="D3537" s="2" t="s">
        <v>56</v>
      </c>
      <c r="E3537" s="2" t="s">
        <v>19</v>
      </c>
      <c r="F3537" s="2">
        <v>9.835806824E9</v>
      </c>
    </row>
    <row r="3538" ht="15.75" customHeight="1">
      <c r="A3538" s="2" t="s">
        <v>565</v>
      </c>
      <c r="B3538" s="2" t="s">
        <v>2143</v>
      </c>
      <c r="C3538" s="2" t="s">
        <v>2376</v>
      </c>
      <c r="D3538" s="2" t="s">
        <v>9</v>
      </c>
      <c r="E3538" s="2" t="s">
        <v>19</v>
      </c>
      <c r="F3538" s="2">
        <v>7.06134968E9</v>
      </c>
    </row>
    <row r="3539" ht="15.75" customHeight="1">
      <c r="A3539" s="2" t="s">
        <v>131</v>
      </c>
      <c r="B3539" s="2" t="s">
        <v>212</v>
      </c>
      <c r="C3539" s="2" t="s">
        <v>428</v>
      </c>
      <c r="D3539" s="2" t="s">
        <v>26</v>
      </c>
      <c r="E3539" s="2" t="s">
        <v>19</v>
      </c>
      <c r="F3539" s="2">
        <v>7.979973436E9</v>
      </c>
    </row>
    <row r="3540" ht="15.75" customHeight="1">
      <c r="A3540" s="2" t="s">
        <v>381</v>
      </c>
      <c r="B3540" s="2" t="s">
        <v>50</v>
      </c>
      <c r="C3540" s="2" t="s">
        <v>3201</v>
      </c>
      <c r="D3540" s="2" t="s">
        <v>44</v>
      </c>
      <c r="E3540" s="2" t="s">
        <v>19</v>
      </c>
      <c r="F3540" s="2">
        <v>8.539996825E9</v>
      </c>
    </row>
    <row r="3541" ht="15.75" customHeight="1">
      <c r="A3541" s="2" t="s">
        <v>1295</v>
      </c>
      <c r="B3541" s="2" t="s">
        <v>212</v>
      </c>
      <c r="C3541" s="2" t="s">
        <v>1012</v>
      </c>
      <c r="D3541" s="2" t="s">
        <v>56</v>
      </c>
      <c r="E3541" s="2" t="s">
        <v>255</v>
      </c>
      <c r="F3541" s="2">
        <v>7.870427396E9</v>
      </c>
    </row>
    <row r="3542" ht="15.75" customHeight="1">
      <c r="A3542" s="2" t="s">
        <v>1909</v>
      </c>
      <c r="B3542" s="2" t="s">
        <v>1134</v>
      </c>
      <c r="C3542" s="2" t="s">
        <v>3202</v>
      </c>
      <c r="D3542" s="2" t="s">
        <v>56</v>
      </c>
      <c r="E3542" s="2" t="s">
        <v>19</v>
      </c>
      <c r="F3542" s="2">
        <v>9.125255663E9</v>
      </c>
    </row>
    <row r="3543" ht="15.75" customHeight="1">
      <c r="A3543" s="2" t="s">
        <v>3203</v>
      </c>
      <c r="B3543" s="2" t="s">
        <v>153</v>
      </c>
      <c r="C3543" s="2" t="s">
        <v>3204</v>
      </c>
      <c r="D3543" s="2" t="s">
        <v>14</v>
      </c>
      <c r="E3543" s="2" t="s">
        <v>402</v>
      </c>
      <c r="F3543" s="2">
        <v>8.264249529E9</v>
      </c>
    </row>
    <row r="3544" ht="15.75" customHeight="1">
      <c r="A3544" s="2" t="s">
        <v>2359</v>
      </c>
      <c r="B3544" s="2" t="s">
        <v>3205</v>
      </c>
      <c r="C3544" s="2" t="s">
        <v>3184</v>
      </c>
      <c r="D3544" s="2" t="s">
        <v>9</v>
      </c>
      <c r="E3544" s="2" t="s">
        <v>137</v>
      </c>
      <c r="F3544" s="2">
        <v>9.376795321E9</v>
      </c>
    </row>
    <row r="3545" ht="15.75" customHeight="1">
      <c r="A3545" s="2" t="s">
        <v>1295</v>
      </c>
      <c r="B3545" s="2" t="s">
        <v>55</v>
      </c>
      <c r="C3545" s="2" t="s">
        <v>1012</v>
      </c>
      <c r="D3545" s="2" t="s">
        <v>26</v>
      </c>
      <c r="E3545" s="2" t="s">
        <v>255</v>
      </c>
      <c r="F3545" s="2">
        <v>9.334452736E9</v>
      </c>
    </row>
    <row r="3546" ht="15.75" customHeight="1">
      <c r="A3546" s="2" t="s">
        <v>3206</v>
      </c>
      <c r="B3546" s="2" t="s">
        <v>3207</v>
      </c>
      <c r="C3546" s="2" t="s">
        <v>3160</v>
      </c>
      <c r="D3546" s="2" t="s">
        <v>9</v>
      </c>
      <c r="E3546" s="2" t="s">
        <v>137</v>
      </c>
      <c r="F3546" s="2">
        <v>9.898616299E9</v>
      </c>
    </row>
    <row r="3547" ht="15.75" customHeight="1">
      <c r="A3547" s="2" t="s">
        <v>565</v>
      </c>
      <c r="B3547" s="2" t="s">
        <v>50</v>
      </c>
      <c r="C3547" s="2" t="s">
        <v>650</v>
      </c>
      <c r="D3547" s="2" t="s">
        <v>29</v>
      </c>
      <c r="E3547" s="2" t="s">
        <v>19</v>
      </c>
      <c r="F3547" s="2">
        <v>7.034934479E9</v>
      </c>
    </row>
    <row r="3548" ht="15.75" customHeight="1">
      <c r="A3548" s="2" t="s">
        <v>3208</v>
      </c>
      <c r="B3548" s="2" t="s">
        <v>1867</v>
      </c>
      <c r="C3548" s="2" t="s">
        <v>3151</v>
      </c>
      <c r="D3548" s="2" t="s">
        <v>14</v>
      </c>
      <c r="E3548" s="2" t="s">
        <v>137</v>
      </c>
      <c r="F3548" s="2">
        <v>9.033993452E9</v>
      </c>
    </row>
    <row r="3549" ht="15.75" customHeight="1">
      <c r="A3549" s="2" t="s">
        <v>3209</v>
      </c>
      <c r="B3549" s="2" t="s">
        <v>779</v>
      </c>
      <c r="C3549" s="2" t="s">
        <v>237</v>
      </c>
      <c r="D3549" s="2" t="s">
        <v>56</v>
      </c>
      <c r="E3549" s="2" t="s">
        <v>255</v>
      </c>
      <c r="F3549" s="2">
        <v>6.500193747E9</v>
      </c>
    </row>
    <row r="3550" ht="15.75" customHeight="1">
      <c r="A3550" s="2" t="s">
        <v>3210</v>
      </c>
      <c r="B3550" s="2" t="s">
        <v>398</v>
      </c>
      <c r="C3550" s="2" t="s">
        <v>3211</v>
      </c>
      <c r="D3550" s="2" t="s">
        <v>44</v>
      </c>
      <c r="E3550" s="2" t="s">
        <v>255</v>
      </c>
      <c r="F3550" s="2">
        <v>8.202356557E9</v>
      </c>
    </row>
    <row r="3551" ht="15.75" customHeight="1">
      <c r="A3551" s="2" t="s">
        <v>413</v>
      </c>
      <c r="B3551" s="2" t="s">
        <v>203</v>
      </c>
      <c r="C3551" s="2" t="s">
        <v>3212</v>
      </c>
      <c r="D3551" s="2" t="s">
        <v>44</v>
      </c>
      <c r="E3551" s="2" t="s">
        <v>19</v>
      </c>
      <c r="F3551" s="2">
        <v>9.523059756E9</v>
      </c>
    </row>
    <row r="3552" ht="15.75" customHeight="1">
      <c r="A3552" s="2" t="s">
        <v>3213</v>
      </c>
      <c r="B3552" s="2" t="s">
        <v>3213</v>
      </c>
      <c r="C3552" s="2" t="s">
        <v>729</v>
      </c>
      <c r="D3552" s="2" t="s">
        <v>26</v>
      </c>
      <c r="E3552" s="2" t="s">
        <v>19</v>
      </c>
      <c r="F3552" s="2">
        <v>9.653563177E9</v>
      </c>
    </row>
    <row r="3553" ht="15.75" customHeight="1">
      <c r="A3553" s="2" t="s">
        <v>3046</v>
      </c>
      <c r="B3553" s="2" t="s">
        <v>145</v>
      </c>
      <c r="C3553" s="2" t="s">
        <v>3214</v>
      </c>
      <c r="D3553" s="2" t="s">
        <v>29</v>
      </c>
      <c r="E3553" s="2" t="s">
        <v>137</v>
      </c>
      <c r="F3553" s="2">
        <v>8.240860177E9</v>
      </c>
    </row>
    <row r="3554" ht="15.75" customHeight="1">
      <c r="A3554" s="2" t="s">
        <v>565</v>
      </c>
      <c r="B3554" s="2" t="s">
        <v>960</v>
      </c>
      <c r="C3554" s="2" t="s">
        <v>2376</v>
      </c>
      <c r="D3554" s="2" t="s">
        <v>44</v>
      </c>
      <c r="E3554" s="2" t="s">
        <v>19</v>
      </c>
      <c r="F3554" s="2">
        <v>7.711084069E9</v>
      </c>
    </row>
    <row r="3555" ht="15.75" customHeight="1">
      <c r="A3555" s="2" t="s">
        <v>3209</v>
      </c>
      <c r="B3555" s="2" t="s">
        <v>55</v>
      </c>
      <c r="C3555" s="2" t="s">
        <v>2327</v>
      </c>
      <c r="D3555" s="2" t="s">
        <v>26</v>
      </c>
      <c r="E3555" s="2" t="s">
        <v>255</v>
      </c>
      <c r="F3555" s="2">
        <v>6.700033258E9</v>
      </c>
    </row>
    <row r="3556" ht="15.75" customHeight="1">
      <c r="A3556" s="2" t="s">
        <v>3215</v>
      </c>
      <c r="B3556" s="2" t="s">
        <v>50</v>
      </c>
      <c r="C3556" s="2" t="s">
        <v>3100</v>
      </c>
      <c r="D3556" s="2" t="s">
        <v>56</v>
      </c>
      <c r="E3556" s="2" t="s">
        <v>19</v>
      </c>
      <c r="F3556" s="2">
        <v>7.677320062E9</v>
      </c>
    </row>
    <row r="3557" ht="15.75" customHeight="1">
      <c r="A3557" s="2" t="s">
        <v>131</v>
      </c>
      <c r="B3557" s="2" t="s">
        <v>145</v>
      </c>
      <c r="C3557" s="2" t="s">
        <v>3216</v>
      </c>
      <c r="D3557" s="2" t="s">
        <v>29</v>
      </c>
      <c r="E3557" s="2" t="s">
        <v>137</v>
      </c>
      <c r="F3557" s="2">
        <v>8.240860177E9</v>
      </c>
    </row>
    <row r="3558" ht="15.75" customHeight="1">
      <c r="A3558" s="2" t="s">
        <v>3217</v>
      </c>
      <c r="B3558" s="2" t="s">
        <v>614</v>
      </c>
      <c r="C3558" s="2" t="s">
        <v>246</v>
      </c>
      <c r="D3558" s="2" t="s">
        <v>44</v>
      </c>
      <c r="E3558" s="2" t="s">
        <v>255</v>
      </c>
      <c r="F3558" s="2">
        <v>7.903343318E9</v>
      </c>
    </row>
    <row r="3559" ht="15.75" customHeight="1">
      <c r="A3559" s="2" t="s">
        <v>782</v>
      </c>
      <c r="B3559" s="2" t="s">
        <v>520</v>
      </c>
      <c r="C3559" s="2" t="s">
        <v>2070</v>
      </c>
      <c r="D3559" s="2" t="s">
        <v>26</v>
      </c>
      <c r="E3559" s="2" t="s">
        <v>19</v>
      </c>
      <c r="F3559" s="2">
        <v>9.973799127E9</v>
      </c>
    </row>
    <row r="3560" ht="15.75" customHeight="1">
      <c r="A3560" s="2" t="s">
        <v>2442</v>
      </c>
      <c r="B3560" s="2" t="s">
        <v>119</v>
      </c>
      <c r="C3560" s="2" t="s">
        <v>3218</v>
      </c>
      <c r="D3560" s="2" t="s">
        <v>29</v>
      </c>
      <c r="E3560" s="2" t="s">
        <v>137</v>
      </c>
      <c r="F3560" s="2">
        <v>7.450872096E9</v>
      </c>
    </row>
    <row r="3561" ht="15.75" customHeight="1">
      <c r="A3561" s="2" t="s">
        <v>159</v>
      </c>
      <c r="B3561" s="2" t="s">
        <v>220</v>
      </c>
      <c r="C3561" s="2" t="s">
        <v>1150</v>
      </c>
      <c r="D3561" s="2" t="s">
        <v>44</v>
      </c>
      <c r="E3561" s="2" t="s">
        <v>255</v>
      </c>
      <c r="F3561" s="2">
        <v>8.408278335E9</v>
      </c>
    </row>
    <row r="3562" ht="15.75" customHeight="1">
      <c r="A3562" s="2" t="s">
        <v>2442</v>
      </c>
      <c r="B3562" s="2" t="s">
        <v>119</v>
      </c>
      <c r="C3562" s="2" t="s">
        <v>3219</v>
      </c>
      <c r="D3562" s="2" t="s">
        <v>9</v>
      </c>
      <c r="E3562" s="2" t="s">
        <v>19</v>
      </c>
      <c r="F3562" s="2">
        <v>8.10371809E8</v>
      </c>
    </row>
    <row r="3563" ht="15.75" customHeight="1">
      <c r="A3563" s="2" t="s">
        <v>565</v>
      </c>
      <c r="B3563" s="2" t="s">
        <v>960</v>
      </c>
      <c r="C3563" s="2" t="s">
        <v>1533</v>
      </c>
      <c r="D3563" s="2" t="s">
        <v>56</v>
      </c>
      <c r="E3563" s="2" t="s">
        <v>19</v>
      </c>
      <c r="F3563" s="2">
        <v>9.234981537E9</v>
      </c>
    </row>
    <row r="3564" ht="15.75" customHeight="1">
      <c r="A3564" s="2" t="s">
        <v>3220</v>
      </c>
      <c r="B3564" s="2" t="s">
        <v>63</v>
      </c>
      <c r="C3564" s="2" t="s">
        <v>3221</v>
      </c>
      <c r="D3564" s="2" t="s">
        <v>26</v>
      </c>
      <c r="E3564" s="2" t="s">
        <v>19</v>
      </c>
      <c r="F3564" s="2">
        <v>9.471753041E9</v>
      </c>
    </row>
    <row r="3565" ht="15.75" customHeight="1">
      <c r="A3565" s="2" t="s">
        <v>159</v>
      </c>
      <c r="B3565" s="2" t="s">
        <v>1650</v>
      </c>
      <c r="C3565" s="2" t="s">
        <v>2811</v>
      </c>
      <c r="D3565" s="2" t="s">
        <v>44</v>
      </c>
      <c r="E3565" s="2" t="s">
        <v>255</v>
      </c>
      <c r="F3565" s="2">
        <v>9.835505499E9</v>
      </c>
    </row>
    <row r="3566" ht="15.75" customHeight="1">
      <c r="A3566" s="2" t="s">
        <v>3222</v>
      </c>
      <c r="B3566" s="2" t="s">
        <v>3223</v>
      </c>
      <c r="C3566" s="2" t="s">
        <v>3224</v>
      </c>
      <c r="D3566" s="2" t="s">
        <v>29</v>
      </c>
      <c r="E3566" s="2" t="s">
        <v>137</v>
      </c>
      <c r="F3566" s="2">
        <v>7.439708349E9</v>
      </c>
    </row>
    <row r="3567" ht="15.75" customHeight="1">
      <c r="A3567" s="2" t="s">
        <v>283</v>
      </c>
      <c r="B3567" s="2" t="s">
        <v>55</v>
      </c>
      <c r="C3567" s="2" t="s">
        <v>3225</v>
      </c>
      <c r="D3567" s="2" t="s">
        <v>26</v>
      </c>
      <c r="E3567" s="2" t="s">
        <v>255</v>
      </c>
      <c r="F3567" s="2">
        <v>7.209187397E9</v>
      </c>
    </row>
    <row r="3568" ht="15.75" customHeight="1">
      <c r="A3568" s="2" t="s">
        <v>525</v>
      </c>
      <c r="B3568" s="2" t="s">
        <v>50</v>
      </c>
      <c r="C3568" s="2" t="s">
        <v>3226</v>
      </c>
      <c r="D3568" s="2" t="s">
        <v>26</v>
      </c>
      <c r="E3568" s="2" t="s">
        <v>19</v>
      </c>
      <c r="F3568" s="2">
        <v>7.488600192E9</v>
      </c>
    </row>
    <row r="3569" ht="15.75" customHeight="1">
      <c r="A3569" s="2" t="s">
        <v>159</v>
      </c>
      <c r="B3569" s="2" t="s">
        <v>3227</v>
      </c>
      <c r="C3569" s="2" t="s">
        <v>2811</v>
      </c>
      <c r="D3569" s="2" t="s">
        <v>29</v>
      </c>
      <c r="E3569" s="2" t="s">
        <v>255</v>
      </c>
      <c r="F3569" s="2">
        <v>9.630303106E9</v>
      </c>
    </row>
    <row r="3570" ht="15.75" customHeight="1">
      <c r="A3570" s="2" t="s">
        <v>565</v>
      </c>
      <c r="B3570" s="2" t="s">
        <v>1709</v>
      </c>
      <c r="C3570" s="2" t="s">
        <v>650</v>
      </c>
      <c r="D3570" s="2" t="s">
        <v>29</v>
      </c>
      <c r="E3570" s="2" t="s">
        <v>19</v>
      </c>
      <c r="F3570" s="2">
        <v>7.004383769E9</v>
      </c>
    </row>
    <row r="3571" ht="15.75" customHeight="1">
      <c r="A3571" s="2" t="s">
        <v>565</v>
      </c>
      <c r="B3571" s="2" t="s">
        <v>135</v>
      </c>
      <c r="C3571" s="2" t="s">
        <v>3228</v>
      </c>
      <c r="D3571" s="2" t="s">
        <v>9</v>
      </c>
      <c r="E3571" s="2" t="s">
        <v>137</v>
      </c>
      <c r="F3571" s="2">
        <v>7.439849493E9</v>
      </c>
    </row>
    <row r="3572" ht="15.75" customHeight="1">
      <c r="A3572" s="2" t="s">
        <v>3229</v>
      </c>
      <c r="B3572" s="2" t="s">
        <v>63</v>
      </c>
      <c r="C3572" s="2" t="s">
        <v>3100</v>
      </c>
      <c r="D3572" s="2" t="s">
        <v>26</v>
      </c>
      <c r="E3572" s="2" t="s">
        <v>19</v>
      </c>
      <c r="F3572" s="2">
        <v>6.80782803E9</v>
      </c>
    </row>
    <row r="3573" ht="15.75" customHeight="1">
      <c r="A3573" s="2" t="s">
        <v>1030</v>
      </c>
      <c r="B3573" s="2" t="s">
        <v>212</v>
      </c>
      <c r="C3573" s="2" t="s">
        <v>3042</v>
      </c>
      <c r="D3573" s="2" t="s">
        <v>9</v>
      </c>
      <c r="E3573" s="2" t="s">
        <v>255</v>
      </c>
      <c r="F3573" s="2">
        <v>9.472988003E9</v>
      </c>
    </row>
    <row r="3574" ht="15.75" customHeight="1">
      <c r="A3574" s="2" t="s">
        <v>2760</v>
      </c>
      <c r="B3574" s="2" t="s">
        <v>312</v>
      </c>
      <c r="C3574" s="2" t="s">
        <v>2070</v>
      </c>
      <c r="D3574" s="2" t="s">
        <v>26</v>
      </c>
      <c r="E3574" s="2" t="s">
        <v>19</v>
      </c>
      <c r="F3574" s="2">
        <v>9.155589178E9</v>
      </c>
    </row>
    <row r="3575" ht="15.75" customHeight="1">
      <c r="A3575" s="2" t="s">
        <v>131</v>
      </c>
      <c r="B3575" s="2" t="s">
        <v>135</v>
      </c>
      <c r="C3575" s="3" t="s">
        <v>3230</v>
      </c>
      <c r="D3575" s="2" t="s">
        <v>29</v>
      </c>
      <c r="E3575" s="2" t="s">
        <v>137</v>
      </c>
      <c r="F3575" s="2">
        <v>9.831510384E9</v>
      </c>
    </row>
    <row r="3576" ht="15.75" customHeight="1">
      <c r="A3576" s="2" t="s">
        <v>3231</v>
      </c>
      <c r="B3576" s="2" t="s">
        <v>212</v>
      </c>
      <c r="C3576" s="2" t="s">
        <v>246</v>
      </c>
      <c r="D3576" s="2" t="s">
        <v>26</v>
      </c>
      <c r="E3576" s="2" t="s">
        <v>255</v>
      </c>
      <c r="F3576" s="2">
        <v>6.202028139E9</v>
      </c>
    </row>
    <row r="3577" ht="15.75" customHeight="1">
      <c r="A3577" s="2" t="s">
        <v>1886</v>
      </c>
      <c r="B3577" s="2" t="s">
        <v>50</v>
      </c>
      <c r="C3577" s="2" t="s">
        <v>957</v>
      </c>
      <c r="D3577" s="2" t="s">
        <v>9</v>
      </c>
      <c r="E3577" s="2" t="s">
        <v>19</v>
      </c>
      <c r="F3577" s="2">
        <v>8.10237189E9</v>
      </c>
    </row>
    <row r="3578" ht="15.75" customHeight="1">
      <c r="A3578" s="2" t="s">
        <v>3232</v>
      </c>
      <c r="B3578" s="2" t="s">
        <v>63</v>
      </c>
      <c r="C3578" s="2" t="s">
        <v>370</v>
      </c>
      <c r="D3578" s="2" t="s">
        <v>56</v>
      </c>
      <c r="E3578" s="2" t="s">
        <v>19</v>
      </c>
      <c r="F3578" s="2">
        <v>8.080788198E9</v>
      </c>
    </row>
    <row r="3579" ht="15.75" customHeight="1">
      <c r="A3579" s="2" t="s">
        <v>3233</v>
      </c>
      <c r="B3579" s="2" t="s">
        <v>3234</v>
      </c>
      <c r="C3579" s="2" t="s">
        <v>235</v>
      </c>
      <c r="D3579" s="2" t="s">
        <v>29</v>
      </c>
      <c r="E3579" s="2" t="s">
        <v>137</v>
      </c>
      <c r="F3579" s="2">
        <v>7.557814032E9</v>
      </c>
    </row>
    <row r="3580" ht="15.75" customHeight="1">
      <c r="A3580" s="2" t="s">
        <v>795</v>
      </c>
      <c r="B3580" s="2" t="s">
        <v>795</v>
      </c>
      <c r="C3580" s="2" t="s">
        <v>3235</v>
      </c>
      <c r="D3580" s="2" t="s">
        <v>26</v>
      </c>
      <c r="E3580" s="2" t="s">
        <v>19</v>
      </c>
      <c r="F3580" s="2">
        <v>6.20615818E9</v>
      </c>
    </row>
    <row r="3581" ht="15.75" customHeight="1">
      <c r="A3581" s="2" t="s">
        <v>1030</v>
      </c>
      <c r="B3581" s="2" t="s">
        <v>55</v>
      </c>
      <c r="C3581" s="2" t="s">
        <v>3236</v>
      </c>
      <c r="D3581" s="2" t="s">
        <v>29</v>
      </c>
      <c r="E3581" s="2" t="s">
        <v>23</v>
      </c>
      <c r="F3581" s="2">
        <v>8.08397928E9</v>
      </c>
    </row>
    <row r="3582" ht="15.75" customHeight="1">
      <c r="A3582" s="2" t="s">
        <v>2436</v>
      </c>
      <c r="B3582" s="2" t="s">
        <v>303</v>
      </c>
      <c r="C3582" s="2" t="s">
        <v>2327</v>
      </c>
      <c r="D3582" s="2" t="s">
        <v>14</v>
      </c>
      <c r="E3582" s="2" t="s">
        <v>255</v>
      </c>
      <c r="F3582" s="2">
        <v>6.237106234E9</v>
      </c>
    </row>
    <row r="3583" ht="15.75" customHeight="1">
      <c r="A3583" s="2" t="s">
        <v>3237</v>
      </c>
      <c r="B3583" s="2" t="s">
        <v>55</v>
      </c>
      <c r="C3583" s="2" t="s">
        <v>3238</v>
      </c>
      <c r="D3583" s="2" t="s">
        <v>44</v>
      </c>
      <c r="E3583" s="2" t="s">
        <v>137</v>
      </c>
      <c r="F3583" s="2">
        <v>9.051106411E9</v>
      </c>
    </row>
    <row r="3584" ht="15.75" customHeight="1">
      <c r="A3584" s="2" t="s">
        <v>3239</v>
      </c>
      <c r="B3584" s="2" t="s">
        <v>112</v>
      </c>
      <c r="C3584" s="2" t="s">
        <v>576</v>
      </c>
      <c r="D3584" s="2" t="s">
        <v>9</v>
      </c>
      <c r="E3584" s="2" t="s">
        <v>19</v>
      </c>
      <c r="F3584" s="2">
        <v>9.899209085E9</v>
      </c>
    </row>
    <row r="3585" ht="15.75" customHeight="1">
      <c r="A3585" s="2" t="s">
        <v>3240</v>
      </c>
      <c r="B3585" s="2" t="s">
        <v>3240</v>
      </c>
      <c r="C3585" s="2" t="s">
        <v>3241</v>
      </c>
      <c r="D3585" s="2" t="s">
        <v>14</v>
      </c>
      <c r="E3585" s="2" t="s">
        <v>19</v>
      </c>
      <c r="F3585" s="2">
        <v>7.761047294E9</v>
      </c>
    </row>
    <row r="3586" ht="15.75" customHeight="1">
      <c r="A3586" s="2" t="s">
        <v>1851</v>
      </c>
      <c r="B3586" s="2" t="s">
        <v>75</v>
      </c>
      <c r="C3586" s="2" t="s">
        <v>3242</v>
      </c>
      <c r="D3586" s="2" t="s">
        <v>44</v>
      </c>
      <c r="E3586" s="2" t="s">
        <v>19</v>
      </c>
      <c r="F3586" s="2">
        <v>8.340675144E9</v>
      </c>
    </row>
    <row r="3587" ht="15.75" customHeight="1">
      <c r="A3587" s="2" t="s">
        <v>1030</v>
      </c>
      <c r="B3587" s="2" t="s">
        <v>55</v>
      </c>
      <c r="C3587" s="2" t="s">
        <v>3047</v>
      </c>
      <c r="D3587" s="2" t="s">
        <v>29</v>
      </c>
      <c r="E3587" s="2" t="s">
        <v>255</v>
      </c>
      <c r="F3587" s="2">
        <v>6.200285507E9</v>
      </c>
    </row>
    <row r="3588" ht="15.75" customHeight="1">
      <c r="A3588" s="2" t="s">
        <v>1197</v>
      </c>
      <c r="B3588" s="2" t="s">
        <v>55</v>
      </c>
      <c r="C3588" s="2" t="s">
        <v>2210</v>
      </c>
      <c r="D3588" s="2" t="s">
        <v>56</v>
      </c>
      <c r="E3588" s="2" t="s">
        <v>255</v>
      </c>
      <c r="F3588" s="2">
        <v>6.712174566E9</v>
      </c>
    </row>
    <row r="3589" ht="15.75" customHeight="1">
      <c r="A3589" s="2" t="s">
        <v>1197</v>
      </c>
      <c r="B3589" s="2" t="s">
        <v>2155</v>
      </c>
      <c r="C3589" s="2" t="s">
        <v>867</v>
      </c>
      <c r="D3589" s="2" t="s">
        <v>44</v>
      </c>
      <c r="E3589" s="2" t="s">
        <v>255</v>
      </c>
      <c r="F3589" s="2">
        <v>9.77128712E9</v>
      </c>
    </row>
    <row r="3590" ht="15.75" customHeight="1">
      <c r="A3590" s="2" t="s">
        <v>3243</v>
      </c>
      <c r="B3590" s="2" t="s">
        <v>3244</v>
      </c>
      <c r="C3590" s="2" t="s">
        <v>3245</v>
      </c>
      <c r="D3590" s="2" t="s">
        <v>29</v>
      </c>
      <c r="E3590" s="2" t="s">
        <v>137</v>
      </c>
      <c r="F3590" s="2">
        <v>9.641966217E9</v>
      </c>
    </row>
    <row r="3591" ht="15.75" customHeight="1">
      <c r="A3591" s="2" t="s">
        <v>1701</v>
      </c>
      <c r="B3591" s="2" t="s">
        <v>75</v>
      </c>
      <c r="C3591" s="2" t="s">
        <v>1024</v>
      </c>
      <c r="D3591" s="2" t="s">
        <v>9</v>
      </c>
      <c r="E3591" s="2" t="s">
        <v>19</v>
      </c>
      <c r="F3591" s="2">
        <v>8.709958631E9</v>
      </c>
    </row>
    <row r="3592" ht="15.75" customHeight="1">
      <c r="A3592" s="2" t="s">
        <v>1276</v>
      </c>
      <c r="B3592" s="2" t="s">
        <v>2011</v>
      </c>
      <c r="C3592" s="2" t="s">
        <v>957</v>
      </c>
      <c r="D3592" s="2" t="s">
        <v>9</v>
      </c>
      <c r="E3592" s="2" t="s">
        <v>19</v>
      </c>
      <c r="F3592" s="2">
        <v>9.304317423E9</v>
      </c>
    </row>
    <row r="3593" ht="15.75" customHeight="1">
      <c r="A3593" s="2" t="s">
        <v>1197</v>
      </c>
      <c r="B3593" s="2" t="s">
        <v>176</v>
      </c>
      <c r="C3593" s="2" t="s">
        <v>1953</v>
      </c>
      <c r="D3593" s="2" t="s">
        <v>56</v>
      </c>
      <c r="E3593" s="2" t="s">
        <v>255</v>
      </c>
      <c r="F3593" s="2">
        <v>8.051162957E9</v>
      </c>
    </row>
    <row r="3594" ht="15.75" customHeight="1">
      <c r="A3594" s="2" t="s">
        <v>3246</v>
      </c>
      <c r="B3594" s="2" t="s">
        <v>3247</v>
      </c>
      <c r="C3594" s="2" t="s">
        <v>686</v>
      </c>
      <c r="D3594" s="2" t="s">
        <v>56</v>
      </c>
      <c r="E3594" s="2" t="s">
        <v>255</v>
      </c>
      <c r="F3594" s="2">
        <v>6.206848565E9</v>
      </c>
    </row>
    <row r="3595" ht="15.75" customHeight="1">
      <c r="A3595" s="2" t="s">
        <v>2224</v>
      </c>
      <c r="B3595" s="2" t="s">
        <v>3248</v>
      </c>
      <c r="C3595" s="2" t="s">
        <v>3249</v>
      </c>
      <c r="D3595" s="2" t="s">
        <v>9</v>
      </c>
      <c r="E3595" s="2" t="s">
        <v>2115</v>
      </c>
      <c r="F3595" s="2">
        <v>7.488797689E9</v>
      </c>
    </row>
    <row r="3596" ht="15.75" customHeight="1">
      <c r="A3596" s="2" t="s">
        <v>1842</v>
      </c>
      <c r="B3596" s="2" t="s">
        <v>50</v>
      </c>
      <c r="C3596" s="2" t="s">
        <v>536</v>
      </c>
      <c r="D3596" s="2" t="s">
        <v>29</v>
      </c>
      <c r="E3596" s="2" t="s">
        <v>19</v>
      </c>
      <c r="F3596" s="2">
        <v>9.308499196E9</v>
      </c>
    </row>
    <row r="3597" ht="15.75" customHeight="1">
      <c r="A3597" s="2" t="s">
        <v>1294</v>
      </c>
      <c r="B3597" s="2" t="s">
        <v>55</v>
      </c>
      <c r="C3597" s="2" t="s">
        <v>2842</v>
      </c>
      <c r="D3597" s="2" t="s">
        <v>26</v>
      </c>
      <c r="E3597" s="2" t="s">
        <v>19</v>
      </c>
      <c r="F3597" s="2">
        <v>7.677107643E9</v>
      </c>
    </row>
    <row r="3598" ht="15.75" customHeight="1">
      <c r="A3598" s="2" t="s">
        <v>40</v>
      </c>
      <c r="B3598" s="2" t="s">
        <v>119</v>
      </c>
      <c r="C3598" s="2" t="s">
        <v>957</v>
      </c>
      <c r="D3598" s="2" t="s">
        <v>29</v>
      </c>
      <c r="E3598" s="2" t="s">
        <v>19</v>
      </c>
      <c r="F3598" s="2">
        <v>7.903323974E9</v>
      </c>
    </row>
    <row r="3599" ht="15.75" customHeight="1">
      <c r="A3599" s="2" t="s">
        <v>283</v>
      </c>
      <c r="B3599" s="2" t="s">
        <v>212</v>
      </c>
      <c r="C3599" s="2" t="s">
        <v>1003</v>
      </c>
      <c r="D3599" s="2" t="s">
        <v>26</v>
      </c>
      <c r="E3599" s="2" t="s">
        <v>255</v>
      </c>
      <c r="F3599" s="2">
        <v>9.122711389E9</v>
      </c>
    </row>
    <row r="3600" ht="15.75" customHeight="1">
      <c r="A3600" s="2" t="s">
        <v>1182</v>
      </c>
      <c r="B3600" s="2" t="s">
        <v>50</v>
      </c>
      <c r="C3600" s="2" t="s">
        <v>3250</v>
      </c>
      <c r="D3600" s="2" t="s">
        <v>29</v>
      </c>
      <c r="E3600" s="2" t="s">
        <v>19</v>
      </c>
      <c r="F3600" s="2">
        <v>9.123856483E9</v>
      </c>
    </row>
    <row r="3601" ht="15.75" customHeight="1">
      <c r="A3601" s="2" t="s">
        <v>3251</v>
      </c>
      <c r="B3601" s="2" t="s">
        <v>3252</v>
      </c>
      <c r="C3601" s="2" t="s">
        <v>3253</v>
      </c>
      <c r="D3601" s="2" t="s">
        <v>56</v>
      </c>
      <c r="E3601" s="2" t="s">
        <v>255</v>
      </c>
      <c r="F3601" s="2">
        <v>9.135938555E9</v>
      </c>
    </row>
    <row r="3602" ht="15.75" customHeight="1">
      <c r="A3602" s="2" t="s">
        <v>2176</v>
      </c>
      <c r="B3602" s="2" t="s">
        <v>63</v>
      </c>
      <c r="C3602" s="2" t="s">
        <v>957</v>
      </c>
      <c r="D3602" s="2" t="s">
        <v>9</v>
      </c>
      <c r="E3602" s="2" t="s">
        <v>19</v>
      </c>
      <c r="F3602" s="2">
        <v>7.631312227E9</v>
      </c>
    </row>
    <row r="3603" ht="15.75" customHeight="1">
      <c r="A3603" s="2" t="s">
        <v>283</v>
      </c>
      <c r="B3603" s="2" t="s">
        <v>212</v>
      </c>
      <c r="C3603" s="2" t="s">
        <v>83</v>
      </c>
      <c r="D3603" s="2" t="s">
        <v>9</v>
      </c>
      <c r="E3603" s="2" t="s">
        <v>255</v>
      </c>
      <c r="F3603" s="2">
        <v>6.203579151E9</v>
      </c>
    </row>
    <row r="3604" ht="15.75" customHeight="1">
      <c r="A3604" s="2" t="s">
        <v>3222</v>
      </c>
      <c r="B3604" s="2" t="s">
        <v>675</v>
      </c>
      <c r="C3604" s="2" t="s">
        <v>235</v>
      </c>
      <c r="D3604" s="2" t="s">
        <v>26</v>
      </c>
      <c r="E3604" s="2" t="s">
        <v>19</v>
      </c>
      <c r="F3604" s="2">
        <v>7.439708349E9</v>
      </c>
    </row>
    <row r="3605" ht="15.75" customHeight="1">
      <c r="A3605" s="2" t="s">
        <v>3254</v>
      </c>
      <c r="B3605" s="2" t="s">
        <v>382</v>
      </c>
      <c r="C3605" s="2" t="s">
        <v>3255</v>
      </c>
      <c r="D3605" s="2" t="s">
        <v>9</v>
      </c>
      <c r="E3605" s="2" t="s">
        <v>282</v>
      </c>
      <c r="F3605" s="2">
        <v>7.894098881E9</v>
      </c>
    </row>
    <row r="3606" ht="15.75" customHeight="1">
      <c r="A3606" s="2" t="s">
        <v>2985</v>
      </c>
      <c r="B3606" s="2" t="s">
        <v>2985</v>
      </c>
      <c r="C3606" s="2" t="s">
        <v>3256</v>
      </c>
      <c r="D3606" s="2" t="s">
        <v>56</v>
      </c>
      <c r="E3606" s="2" t="s">
        <v>19</v>
      </c>
      <c r="F3606" s="2">
        <v>9.2795932E9</v>
      </c>
    </row>
    <row r="3607" ht="15.75" customHeight="1">
      <c r="A3607" s="2" t="s">
        <v>565</v>
      </c>
      <c r="B3607" s="2" t="s">
        <v>212</v>
      </c>
      <c r="C3607" s="2" t="s">
        <v>957</v>
      </c>
      <c r="D3607" s="2" t="s">
        <v>29</v>
      </c>
      <c r="E3607" s="2" t="s">
        <v>19</v>
      </c>
      <c r="F3607" s="2">
        <v>9.304722497E9</v>
      </c>
    </row>
    <row r="3608" ht="15.75" customHeight="1">
      <c r="A3608" s="2" t="s">
        <v>3257</v>
      </c>
      <c r="B3608" s="2" t="s">
        <v>3258</v>
      </c>
      <c r="C3608" s="2" t="s">
        <v>576</v>
      </c>
      <c r="D3608" s="2" t="s">
        <v>56</v>
      </c>
      <c r="E3608" s="2" t="s">
        <v>23</v>
      </c>
      <c r="F3608" s="2">
        <v>7.431394712E9</v>
      </c>
    </row>
    <row r="3609" ht="15.75" customHeight="1">
      <c r="A3609" s="2" t="s">
        <v>3259</v>
      </c>
      <c r="B3609" s="2" t="s">
        <v>63</v>
      </c>
      <c r="C3609" s="2" t="s">
        <v>3260</v>
      </c>
      <c r="D3609" s="2" t="s">
        <v>26</v>
      </c>
      <c r="E3609" s="2" t="s">
        <v>19</v>
      </c>
      <c r="F3609" s="2">
        <v>7.605078717E9</v>
      </c>
    </row>
    <row r="3610" ht="15.75" customHeight="1">
      <c r="A3610" s="2" t="s">
        <v>283</v>
      </c>
      <c r="B3610" s="2" t="s">
        <v>328</v>
      </c>
      <c r="C3610" s="2" t="s">
        <v>246</v>
      </c>
      <c r="D3610" s="2" t="s">
        <v>9</v>
      </c>
      <c r="E3610" s="2" t="s">
        <v>255</v>
      </c>
      <c r="F3610" s="2">
        <v>8.786940406E9</v>
      </c>
    </row>
    <row r="3611" ht="15.75" customHeight="1">
      <c r="A3611" s="2" t="s">
        <v>3261</v>
      </c>
      <c r="B3611" s="2" t="s">
        <v>1540</v>
      </c>
      <c r="C3611" s="2" t="s">
        <v>2376</v>
      </c>
      <c r="D3611" s="2" t="s">
        <v>26</v>
      </c>
      <c r="E3611" s="2" t="s">
        <v>19</v>
      </c>
      <c r="F3611" s="2">
        <v>9.102724058E9</v>
      </c>
    </row>
    <row r="3612" ht="15.75" customHeight="1">
      <c r="A3612" s="2" t="s">
        <v>3257</v>
      </c>
      <c r="B3612" s="2" t="s">
        <v>2170</v>
      </c>
      <c r="C3612" s="2" t="s">
        <v>3262</v>
      </c>
      <c r="D3612" s="2" t="s">
        <v>29</v>
      </c>
      <c r="E3612" s="2" t="s">
        <v>255</v>
      </c>
      <c r="F3612" s="2">
        <v>8.382171726E9</v>
      </c>
    </row>
    <row r="3613" ht="15.75" customHeight="1">
      <c r="A3613" s="2" t="s">
        <v>3263</v>
      </c>
      <c r="B3613" s="2" t="s">
        <v>170</v>
      </c>
      <c r="C3613" s="2" t="s">
        <v>254</v>
      </c>
      <c r="D3613" s="2" t="s">
        <v>26</v>
      </c>
      <c r="E3613" s="2" t="s">
        <v>255</v>
      </c>
      <c r="F3613" s="2">
        <v>9.155729286E9</v>
      </c>
    </row>
    <row r="3614" ht="15.75" customHeight="1">
      <c r="A3614" s="2" t="s">
        <v>3264</v>
      </c>
      <c r="B3614" s="2" t="s">
        <v>212</v>
      </c>
      <c r="C3614" s="2" t="s">
        <v>235</v>
      </c>
      <c r="D3614" s="2" t="s">
        <v>26</v>
      </c>
      <c r="E3614" s="2" t="s">
        <v>19</v>
      </c>
      <c r="F3614" s="2">
        <v>7.605078717E9</v>
      </c>
    </row>
    <row r="3615" ht="15.75" customHeight="1">
      <c r="A3615" s="2" t="s">
        <v>1429</v>
      </c>
      <c r="B3615" s="2" t="s">
        <v>320</v>
      </c>
      <c r="C3615" s="2" t="s">
        <v>106</v>
      </c>
      <c r="D3615" s="2" t="s">
        <v>26</v>
      </c>
      <c r="E3615" s="2" t="s">
        <v>19</v>
      </c>
      <c r="F3615" s="2">
        <v>9.204151163E9</v>
      </c>
    </row>
    <row r="3616" ht="15.75" customHeight="1">
      <c r="A3616" s="2" t="s">
        <v>244</v>
      </c>
      <c r="B3616" s="2" t="s">
        <v>50</v>
      </c>
      <c r="C3616" s="2" t="s">
        <v>957</v>
      </c>
      <c r="D3616" s="2" t="s">
        <v>9</v>
      </c>
      <c r="E3616" s="2" t="s">
        <v>19</v>
      </c>
      <c r="F3616" s="2">
        <v>6.2022269E9</v>
      </c>
    </row>
    <row r="3617" ht="15.75" customHeight="1">
      <c r="A3617" s="2" t="s">
        <v>1600</v>
      </c>
      <c r="B3617" s="2" t="s">
        <v>1480</v>
      </c>
      <c r="C3617" s="2" t="s">
        <v>235</v>
      </c>
      <c r="D3617" s="2" t="s">
        <v>26</v>
      </c>
      <c r="E3617" s="2" t="s">
        <v>19</v>
      </c>
      <c r="F3617" s="2">
        <v>6.204809431E9</v>
      </c>
    </row>
    <row r="3618" ht="15.75" customHeight="1">
      <c r="A3618" s="2" t="s">
        <v>3265</v>
      </c>
      <c r="B3618" s="2" t="s">
        <v>65</v>
      </c>
      <c r="C3618" s="2" t="s">
        <v>1139</v>
      </c>
      <c r="D3618" s="2" t="s">
        <v>9</v>
      </c>
      <c r="E3618" s="2" t="s">
        <v>19</v>
      </c>
      <c r="F3618" s="2">
        <v>8.29438445E9</v>
      </c>
    </row>
    <row r="3619" ht="15.75" customHeight="1">
      <c r="A3619" s="2" t="s">
        <v>829</v>
      </c>
      <c r="B3619" s="2" t="s">
        <v>191</v>
      </c>
      <c r="C3619" s="2" t="s">
        <v>1034</v>
      </c>
      <c r="D3619" s="2" t="s">
        <v>26</v>
      </c>
      <c r="E3619" s="2" t="s">
        <v>255</v>
      </c>
      <c r="F3619" s="2">
        <v>6.209374582E9</v>
      </c>
    </row>
    <row r="3620" ht="15.75" customHeight="1">
      <c r="A3620" s="2" t="s">
        <v>3266</v>
      </c>
      <c r="B3620" s="2" t="s">
        <v>1431</v>
      </c>
      <c r="C3620" s="2" t="s">
        <v>2225</v>
      </c>
      <c r="D3620" s="2" t="s">
        <v>29</v>
      </c>
      <c r="E3620" s="2" t="s">
        <v>255</v>
      </c>
      <c r="F3620" s="2">
        <v>7.004503919E9</v>
      </c>
    </row>
    <row r="3621" ht="15.75" customHeight="1">
      <c r="A3621" s="2" t="s">
        <v>1896</v>
      </c>
      <c r="B3621" s="2" t="s">
        <v>50</v>
      </c>
      <c r="C3621" s="2" t="s">
        <v>235</v>
      </c>
      <c r="D3621" s="2" t="s">
        <v>26</v>
      </c>
      <c r="E3621" s="2" t="s">
        <v>19</v>
      </c>
      <c r="F3621" s="2">
        <v>7.061955639E9</v>
      </c>
    </row>
    <row r="3622" ht="15.75" customHeight="1">
      <c r="A3622" s="2" t="s">
        <v>278</v>
      </c>
      <c r="B3622" s="2" t="s">
        <v>3267</v>
      </c>
      <c r="C3622" s="2" t="s">
        <v>3221</v>
      </c>
      <c r="D3622" s="2" t="s">
        <v>56</v>
      </c>
      <c r="E3622" s="2" t="s">
        <v>19</v>
      </c>
      <c r="F3622" s="2">
        <v>8.877009912E9</v>
      </c>
    </row>
    <row r="3623" ht="15.75" customHeight="1">
      <c r="A3623" s="2" t="s">
        <v>565</v>
      </c>
      <c r="B3623" s="2" t="s">
        <v>922</v>
      </c>
      <c r="C3623" s="2" t="s">
        <v>235</v>
      </c>
      <c r="D3623" s="2" t="s">
        <v>26</v>
      </c>
      <c r="E3623" s="2" t="s">
        <v>19</v>
      </c>
      <c r="F3623" s="2">
        <v>6.206295417E9</v>
      </c>
    </row>
    <row r="3624" ht="15.75" customHeight="1">
      <c r="A3624" s="2" t="s">
        <v>3268</v>
      </c>
      <c r="B3624" s="2" t="s">
        <v>119</v>
      </c>
      <c r="C3624" s="2" t="s">
        <v>592</v>
      </c>
      <c r="D3624" s="2" t="s">
        <v>26</v>
      </c>
      <c r="E3624" s="2" t="s">
        <v>19</v>
      </c>
      <c r="F3624" s="2">
        <v>8.154321212E9</v>
      </c>
    </row>
    <row r="3625" ht="15.75" customHeight="1">
      <c r="A3625" s="2" t="s">
        <v>298</v>
      </c>
      <c r="B3625" s="2" t="s">
        <v>71</v>
      </c>
      <c r="C3625" s="2" t="s">
        <v>556</v>
      </c>
      <c r="D3625" s="2" t="s">
        <v>56</v>
      </c>
      <c r="E3625" s="2" t="s">
        <v>255</v>
      </c>
      <c r="F3625" s="2">
        <v>8.0551188557E10</v>
      </c>
    </row>
    <row r="3626" ht="15.75" customHeight="1">
      <c r="A3626" s="2" t="s">
        <v>1067</v>
      </c>
      <c r="B3626" s="2" t="s">
        <v>88</v>
      </c>
      <c r="C3626" s="2" t="s">
        <v>235</v>
      </c>
      <c r="D3626" s="2" t="s">
        <v>26</v>
      </c>
      <c r="E3626" s="2" t="s">
        <v>23</v>
      </c>
      <c r="F3626" s="2">
        <v>7.788262212E9</v>
      </c>
    </row>
    <row r="3627" ht="15.75" customHeight="1">
      <c r="A3627" s="2" t="s">
        <v>2823</v>
      </c>
      <c r="B3627" s="2" t="s">
        <v>248</v>
      </c>
      <c r="C3627" s="2" t="s">
        <v>235</v>
      </c>
      <c r="D3627" s="2" t="s">
        <v>26</v>
      </c>
      <c r="E3627" s="2" t="s">
        <v>19</v>
      </c>
      <c r="F3627" s="2">
        <v>7.782868409E9</v>
      </c>
    </row>
    <row r="3628" ht="15.75" customHeight="1">
      <c r="A3628" s="2" t="s">
        <v>1044</v>
      </c>
      <c r="B3628" s="2" t="s">
        <v>654</v>
      </c>
      <c r="C3628" s="2" t="s">
        <v>957</v>
      </c>
      <c r="D3628" s="2" t="s">
        <v>9</v>
      </c>
      <c r="E3628" s="2" t="s">
        <v>19</v>
      </c>
      <c r="F3628" s="2">
        <v>6.204823742E9</v>
      </c>
    </row>
    <row r="3629" ht="15.75" customHeight="1">
      <c r="A3629" s="2" t="s">
        <v>1030</v>
      </c>
      <c r="B3629" s="2" t="s">
        <v>3269</v>
      </c>
      <c r="C3629" s="2" t="s">
        <v>274</v>
      </c>
      <c r="D3629" s="2" t="s">
        <v>44</v>
      </c>
      <c r="E3629" s="2" t="s">
        <v>255</v>
      </c>
      <c r="F3629" s="2">
        <v>6.220060478E9</v>
      </c>
    </row>
    <row r="3630" ht="15.75" customHeight="1">
      <c r="A3630" s="2" t="s">
        <v>3270</v>
      </c>
      <c r="B3630" s="2" t="s">
        <v>119</v>
      </c>
      <c r="C3630" s="2" t="s">
        <v>2376</v>
      </c>
      <c r="D3630" s="2" t="s">
        <v>26</v>
      </c>
      <c r="E3630" s="2" t="s">
        <v>19</v>
      </c>
      <c r="F3630" s="2">
        <v>7.643976311E9</v>
      </c>
    </row>
    <row r="3631" ht="15.75" customHeight="1">
      <c r="A3631" s="2" t="s">
        <v>1711</v>
      </c>
      <c r="B3631" s="2" t="s">
        <v>1173</v>
      </c>
      <c r="C3631" s="2" t="s">
        <v>235</v>
      </c>
      <c r="D3631" s="2" t="s">
        <v>26</v>
      </c>
      <c r="E3631" s="2" t="s">
        <v>19</v>
      </c>
      <c r="F3631" s="2">
        <v>9.955715189E9</v>
      </c>
    </row>
    <row r="3632" ht="15.75" customHeight="1">
      <c r="A3632" s="2" t="s">
        <v>1030</v>
      </c>
      <c r="B3632" s="2" t="s">
        <v>55</v>
      </c>
      <c r="C3632" s="2" t="s">
        <v>2123</v>
      </c>
      <c r="D3632" s="2" t="s">
        <v>14</v>
      </c>
      <c r="E3632" s="2" t="s">
        <v>255</v>
      </c>
      <c r="F3632" s="2">
        <v>9.006765367E9</v>
      </c>
    </row>
    <row r="3633" ht="15.75" customHeight="1">
      <c r="A3633" s="2" t="s">
        <v>1162</v>
      </c>
      <c r="B3633" s="2" t="s">
        <v>1173</v>
      </c>
      <c r="C3633" s="2" t="s">
        <v>632</v>
      </c>
      <c r="D3633" s="2" t="s">
        <v>9</v>
      </c>
      <c r="E3633" s="2" t="s">
        <v>255</v>
      </c>
      <c r="F3633" s="2">
        <v>9.835558189E9</v>
      </c>
    </row>
    <row r="3634" ht="15.75" customHeight="1">
      <c r="A3634" s="2" t="s">
        <v>3271</v>
      </c>
      <c r="B3634" s="2" t="s">
        <v>119</v>
      </c>
      <c r="C3634" s="2" t="s">
        <v>3272</v>
      </c>
      <c r="D3634" s="2" t="s">
        <v>26</v>
      </c>
      <c r="E3634" s="2" t="s">
        <v>19</v>
      </c>
      <c r="F3634" s="2">
        <v>9.525718922E9</v>
      </c>
    </row>
    <row r="3635" ht="15.75" customHeight="1">
      <c r="A3635" s="2" t="s">
        <v>1030</v>
      </c>
      <c r="B3635" s="2" t="s">
        <v>55</v>
      </c>
      <c r="C3635" s="2" t="s">
        <v>274</v>
      </c>
      <c r="D3635" s="2" t="s">
        <v>44</v>
      </c>
      <c r="E3635" s="2" t="s">
        <v>255</v>
      </c>
      <c r="F3635" s="2">
        <v>8.299417301E9</v>
      </c>
    </row>
    <row r="3636" ht="15.75" customHeight="1">
      <c r="A3636" s="2" t="s">
        <v>3273</v>
      </c>
      <c r="B3636" s="2" t="s">
        <v>47</v>
      </c>
      <c r="C3636" s="2" t="s">
        <v>300</v>
      </c>
      <c r="D3636" s="2" t="s">
        <v>14</v>
      </c>
      <c r="E3636" s="2" t="s">
        <v>19</v>
      </c>
      <c r="F3636" s="2">
        <v>8.409749553E9</v>
      </c>
    </row>
    <row r="3637" ht="15.75" customHeight="1">
      <c r="A3637" s="2" t="s">
        <v>1182</v>
      </c>
      <c r="B3637" s="2" t="s">
        <v>50</v>
      </c>
      <c r="C3637" s="2" t="s">
        <v>235</v>
      </c>
      <c r="D3637" s="2" t="s">
        <v>26</v>
      </c>
      <c r="E3637" s="2" t="s">
        <v>19</v>
      </c>
      <c r="F3637" s="2">
        <v>7.488085878E9</v>
      </c>
    </row>
    <row r="3638" ht="15.75" customHeight="1">
      <c r="A3638" s="2" t="s">
        <v>1030</v>
      </c>
      <c r="B3638" s="2" t="s">
        <v>1418</v>
      </c>
      <c r="C3638" s="2" t="s">
        <v>2432</v>
      </c>
      <c r="D3638" s="2" t="s">
        <v>9</v>
      </c>
      <c r="E3638" s="2" t="s">
        <v>255</v>
      </c>
      <c r="F3638" s="2">
        <v>9.931119076E9</v>
      </c>
    </row>
    <row r="3639" ht="15.75" customHeight="1">
      <c r="A3639" s="2" t="s">
        <v>3274</v>
      </c>
      <c r="B3639" s="2" t="s">
        <v>108</v>
      </c>
      <c r="C3639" s="2" t="s">
        <v>592</v>
      </c>
      <c r="D3639" s="2" t="s">
        <v>9</v>
      </c>
      <c r="E3639" s="2" t="s">
        <v>19</v>
      </c>
      <c r="F3639" s="2">
        <v>8.797313023E9</v>
      </c>
    </row>
    <row r="3640" ht="15.75" customHeight="1">
      <c r="A3640" s="2" t="s">
        <v>1111</v>
      </c>
      <c r="B3640" s="2" t="s">
        <v>2155</v>
      </c>
      <c r="C3640" s="2" t="s">
        <v>341</v>
      </c>
      <c r="D3640" s="2" t="s">
        <v>26</v>
      </c>
      <c r="E3640" s="2" t="s">
        <v>255</v>
      </c>
      <c r="F3640" s="2">
        <v>9.576202869E9</v>
      </c>
    </row>
    <row r="3641" ht="15.75" customHeight="1">
      <c r="A3641" s="2" t="s">
        <v>3275</v>
      </c>
      <c r="B3641" s="2" t="s">
        <v>153</v>
      </c>
      <c r="C3641" s="2" t="s">
        <v>235</v>
      </c>
      <c r="D3641" s="2" t="s">
        <v>26</v>
      </c>
      <c r="E3641" s="2" t="s">
        <v>19</v>
      </c>
      <c r="F3641" s="2">
        <v>8.235064248E9</v>
      </c>
    </row>
    <row r="3642" ht="15.75" customHeight="1">
      <c r="A3642" s="2" t="s">
        <v>1111</v>
      </c>
      <c r="B3642" s="2" t="s">
        <v>664</v>
      </c>
      <c r="C3642" s="2" t="s">
        <v>556</v>
      </c>
      <c r="D3642" s="2" t="s">
        <v>26</v>
      </c>
      <c r="E3642" s="2" t="s">
        <v>255</v>
      </c>
      <c r="F3642" s="2">
        <v>9.234353048E9</v>
      </c>
    </row>
    <row r="3643" ht="15.75" customHeight="1">
      <c r="A3643" s="2" t="s">
        <v>1162</v>
      </c>
      <c r="B3643" s="2" t="s">
        <v>55</v>
      </c>
      <c r="C3643" s="2" t="s">
        <v>3185</v>
      </c>
      <c r="D3643" s="2" t="s">
        <v>44</v>
      </c>
      <c r="E3643" s="2" t="s">
        <v>255</v>
      </c>
      <c r="F3643" s="2">
        <v>6.299908878E9</v>
      </c>
    </row>
    <row r="3644" ht="15.75" customHeight="1">
      <c r="A3644" s="2" t="s">
        <v>1393</v>
      </c>
      <c r="B3644" s="2" t="s">
        <v>220</v>
      </c>
      <c r="C3644" s="2" t="s">
        <v>235</v>
      </c>
      <c r="D3644" s="2" t="s">
        <v>26</v>
      </c>
      <c r="E3644" s="2" t="s">
        <v>19</v>
      </c>
      <c r="F3644" s="2">
        <v>7.667577296E9</v>
      </c>
    </row>
    <row r="3645" ht="15.75" customHeight="1">
      <c r="A3645" s="2" t="s">
        <v>398</v>
      </c>
      <c r="B3645" s="2" t="s">
        <v>909</v>
      </c>
      <c r="C3645" s="2" t="s">
        <v>2327</v>
      </c>
      <c r="D3645" s="2" t="s">
        <v>56</v>
      </c>
      <c r="E3645" s="2" t="s">
        <v>255</v>
      </c>
      <c r="F3645" s="2">
        <v>9.334946784E9</v>
      </c>
    </row>
    <row r="3646" ht="15.75" customHeight="1">
      <c r="A3646" s="2" t="s">
        <v>40</v>
      </c>
      <c r="B3646" s="2" t="s">
        <v>47</v>
      </c>
      <c r="C3646" s="2" t="s">
        <v>3276</v>
      </c>
      <c r="D3646" s="2" t="s">
        <v>44</v>
      </c>
      <c r="E3646" s="2" t="s">
        <v>282</v>
      </c>
      <c r="F3646" s="2">
        <v>9.427554465E9</v>
      </c>
    </row>
    <row r="3647" ht="15.75" customHeight="1">
      <c r="A3647" s="2" t="s">
        <v>3277</v>
      </c>
      <c r="B3647" s="2" t="s">
        <v>63</v>
      </c>
      <c r="C3647" s="2" t="s">
        <v>235</v>
      </c>
      <c r="D3647" s="2" t="s">
        <v>26</v>
      </c>
      <c r="E3647" s="2" t="s">
        <v>19</v>
      </c>
      <c r="F3647" s="2">
        <v>6.200809884E9</v>
      </c>
    </row>
    <row r="3648" ht="15.75" customHeight="1">
      <c r="A3648" s="2" t="s">
        <v>3278</v>
      </c>
      <c r="B3648" s="2" t="s">
        <v>276</v>
      </c>
      <c r="C3648" s="2" t="s">
        <v>3279</v>
      </c>
      <c r="D3648" s="2" t="s">
        <v>56</v>
      </c>
      <c r="E3648" s="2" t="s">
        <v>23</v>
      </c>
      <c r="F3648" s="2">
        <v>8.071661208E9</v>
      </c>
    </row>
    <row r="3649" ht="15.75" customHeight="1">
      <c r="A3649" s="2" t="s">
        <v>3280</v>
      </c>
      <c r="B3649" s="2" t="s">
        <v>2436</v>
      </c>
      <c r="C3649" s="2" t="s">
        <v>204</v>
      </c>
      <c r="D3649" s="2" t="s">
        <v>9</v>
      </c>
      <c r="E3649" s="2" t="s">
        <v>255</v>
      </c>
      <c r="F3649" s="2">
        <v>7.672630298E9</v>
      </c>
    </row>
    <row r="3650" ht="15.75" customHeight="1">
      <c r="A3650" s="2" t="s">
        <v>3281</v>
      </c>
      <c r="B3650" s="2" t="s">
        <v>65</v>
      </c>
      <c r="C3650" s="2" t="s">
        <v>235</v>
      </c>
      <c r="D3650" s="2" t="s">
        <v>26</v>
      </c>
      <c r="E3650" s="2" t="s">
        <v>19</v>
      </c>
      <c r="F3650" s="2">
        <v>9.142706306E9</v>
      </c>
    </row>
    <row r="3651" ht="15.75" customHeight="1">
      <c r="A3651" s="2" t="s">
        <v>40</v>
      </c>
      <c r="B3651" s="2" t="s">
        <v>65</v>
      </c>
      <c r="C3651" s="2" t="s">
        <v>2501</v>
      </c>
      <c r="D3651" s="2" t="s">
        <v>29</v>
      </c>
      <c r="E3651" s="2" t="s">
        <v>2115</v>
      </c>
      <c r="F3651" s="2">
        <v>9.874236557E9</v>
      </c>
    </row>
    <row r="3652" ht="15.75" customHeight="1">
      <c r="A3652" s="2" t="s">
        <v>3282</v>
      </c>
      <c r="B3652" s="2" t="s">
        <v>212</v>
      </c>
      <c r="C3652" s="2" t="s">
        <v>2434</v>
      </c>
      <c r="D3652" s="2" t="s">
        <v>102</v>
      </c>
      <c r="E3652" s="2" t="s">
        <v>255</v>
      </c>
      <c r="F3652" s="2">
        <v>7.765916857E9</v>
      </c>
    </row>
    <row r="3653" ht="15.75" customHeight="1">
      <c r="A3653" s="2" t="s">
        <v>617</v>
      </c>
      <c r="B3653" s="2" t="s">
        <v>1258</v>
      </c>
      <c r="C3653" s="2" t="s">
        <v>235</v>
      </c>
      <c r="D3653" s="2" t="s">
        <v>26</v>
      </c>
      <c r="E3653" s="2" t="s">
        <v>19</v>
      </c>
      <c r="F3653" s="2">
        <v>9.373342295E9</v>
      </c>
    </row>
    <row r="3654" ht="15.75" customHeight="1">
      <c r="A3654" s="2" t="s">
        <v>3283</v>
      </c>
      <c r="B3654" s="2" t="s">
        <v>3284</v>
      </c>
      <c r="C3654" s="2" t="s">
        <v>1692</v>
      </c>
      <c r="D3654" s="2" t="s">
        <v>14</v>
      </c>
      <c r="E3654" s="2" t="s">
        <v>193</v>
      </c>
      <c r="F3654" s="2">
        <v>9.321863121E9</v>
      </c>
    </row>
    <row r="3655" ht="15.75" customHeight="1">
      <c r="A3655" s="2" t="s">
        <v>3215</v>
      </c>
      <c r="B3655" s="2" t="s">
        <v>220</v>
      </c>
      <c r="C3655" s="2" t="s">
        <v>235</v>
      </c>
      <c r="D3655" s="2" t="s">
        <v>26</v>
      </c>
      <c r="E3655" s="2" t="s">
        <v>19</v>
      </c>
      <c r="F3655" s="2">
        <v>9.135949318E9</v>
      </c>
    </row>
    <row r="3656" ht="15.75" customHeight="1">
      <c r="A3656" s="2" t="s">
        <v>829</v>
      </c>
      <c r="B3656" s="2" t="s">
        <v>220</v>
      </c>
      <c r="C3656" s="2" t="s">
        <v>237</v>
      </c>
      <c r="D3656" s="2" t="s">
        <v>26</v>
      </c>
      <c r="E3656" s="2" t="s">
        <v>255</v>
      </c>
      <c r="F3656" s="2">
        <v>9.193937371E9</v>
      </c>
    </row>
    <row r="3657" ht="15.75" customHeight="1">
      <c r="A3657" s="2" t="s">
        <v>486</v>
      </c>
      <c r="B3657" s="2" t="s">
        <v>63</v>
      </c>
      <c r="C3657" s="2" t="s">
        <v>235</v>
      </c>
      <c r="D3657" s="2" t="s">
        <v>29</v>
      </c>
      <c r="E3657" s="2" t="s">
        <v>19</v>
      </c>
      <c r="F3657" s="2">
        <v>7.857926005E9</v>
      </c>
    </row>
    <row r="3658" ht="15.75" customHeight="1">
      <c r="A3658" s="2" t="s">
        <v>829</v>
      </c>
      <c r="B3658" s="2" t="s">
        <v>55</v>
      </c>
      <c r="C3658" s="2" t="s">
        <v>223</v>
      </c>
      <c r="D3658" s="2" t="s">
        <v>56</v>
      </c>
      <c r="E3658" s="2" t="s">
        <v>255</v>
      </c>
      <c r="F3658" s="2">
        <v>7.587835971E9</v>
      </c>
    </row>
    <row r="3659" ht="15.75" customHeight="1">
      <c r="A3659" s="2" t="s">
        <v>3285</v>
      </c>
      <c r="B3659" s="2" t="s">
        <v>55</v>
      </c>
      <c r="C3659" s="2" t="s">
        <v>1024</v>
      </c>
      <c r="D3659" s="2" t="s">
        <v>26</v>
      </c>
      <c r="E3659" s="2" t="s">
        <v>255</v>
      </c>
      <c r="F3659" s="2">
        <v>9.212655052E9</v>
      </c>
    </row>
    <row r="3660" ht="15.75" customHeight="1">
      <c r="A3660" s="2" t="s">
        <v>1422</v>
      </c>
      <c r="B3660" s="2" t="s">
        <v>119</v>
      </c>
      <c r="C3660" s="2" t="s">
        <v>235</v>
      </c>
      <c r="D3660" s="2" t="s">
        <v>26</v>
      </c>
      <c r="E3660" s="2" t="s">
        <v>19</v>
      </c>
      <c r="F3660" s="2">
        <v>6.299179982E9</v>
      </c>
    </row>
    <row r="3661" ht="15.75" customHeight="1">
      <c r="A3661" s="2" t="s">
        <v>3286</v>
      </c>
      <c r="B3661" s="2" t="s">
        <v>220</v>
      </c>
      <c r="C3661" s="2" t="s">
        <v>246</v>
      </c>
      <c r="D3661" s="2" t="s">
        <v>29</v>
      </c>
      <c r="E3661" s="2" t="s">
        <v>255</v>
      </c>
      <c r="F3661" s="2">
        <v>9.875952454E9</v>
      </c>
    </row>
    <row r="3662" ht="15.75" customHeight="1">
      <c r="A3662" s="2" t="s">
        <v>896</v>
      </c>
      <c r="B3662" s="2" t="s">
        <v>153</v>
      </c>
      <c r="C3662" s="2" t="s">
        <v>235</v>
      </c>
      <c r="D3662" s="2" t="s">
        <v>26</v>
      </c>
      <c r="E3662" s="2" t="s">
        <v>19</v>
      </c>
      <c r="F3662" s="2">
        <v>9.931056611E9</v>
      </c>
    </row>
    <row r="3663" ht="15.75" customHeight="1">
      <c r="A3663" s="2" t="s">
        <v>1162</v>
      </c>
      <c r="B3663" s="2" t="s">
        <v>212</v>
      </c>
      <c r="C3663" s="2" t="s">
        <v>595</v>
      </c>
      <c r="D3663" s="2" t="s">
        <v>14</v>
      </c>
      <c r="E3663" s="2" t="s">
        <v>255</v>
      </c>
      <c r="F3663" s="2">
        <v>6.717662631E9</v>
      </c>
    </row>
    <row r="3664" ht="15.75" customHeight="1">
      <c r="A3664" s="2" t="s">
        <v>131</v>
      </c>
      <c r="B3664" s="2" t="s">
        <v>992</v>
      </c>
      <c r="C3664" s="2" t="s">
        <v>1113</v>
      </c>
      <c r="D3664" s="2" t="s">
        <v>26</v>
      </c>
      <c r="E3664" s="2" t="s">
        <v>19</v>
      </c>
      <c r="F3664" s="2">
        <v>8.207575297E9</v>
      </c>
    </row>
    <row r="3665" ht="15.75" customHeight="1">
      <c r="A3665" s="2" t="s">
        <v>3285</v>
      </c>
      <c r="B3665" s="2" t="s">
        <v>559</v>
      </c>
      <c r="C3665" s="2" t="s">
        <v>373</v>
      </c>
      <c r="D3665" s="2" t="s">
        <v>14</v>
      </c>
      <c r="E3665" s="2" t="s">
        <v>255</v>
      </c>
      <c r="F3665" s="2">
        <v>8.102709011E9</v>
      </c>
    </row>
    <row r="3666" ht="15.75" customHeight="1">
      <c r="A3666" s="2" t="s">
        <v>1162</v>
      </c>
      <c r="B3666" s="2" t="s">
        <v>2155</v>
      </c>
      <c r="C3666" s="2" t="s">
        <v>2210</v>
      </c>
      <c r="D3666" s="2" t="s">
        <v>26</v>
      </c>
      <c r="E3666" s="2" t="s">
        <v>255</v>
      </c>
      <c r="F3666" s="2">
        <v>9.973778931E9</v>
      </c>
    </row>
    <row r="3667" ht="15.75" customHeight="1">
      <c r="A3667" s="2" t="s">
        <v>617</v>
      </c>
      <c r="B3667" s="2" t="s">
        <v>922</v>
      </c>
      <c r="C3667" s="2" t="s">
        <v>235</v>
      </c>
      <c r="D3667" s="2" t="s">
        <v>26</v>
      </c>
      <c r="E3667" s="2" t="s">
        <v>19</v>
      </c>
      <c r="F3667" s="2">
        <v>8.210517433E9</v>
      </c>
    </row>
    <row r="3668" ht="15.75" customHeight="1">
      <c r="A3668" s="2" t="s">
        <v>175</v>
      </c>
      <c r="B3668" s="2" t="s">
        <v>50</v>
      </c>
      <c r="C3668" s="2" t="s">
        <v>235</v>
      </c>
      <c r="D3668" s="2" t="s">
        <v>26</v>
      </c>
      <c r="E3668" s="2" t="s">
        <v>19</v>
      </c>
      <c r="F3668" s="2">
        <v>9.835723813E9</v>
      </c>
    </row>
    <row r="3669" ht="15.75" customHeight="1">
      <c r="A3669" s="2" t="s">
        <v>127</v>
      </c>
      <c r="B3669" s="2" t="s">
        <v>225</v>
      </c>
      <c r="C3669" s="2" t="s">
        <v>235</v>
      </c>
      <c r="D3669" s="2" t="s">
        <v>26</v>
      </c>
      <c r="E3669" s="2" t="s">
        <v>19</v>
      </c>
      <c r="F3669" s="2">
        <v>6.203337983E9</v>
      </c>
    </row>
    <row r="3670" ht="15.75" customHeight="1">
      <c r="A3670" s="2" t="s">
        <v>3287</v>
      </c>
      <c r="B3670" s="2" t="s">
        <v>382</v>
      </c>
      <c r="C3670" s="2" t="s">
        <v>300</v>
      </c>
      <c r="D3670" s="2" t="s">
        <v>56</v>
      </c>
      <c r="E3670" s="2" t="s">
        <v>19</v>
      </c>
      <c r="F3670" s="2">
        <v>7.574773419E9</v>
      </c>
    </row>
    <row r="3671" ht="15.75" customHeight="1">
      <c r="A3671" s="2" t="s">
        <v>1162</v>
      </c>
      <c r="B3671" s="2" t="s">
        <v>191</v>
      </c>
      <c r="C3671" s="2" t="s">
        <v>254</v>
      </c>
      <c r="D3671" s="2" t="s">
        <v>26</v>
      </c>
      <c r="E3671" s="2" t="s">
        <v>255</v>
      </c>
      <c r="F3671" s="2">
        <v>898754.0</v>
      </c>
    </row>
    <row r="3672" ht="15.75" customHeight="1">
      <c r="A3672" s="2" t="s">
        <v>3288</v>
      </c>
      <c r="B3672" s="2" t="s">
        <v>3289</v>
      </c>
      <c r="C3672" s="2" t="s">
        <v>2802</v>
      </c>
      <c r="D3672" s="2" t="s">
        <v>56</v>
      </c>
      <c r="E3672" s="2" t="s">
        <v>282</v>
      </c>
      <c r="F3672" s="2">
        <v>9.601975279E9</v>
      </c>
    </row>
    <row r="3673" ht="15.75" customHeight="1">
      <c r="A3673" s="2" t="s">
        <v>1162</v>
      </c>
      <c r="B3673" s="2" t="s">
        <v>269</v>
      </c>
      <c r="C3673" s="2" t="s">
        <v>254</v>
      </c>
      <c r="D3673" s="2" t="s">
        <v>26</v>
      </c>
      <c r="E3673" s="2" t="s">
        <v>255</v>
      </c>
      <c r="F3673" s="2">
        <v>8.987549885E9</v>
      </c>
    </row>
    <row r="3674" ht="15.75" customHeight="1">
      <c r="A3674" s="2" t="s">
        <v>1162</v>
      </c>
      <c r="B3674" s="2" t="s">
        <v>552</v>
      </c>
      <c r="C3674" s="2" t="s">
        <v>556</v>
      </c>
      <c r="D3674" s="2" t="s">
        <v>56</v>
      </c>
      <c r="E3674" s="2" t="s">
        <v>255</v>
      </c>
      <c r="F3674" s="2">
        <v>9.123429269E9</v>
      </c>
    </row>
    <row r="3675" ht="15.75" customHeight="1">
      <c r="A3675" s="2" t="s">
        <v>516</v>
      </c>
      <c r="B3675" s="2" t="s">
        <v>654</v>
      </c>
      <c r="C3675" s="2" t="s">
        <v>3290</v>
      </c>
      <c r="D3675" s="2" t="s">
        <v>29</v>
      </c>
      <c r="E3675" s="2" t="s">
        <v>2115</v>
      </c>
      <c r="F3675" s="2">
        <v>9.874091123E9</v>
      </c>
    </row>
    <row r="3676" ht="15.75" customHeight="1">
      <c r="A3676" s="2" t="s">
        <v>1162</v>
      </c>
      <c r="B3676" s="2" t="s">
        <v>550</v>
      </c>
      <c r="C3676" s="2" t="s">
        <v>576</v>
      </c>
      <c r="D3676" s="2" t="s">
        <v>44</v>
      </c>
      <c r="E3676" s="2" t="s">
        <v>255</v>
      </c>
      <c r="F3676" s="2">
        <v>9.134283141E9</v>
      </c>
    </row>
    <row r="3677" ht="15.75" customHeight="1">
      <c r="A3677" s="2" t="s">
        <v>3291</v>
      </c>
      <c r="B3677" s="2" t="s">
        <v>3292</v>
      </c>
      <c r="C3677" s="2" t="s">
        <v>556</v>
      </c>
      <c r="D3677" s="2" t="s">
        <v>56</v>
      </c>
      <c r="E3677" s="2" t="s">
        <v>255</v>
      </c>
      <c r="F3677" s="2">
        <v>7.903117698E9</v>
      </c>
    </row>
    <row r="3678" ht="15.75" customHeight="1">
      <c r="A3678" s="2" t="s">
        <v>1380</v>
      </c>
      <c r="B3678" s="2" t="s">
        <v>440</v>
      </c>
      <c r="C3678" s="2" t="s">
        <v>662</v>
      </c>
      <c r="D3678" s="2" t="s">
        <v>26</v>
      </c>
      <c r="E3678" s="2" t="s">
        <v>19</v>
      </c>
      <c r="F3678" s="2">
        <v>9.709905125E9</v>
      </c>
    </row>
    <row r="3679" ht="15.75" customHeight="1">
      <c r="A3679" s="2" t="s">
        <v>1380</v>
      </c>
      <c r="B3679" s="2" t="s">
        <v>3293</v>
      </c>
      <c r="C3679" s="2" t="s">
        <v>370</v>
      </c>
      <c r="D3679" s="2" t="s">
        <v>56</v>
      </c>
      <c r="E3679" s="2" t="s">
        <v>19</v>
      </c>
      <c r="F3679" s="2">
        <v>9.898177336E9</v>
      </c>
    </row>
    <row r="3680" ht="15.75" customHeight="1">
      <c r="A3680" s="2" t="s">
        <v>2445</v>
      </c>
      <c r="B3680" s="2" t="s">
        <v>119</v>
      </c>
      <c r="C3680" s="2" t="s">
        <v>235</v>
      </c>
      <c r="D3680" s="2" t="s">
        <v>26</v>
      </c>
      <c r="E3680" s="2" t="s">
        <v>19</v>
      </c>
      <c r="F3680" s="2">
        <v>6.203240851E9</v>
      </c>
    </row>
    <row r="3681" ht="15.75" customHeight="1">
      <c r="A3681" s="2" t="s">
        <v>3285</v>
      </c>
      <c r="B3681" s="2" t="s">
        <v>269</v>
      </c>
      <c r="C3681" s="2" t="s">
        <v>3294</v>
      </c>
      <c r="D3681" s="2" t="s">
        <v>44</v>
      </c>
      <c r="E3681" s="2" t="s">
        <v>282</v>
      </c>
      <c r="F3681" s="2">
        <v>9.998086029E9</v>
      </c>
    </row>
    <row r="3682" ht="15.75" customHeight="1">
      <c r="A3682" s="2" t="s">
        <v>3295</v>
      </c>
      <c r="B3682" s="2" t="s">
        <v>2916</v>
      </c>
      <c r="C3682" s="2" t="s">
        <v>235</v>
      </c>
      <c r="D3682" s="2" t="s">
        <v>26</v>
      </c>
      <c r="E3682" s="2" t="s">
        <v>19</v>
      </c>
      <c r="F3682" s="2">
        <v>9.123140316E9</v>
      </c>
    </row>
    <row r="3683" ht="15.75" customHeight="1">
      <c r="A3683" s="2" t="s">
        <v>565</v>
      </c>
      <c r="B3683" s="2" t="s">
        <v>50</v>
      </c>
      <c r="C3683" s="2" t="s">
        <v>235</v>
      </c>
      <c r="D3683" s="2" t="s">
        <v>26</v>
      </c>
      <c r="E3683" s="2" t="s">
        <v>19</v>
      </c>
      <c r="F3683" s="2">
        <v>9.798100069E9</v>
      </c>
    </row>
    <row r="3684" ht="15.75" customHeight="1">
      <c r="A3684" s="2" t="s">
        <v>795</v>
      </c>
      <c r="B3684" s="2" t="s">
        <v>308</v>
      </c>
      <c r="C3684" s="2" t="s">
        <v>1139</v>
      </c>
      <c r="D3684" s="2" t="s">
        <v>26</v>
      </c>
      <c r="E3684" s="2" t="s">
        <v>19</v>
      </c>
      <c r="F3684" s="2">
        <v>9.472765148E9</v>
      </c>
    </row>
    <row r="3685" ht="15.75" customHeight="1">
      <c r="A3685" s="2" t="s">
        <v>3296</v>
      </c>
      <c r="B3685" s="2" t="s">
        <v>654</v>
      </c>
      <c r="C3685" s="2" t="s">
        <v>235</v>
      </c>
      <c r="D3685" s="2" t="s">
        <v>26</v>
      </c>
      <c r="E3685" s="2" t="s">
        <v>19</v>
      </c>
      <c r="F3685" s="2">
        <v>9.798185726E9</v>
      </c>
    </row>
    <row r="3686" ht="15.75" customHeight="1">
      <c r="A3686" s="2" t="s">
        <v>3297</v>
      </c>
      <c r="B3686" s="2" t="s">
        <v>3298</v>
      </c>
      <c r="C3686" s="2" t="s">
        <v>3299</v>
      </c>
      <c r="D3686" s="2" t="s">
        <v>29</v>
      </c>
      <c r="E3686" s="2" t="s">
        <v>282</v>
      </c>
      <c r="F3686" s="2">
        <v>9.427554468E9</v>
      </c>
    </row>
    <row r="3687" ht="15.75" customHeight="1">
      <c r="A3687" s="2" t="s">
        <v>545</v>
      </c>
      <c r="B3687" s="2" t="s">
        <v>1258</v>
      </c>
      <c r="C3687" s="2" t="s">
        <v>235</v>
      </c>
      <c r="D3687" s="2" t="s">
        <v>26</v>
      </c>
      <c r="E3687" s="2" t="s">
        <v>19</v>
      </c>
      <c r="F3687" s="2">
        <v>8.789185726E9</v>
      </c>
    </row>
    <row r="3688" ht="15.75" customHeight="1">
      <c r="A3688" s="2" t="s">
        <v>2650</v>
      </c>
      <c r="B3688" s="2" t="s">
        <v>3300</v>
      </c>
      <c r="C3688" s="2" t="s">
        <v>3301</v>
      </c>
      <c r="D3688" s="2" t="s">
        <v>44</v>
      </c>
      <c r="E3688" s="2" t="s">
        <v>282</v>
      </c>
      <c r="F3688" s="2">
        <v>9.998639974E9</v>
      </c>
    </row>
    <row r="3689" ht="15.75" customHeight="1">
      <c r="A3689" s="2" t="s">
        <v>3302</v>
      </c>
      <c r="B3689" s="2" t="s">
        <v>312</v>
      </c>
      <c r="C3689" s="2" t="s">
        <v>235</v>
      </c>
      <c r="D3689" s="2" t="s">
        <v>26</v>
      </c>
      <c r="E3689" s="2" t="s">
        <v>19</v>
      </c>
      <c r="F3689" s="2">
        <v>7.209899815E9</v>
      </c>
    </row>
    <row r="3690" ht="15.75" customHeight="1">
      <c r="A3690" s="2" t="s">
        <v>545</v>
      </c>
      <c r="B3690" s="2" t="s">
        <v>3303</v>
      </c>
      <c r="C3690" s="2" t="s">
        <v>1798</v>
      </c>
      <c r="D3690" s="2" t="s">
        <v>56</v>
      </c>
      <c r="E3690" s="2" t="s">
        <v>19</v>
      </c>
      <c r="F3690" s="2">
        <v>9.207808386E9</v>
      </c>
    </row>
    <row r="3691" ht="15.75" customHeight="1">
      <c r="A3691" s="2" t="s">
        <v>381</v>
      </c>
      <c r="B3691" s="2" t="s">
        <v>150</v>
      </c>
      <c r="C3691" s="2" t="s">
        <v>235</v>
      </c>
      <c r="D3691" s="2" t="s">
        <v>26</v>
      </c>
      <c r="E3691" s="2" t="s">
        <v>19</v>
      </c>
      <c r="F3691" s="2">
        <v>6.299722139E9</v>
      </c>
    </row>
    <row r="3692" ht="15.75" customHeight="1">
      <c r="A3692" s="2" t="s">
        <v>496</v>
      </c>
      <c r="B3692" s="2" t="s">
        <v>125</v>
      </c>
      <c r="C3692" s="2" t="s">
        <v>305</v>
      </c>
      <c r="D3692" s="2" t="s">
        <v>9</v>
      </c>
      <c r="E3692" s="2" t="s">
        <v>19</v>
      </c>
      <c r="F3692" s="2">
        <v>9.386222821E9</v>
      </c>
    </row>
    <row r="3693" ht="15.75" customHeight="1">
      <c r="A3693" s="2" t="s">
        <v>3304</v>
      </c>
      <c r="B3693" s="2" t="s">
        <v>797</v>
      </c>
      <c r="C3693" s="2" t="s">
        <v>235</v>
      </c>
      <c r="D3693" s="2" t="s">
        <v>26</v>
      </c>
      <c r="E3693" s="2" t="s">
        <v>19</v>
      </c>
      <c r="F3693" s="2">
        <v>9.142306052E9</v>
      </c>
    </row>
    <row r="3694" ht="15.75" customHeight="1">
      <c r="A3694" s="2" t="s">
        <v>1030</v>
      </c>
      <c r="B3694" s="2" t="s">
        <v>719</v>
      </c>
      <c r="C3694" s="2" t="s">
        <v>237</v>
      </c>
      <c r="D3694" s="2" t="s">
        <v>26</v>
      </c>
      <c r="E3694" s="2" t="s">
        <v>255</v>
      </c>
      <c r="F3694" s="2">
        <v>9.431382613E9</v>
      </c>
    </row>
    <row r="3695" ht="15.75" customHeight="1">
      <c r="A3695" s="2" t="s">
        <v>545</v>
      </c>
      <c r="B3695" s="2" t="s">
        <v>50</v>
      </c>
      <c r="C3695" s="2" t="s">
        <v>2791</v>
      </c>
      <c r="D3695" s="2" t="s">
        <v>29</v>
      </c>
      <c r="E3695" s="2" t="s">
        <v>19</v>
      </c>
      <c r="F3695" s="2">
        <v>9.162658369E9</v>
      </c>
    </row>
    <row r="3696" ht="15.75" customHeight="1">
      <c r="A3696" s="2" t="s">
        <v>3305</v>
      </c>
      <c r="B3696" s="2" t="s">
        <v>269</v>
      </c>
      <c r="C3696" s="2" t="s">
        <v>235</v>
      </c>
      <c r="D3696" s="2" t="s">
        <v>26</v>
      </c>
      <c r="E3696" s="2" t="s">
        <v>19</v>
      </c>
      <c r="F3696" s="2">
        <v>6.207395052E9</v>
      </c>
    </row>
    <row r="3697" ht="15.75" customHeight="1">
      <c r="A3697" s="2" t="s">
        <v>3306</v>
      </c>
      <c r="B3697" s="2" t="s">
        <v>3307</v>
      </c>
      <c r="C3697" s="2" t="s">
        <v>3308</v>
      </c>
      <c r="D3697" s="2" t="s">
        <v>56</v>
      </c>
      <c r="E3697" s="2" t="s">
        <v>1008</v>
      </c>
      <c r="F3697" s="2">
        <v>9.825990991E9</v>
      </c>
    </row>
    <row r="3698" ht="15.75" customHeight="1">
      <c r="A3698" s="2" t="s">
        <v>2368</v>
      </c>
      <c r="B3698" s="2" t="s">
        <v>276</v>
      </c>
      <c r="C3698" s="2" t="s">
        <v>83</v>
      </c>
      <c r="D3698" s="2" t="s">
        <v>56</v>
      </c>
      <c r="E3698" s="2" t="s">
        <v>255</v>
      </c>
      <c r="F3698" s="2">
        <v>9.603064482E9</v>
      </c>
    </row>
    <row r="3699" ht="15.75" customHeight="1">
      <c r="A3699" s="2" t="s">
        <v>545</v>
      </c>
      <c r="B3699" s="2" t="s">
        <v>50</v>
      </c>
      <c r="C3699" s="2" t="s">
        <v>335</v>
      </c>
      <c r="D3699" s="2" t="s">
        <v>26</v>
      </c>
      <c r="E3699" s="2" t="s">
        <v>19</v>
      </c>
      <c r="F3699" s="2">
        <v>6.202690116E9</v>
      </c>
    </row>
    <row r="3700" ht="15.75" customHeight="1">
      <c r="A3700" s="2" t="s">
        <v>396</v>
      </c>
      <c r="B3700" s="2" t="s">
        <v>3309</v>
      </c>
      <c r="C3700" s="2" t="s">
        <v>410</v>
      </c>
      <c r="D3700" s="2" t="s">
        <v>44</v>
      </c>
      <c r="E3700" s="2" t="s">
        <v>282</v>
      </c>
      <c r="F3700" s="2">
        <v>9.099989316E9</v>
      </c>
    </row>
    <row r="3701" ht="15.75" customHeight="1">
      <c r="A3701" s="2" t="s">
        <v>381</v>
      </c>
      <c r="B3701" s="2" t="s">
        <v>108</v>
      </c>
      <c r="C3701" s="2" t="s">
        <v>235</v>
      </c>
      <c r="D3701" s="2" t="s">
        <v>26</v>
      </c>
      <c r="E3701" s="2" t="s">
        <v>19</v>
      </c>
      <c r="F3701" s="2">
        <v>7.004511218E9</v>
      </c>
    </row>
    <row r="3702" ht="15.75" customHeight="1">
      <c r="A3702" s="2" t="s">
        <v>2368</v>
      </c>
      <c r="B3702" s="2" t="s">
        <v>815</v>
      </c>
      <c r="C3702" s="2" t="s">
        <v>1003</v>
      </c>
      <c r="D3702" s="2" t="s">
        <v>44</v>
      </c>
      <c r="E3702" s="2" t="s">
        <v>255</v>
      </c>
      <c r="F3702" s="2">
        <v>9.905058805E9</v>
      </c>
    </row>
    <row r="3703" ht="15.75" customHeight="1">
      <c r="A3703" s="2" t="s">
        <v>3310</v>
      </c>
      <c r="B3703" s="2" t="s">
        <v>3311</v>
      </c>
      <c r="C3703" s="2" t="s">
        <v>1979</v>
      </c>
      <c r="D3703" s="2" t="s">
        <v>56</v>
      </c>
      <c r="E3703" s="2" t="s">
        <v>1008</v>
      </c>
      <c r="F3703" s="2">
        <v>9.825725403E9</v>
      </c>
    </row>
    <row r="3704" ht="15.75" customHeight="1">
      <c r="A3704" s="2" t="s">
        <v>1453</v>
      </c>
      <c r="B3704" s="2" t="s">
        <v>960</v>
      </c>
      <c r="C3704" s="2" t="s">
        <v>1720</v>
      </c>
      <c r="D3704" s="2" t="s">
        <v>44</v>
      </c>
      <c r="E3704" s="2" t="s">
        <v>19</v>
      </c>
      <c r="F3704" s="2">
        <v>8.26209162E9</v>
      </c>
    </row>
    <row r="3705" ht="15.75" customHeight="1">
      <c r="A3705" s="2" t="s">
        <v>3312</v>
      </c>
      <c r="B3705" s="2" t="s">
        <v>3313</v>
      </c>
      <c r="C3705" s="2" t="s">
        <v>3308</v>
      </c>
      <c r="D3705" s="2" t="s">
        <v>29</v>
      </c>
      <c r="E3705" s="2" t="s">
        <v>1008</v>
      </c>
      <c r="F3705" s="2">
        <v>9.68784432E9</v>
      </c>
    </row>
    <row r="3706" ht="15.75" customHeight="1">
      <c r="A3706" s="2" t="s">
        <v>744</v>
      </c>
      <c r="B3706" s="2" t="s">
        <v>654</v>
      </c>
      <c r="C3706" s="2" t="s">
        <v>235</v>
      </c>
      <c r="D3706" s="2" t="s">
        <v>26</v>
      </c>
      <c r="E3706" s="2" t="s">
        <v>19</v>
      </c>
      <c r="F3706" s="2">
        <v>9.576679932E9</v>
      </c>
    </row>
    <row r="3707" ht="15.75" customHeight="1">
      <c r="A3707" s="2" t="s">
        <v>3285</v>
      </c>
      <c r="B3707" s="2" t="s">
        <v>220</v>
      </c>
      <c r="C3707" s="2" t="s">
        <v>204</v>
      </c>
      <c r="D3707" s="2" t="s">
        <v>56</v>
      </c>
      <c r="E3707" s="2" t="s">
        <v>255</v>
      </c>
      <c r="F3707" s="2">
        <v>6.204212304E9</v>
      </c>
    </row>
    <row r="3708" ht="15.75" customHeight="1">
      <c r="A3708" s="2" t="s">
        <v>2003</v>
      </c>
      <c r="B3708" s="2" t="s">
        <v>1954</v>
      </c>
      <c r="C3708" s="2" t="s">
        <v>235</v>
      </c>
      <c r="D3708" s="2" t="s">
        <v>26</v>
      </c>
      <c r="E3708" s="2" t="s">
        <v>19</v>
      </c>
      <c r="F3708" s="2">
        <v>8.798203698E9</v>
      </c>
    </row>
    <row r="3709" ht="15.75" customHeight="1">
      <c r="A3709" s="2" t="s">
        <v>3314</v>
      </c>
      <c r="B3709" s="2" t="s">
        <v>675</v>
      </c>
      <c r="C3709" s="2" t="s">
        <v>3315</v>
      </c>
      <c r="D3709" s="2" t="s">
        <v>44</v>
      </c>
      <c r="E3709" s="2" t="s">
        <v>1008</v>
      </c>
      <c r="F3709" s="2">
        <v>8.46058102E9</v>
      </c>
    </row>
    <row r="3710" ht="15.75" customHeight="1">
      <c r="A3710" s="2" t="s">
        <v>1218</v>
      </c>
      <c r="B3710" s="2" t="s">
        <v>1540</v>
      </c>
      <c r="C3710" s="2" t="s">
        <v>235</v>
      </c>
      <c r="D3710" s="2" t="s">
        <v>26</v>
      </c>
      <c r="E3710" s="2" t="s">
        <v>19</v>
      </c>
      <c r="F3710" s="2">
        <v>7.050719534E9</v>
      </c>
    </row>
    <row r="3711" ht="15.75" customHeight="1">
      <c r="A3711" s="2" t="s">
        <v>3285</v>
      </c>
      <c r="B3711" s="2" t="s">
        <v>243</v>
      </c>
      <c r="C3711" s="2" t="s">
        <v>2432</v>
      </c>
      <c r="D3711" s="2" t="s">
        <v>26</v>
      </c>
      <c r="E3711" s="2" t="s">
        <v>255</v>
      </c>
      <c r="F3711" s="2">
        <v>9.631792884E9</v>
      </c>
    </row>
    <row r="3712" ht="15.75" customHeight="1">
      <c r="A3712" s="2" t="s">
        <v>3316</v>
      </c>
      <c r="B3712" s="2" t="s">
        <v>3311</v>
      </c>
      <c r="C3712" s="2" t="s">
        <v>1979</v>
      </c>
      <c r="D3712" s="2" t="s">
        <v>14</v>
      </c>
      <c r="E3712" s="2" t="s">
        <v>1008</v>
      </c>
      <c r="F3712" s="2">
        <v>9.825725403E9</v>
      </c>
    </row>
    <row r="3713" ht="15.75" customHeight="1">
      <c r="A3713" s="2" t="s">
        <v>1194</v>
      </c>
      <c r="B3713" s="2" t="s">
        <v>112</v>
      </c>
      <c r="C3713" s="2" t="s">
        <v>235</v>
      </c>
      <c r="D3713" s="2" t="s">
        <v>26</v>
      </c>
      <c r="E3713" s="2" t="s">
        <v>19</v>
      </c>
      <c r="F3713" s="2">
        <v>7.050605934E9</v>
      </c>
    </row>
    <row r="3714" ht="15.75" customHeight="1">
      <c r="A3714" s="2" t="s">
        <v>545</v>
      </c>
      <c r="B3714" s="2" t="s">
        <v>50</v>
      </c>
      <c r="C3714" s="2" t="s">
        <v>1792</v>
      </c>
      <c r="D3714" s="2" t="s">
        <v>26</v>
      </c>
      <c r="E3714" s="2" t="s">
        <v>19</v>
      </c>
      <c r="F3714" s="2">
        <v>8.084808873E9</v>
      </c>
    </row>
    <row r="3715" ht="15.75" customHeight="1">
      <c r="A3715" s="2" t="s">
        <v>3317</v>
      </c>
      <c r="B3715" s="2" t="s">
        <v>3318</v>
      </c>
      <c r="C3715" s="2" t="s">
        <v>3315</v>
      </c>
      <c r="D3715" s="2" t="s">
        <v>14</v>
      </c>
      <c r="E3715" s="2" t="s">
        <v>1008</v>
      </c>
      <c r="F3715" s="2">
        <v>9.687627806E9</v>
      </c>
    </row>
    <row r="3716" ht="15.75" customHeight="1">
      <c r="A3716" s="2" t="s">
        <v>1453</v>
      </c>
      <c r="B3716" s="2" t="s">
        <v>108</v>
      </c>
      <c r="C3716" s="2" t="s">
        <v>1036</v>
      </c>
      <c r="D3716" s="2" t="s">
        <v>44</v>
      </c>
      <c r="E3716" s="2" t="s">
        <v>19</v>
      </c>
      <c r="F3716" s="2">
        <v>9.334898774E9</v>
      </c>
    </row>
    <row r="3717" ht="15.75" customHeight="1">
      <c r="A3717" s="2" t="s">
        <v>127</v>
      </c>
      <c r="B3717" s="2" t="s">
        <v>1397</v>
      </c>
      <c r="C3717" s="2" t="s">
        <v>235</v>
      </c>
      <c r="D3717" s="2" t="s">
        <v>26</v>
      </c>
      <c r="E3717" s="2" t="s">
        <v>19</v>
      </c>
      <c r="F3717" s="2">
        <v>8.863812969E9</v>
      </c>
    </row>
    <row r="3718" ht="15.75" customHeight="1">
      <c r="A3718" s="2" t="s">
        <v>3285</v>
      </c>
      <c r="B3718" s="2" t="s">
        <v>3319</v>
      </c>
      <c r="C3718" s="2" t="s">
        <v>556</v>
      </c>
      <c r="D3718" s="2" t="s">
        <v>26</v>
      </c>
      <c r="E3718" s="2" t="s">
        <v>255</v>
      </c>
      <c r="F3718" s="2">
        <v>9.890841353E9</v>
      </c>
    </row>
    <row r="3719" ht="15.75" customHeight="1">
      <c r="A3719" s="2" t="s">
        <v>2176</v>
      </c>
      <c r="B3719" s="2" t="s">
        <v>2143</v>
      </c>
      <c r="C3719" s="2" t="s">
        <v>235</v>
      </c>
      <c r="D3719" s="2" t="s">
        <v>26</v>
      </c>
      <c r="E3719" s="2" t="s">
        <v>19</v>
      </c>
      <c r="F3719" s="2">
        <v>9.304179115E9</v>
      </c>
    </row>
    <row r="3720" ht="15.75" customHeight="1">
      <c r="A3720" s="2" t="s">
        <v>545</v>
      </c>
      <c r="B3720" s="2" t="s">
        <v>50</v>
      </c>
      <c r="C3720" s="2" t="s">
        <v>235</v>
      </c>
      <c r="D3720" s="2" t="s">
        <v>26</v>
      </c>
      <c r="E3720" s="2" t="s">
        <v>19</v>
      </c>
      <c r="F3720" s="2">
        <v>7.909032864E9</v>
      </c>
    </row>
    <row r="3721" ht="15.75" customHeight="1">
      <c r="A3721" s="2" t="s">
        <v>3320</v>
      </c>
      <c r="B3721" s="2" t="s">
        <v>3321</v>
      </c>
      <c r="C3721" s="2" t="s">
        <v>3322</v>
      </c>
      <c r="D3721" s="2" t="s">
        <v>56</v>
      </c>
      <c r="E3721" s="2" t="s">
        <v>1008</v>
      </c>
      <c r="F3721" s="2">
        <v>9.909028464E9</v>
      </c>
    </row>
    <row r="3722" ht="15.75" customHeight="1">
      <c r="A3722" s="2" t="s">
        <v>3285</v>
      </c>
      <c r="B3722" s="2" t="s">
        <v>55</v>
      </c>
      <c r="C3722" s="2" t="s">
        <v>235</v>
      </c>
      <c r="D3722" s="2" t="s">
        <v>26</v>
      </c>
      <c r="E3722" s="2" t="s">
        <v>19</v>
      </c>
      <c r="F3722" s="2">
        <v>7.461800324E9</v>
      </c>
    </row>
    <row r="3723" ht="15.75" customHeight="1">
      <c r="A3723" s="2" t="s">
        <v>1836</v>
      </c>
      <c r="B3723" s="2" t="s">
        <v>3323</v>
      </c>
      <c r="C3723" s="2" t="s">
        <v>1742</v>
      </c>
      <c r="D3723" s="2" t="s">
        <v>9</v>
      </c>
      <c r="E3723" s="2" t="s">
        <v>1008</v>
      </c>
      <c r="F3723" s="2">
        <v>9.427357757E9</v>
      </c>
    </row>
    <row r="3724" ht="15.75" customHeight="1">
      <c r="A3724" s="2" t="s">
        <v>3297</v>
      </c>
      <c r="B3724" s="2" t="s">
        <v>320</v>
      </c>
      <c r="C3724" s="2" t="s">
        <v>3324</v>
      </c>
      <c r="D3724" s="2" t="s">
        <v>56</v>
      </c>
      <c r="E3724" s="2" t="s">
        <v>255</v>
      </c>
      <c r="F3724" s="2">
        <v>9.43437599E9</v>
      </c>
    </row>
    <row r="3725" ht="15.75" customHeight="1">
      <c r="A3725" s="2" t="s">
        <v>2472</v>
      </c>
      <c r="B3725" s="2" t="s">
        <v>382</v>
      </c>
      <c r="C3725" s="2" t="s">
        <v>300</v>
      </c>
      <c r="D3725" s="2" t="s">
        <v>26</v>
      </c>
      <c r="E3725" s="2" t="s">
        <v>19</v>
      </c>
      <c r="F3725" s="2">
        <v>9.43142172E9</v>
      </c>
    </row>
    <row r="3726" ht="15.75" customHeight="1">
      <c r="A3726" s="2" t="s">
        <v>3325</v>
      </c>
      <c r="B3726" s="2" t="s">
        <v>3326</v>
      </c>
      <c r="C3726" s="2" t="s">
        <v>235</v>
      </c>
      <c r="D3726" s="2" t="s">
        <v>26</v>
      </c>
      <c r="E3726" s="2" t="s">
        <v>19</v>
      </c>
      <c r="F3726" s="2">
        <v>6.203778794E9</v>
      </c>
    </row>
    <row r="3727" ht="15.75" customHeight="1">
      <c r="A3727" s="2" t="s">
        <v>3327</v>
      </c>
      <c r="B3727" s="2" t="s">
        <v>800</v>
      </c>
      <c r="C3727" s="2" t="s">
        <v>3328</v>
      </c>
      <c r="D3727" s="2" t="s">
        <v>56</v>
      </c>
      <c r="E3727" s="2" t="s">
        <v>19</v>
      </c>
      <c r="F3727" s="2">
        <v>9.57659425E9</v>
      </c>
    </row>
    <row r="3728" ht="15.75" customHeight="1">
      <c r="A3728" s="2" t="s">
        <v>405</v>
      </c>
      <c r="B3728" s="2" t="s">
        <v>119</v>
      </c>
      <c r="C3728" s="2" t="s">
        <v>235</v>
      </c>
      <c r="D3728" s="2" t="s">
        <v>26</v>
      </c>
      <c r="E3728" s="2" t="s">
        <v>19</v>
      </c>
      <c r="F3728" s="2">
        <v>8.434404177E9</v>
      </c>
    </row>
    <row r="3729" ht="15.75" customHeight="1">
      <c r="A3729" s="2" t="s">
        <v>3329</v>
      </c>
      <c r="B3729" s="2" t="s">
        <v>276</v>
      </c>
      <c r="C3729" s="2" t="s">
        <v>341</v>
      </c>
      <c r="D3729" s="2" t="s">
        <v>29</v>
      </c>
      <c r="E3729" s="2" t="s">
        <v>255</v>
      </c>
      <c r="F3729" s="2">
        <v>9.616169558E9</v>
      </c>
    </row>
    <row r="3730" ht="15.75" customHeight="1">
      <c r="A3730" s="2" t="s">
        <v>1610</v>
      </c>
      <c r="B3730" s="2" t="s">
        <v>63</v>
      </c>
      <c r="C3730" s="2" t="s">
        <v>235</v>
      </c>
      <c r="D3730" s="2" t="s">
        <v>26</v>
      </c>
      <c r="E3730" s="2" t="s">
        <v>19</v>
      </c>
      <c r="F3730" s="2">
        <v>9.801648555E9</v>
      </c>
    </row>
    <row r="3731" ht="15.75" customHeight="1">
      <c r="A3731" s="2" t="s">
        <v>530</v>
      </c>
      <c r="B3731" s="2" t="s">
        <v>2479</v>
      </c>
      <c r="C3731" s="2" t="s">
        <v>455</v>
      </c>
      <c r="D3731" s="2" t="s">
        <v>44</v>
      </c>
      <c r="E3731" s="2" t="s">
        <v>19</v>
      </c>
      <c r="F3731" s="2">
        <v>9.481821705E9</v>
      </c>
    </row>
    <row r="3732" ht="15.75" customHeight="1">
      <c r="A3732" s="2" t="s">
        <v>1918</v>
      </c>
      <c r="B3732" s="2" t="s">
        <v>3330</v>
      </c>
      <c r="C3732" s="2" t="s">
        <v>265</v>
      </c>
      <c r="D3732" s="2" t="s">
        <v>26</v>
      </c>
      <c r="E3732" s="2" t="s">
        <v>19</v>
      </c>
      <c r="F3732" s="2">
        <v>6.200727087E9</v>
      </c>
    </row>
    <row r="3733" ht="15.75" customHeight="1">
      <c r="A3733" s="2" t="s">
        <v>1481</v>
      </c>
      <c r="B3733" s="2" t="s">
        <v>50</v>
      </c>
      <c r="C3733" s="2" t="s">
        <v>235</v>
      </c>
      <c r="D3733" s="2" t="s">
        <v>102</v>
      </c>
      <c r="E3733" s="2" t="s">
        <v>19</v>
      </c>
      <c r="F3733" s="2">
        <v>7.903811896E9</v>
      </c>
    </row>
    <row r="3734" ht="15.75" customHeight="1">
      <c r="A3734" s="2" t="s">
        <v>298</v>
      </c>
      <c r="B3734" s="2" t="s">
        <v>55</v>
      </c>
      <c r="C3734" s="2" t="s">
        <v>556</v>
      </c>
      <c r="D3734" s="2" t="s">
        <v>56</v>
      </c>
      <c r="E3734" s="2" t="s">
        <v>255</v>
      </c>
      <c r="F3734" s="2">
        <v>8.52553771E8</v>
      </c>
    </row>
    <row r="3735" ht="15.75" customHeight="1">
      <c r="A3735" s="2" t="s">
        <v>111</v>
      </c>
      <c r="B3735" s="2" t="s">
        <v>50</v>
      </c>
      <c r="C3735" s="2" t="s">
        <v>650</v>
      </c>
      <c r="D3735" s="2" t="s">
        <v>9</v>
      </c>
      <c r="E3735" s="2" t="s">
        <v>19</v>
      </c>
      <c r="F3735" s="2">
        <v>7.644046428E9</v>
      </c>
    </row>
    <row r="3736" ht="15.75" customHeight="1">
      <c r="A3736" s="2" t="s">
        <v>2081</v>
      </c>
      <c r="B3736" s="2" t="s">
        <v>1147</v>
      </c>
      <c r="C3736" s="2" t="s">
        <v>235</v>
      </c>
      <c r="D3736" s="2" t="s">
        <v>102</v>
      </c>
      <c r="E3736" s="2" t="s">
        <v>19</v>
      </c>
      <c r="F3736" s="2">
        <v>9.523237649E9</v>
      </c>
    </row>
    <row r="3737" ht="15.75" customHeight="1">
      <c r="A3737" s="2" t="s">
        <v>298</v>
      </c>
      <c r="B3737" s="2" t="s">
        <v>55</v>
      </c>
      <c r="C3737" s="2" t="s">
        <v>2811</v>
      </c>
      <c r="D3737" s="2" t="s">
        <v>56</v>
      </c>
      <c r="E3737" s="2" t="s">
        <v>255</v>
      </c>
      <c r="F3737" s="2">
        <v>9.304027667E9</v>
      </c>
    </row>
    <row r="3738" ht="15.75" customHeight="1">
      <c r="A3738" s="2" t="s">
        <v>3331</v>
      </c>
      <c r="B3738" s="2" t="s">
        <v>50</v>
      </c>
      <c r="C3738" s="2" t="s">
        <v>235</v>
      </c>
      <c r="D3738" s="2" t="s">
        <v>26</v>
      </c>
      <c r="E3738" s="2" t="s">
        <v>19</v>
      </c>
      <c r="F3738" s="2">
        <v>8.797057685E9</v>
      </c>
    </row>
    <row r="3739" ht="15.75" customHeight="1">
      <c r="A3739" s="2" t="s">
        <v>3332</v>
      </c>
      <c r="B3739" s="2" t="s">
        <v>3333</v>
      </c>
      <c r="C3739" s="2" t="s">
        <v>330</v>
      </c>
      <c r="D3739" s="2" t="s">
        <v>14</v>
      </c>
      <c r="E3739" s="2" t="s">
        <v>402</v>
      </c>
      <c r="F3739" s="2">
        <v>9.099464369E9</v>
      </c>
    </row>
    <row r="3740" ht="15.75" customHeight="1">
      <c r="A3740" s="2" t="s">
        <v>298</v>
      </c>
      <c r="B3740" s="2" t="s">
        <v>2155</v>
      </c>
      <c r="C3740" s="2" t="s">
        <v>237</v>
      </c>
      <c r="D3740" s="2" t="s">
        <v>44</v>
      </c>
      <c r="E3740" s="2" t="s">
        <v>255</v>
      </c>
      <c r="F3740" s="2">
        <v>7.209611451E9</v>
      </c>
    </row>
    <row r="3741" ht="15.75" customHeight="1">
      <c r="A3741" s="2" t="s">
        <v>1918</v>
      </c>
      <c r="B3741" s="2" t="s">
        <v>63</v>
      </c>
      <c r="C3741" s="2" t="s">
        <v>2791</v>
      </c>
      <c r="D3741" s="2" t="s">
        <v>29</v>
      </c>
      <c r="E3741" s="2" t="s">
        <v>19</v>
      </c>
      <c r="F3741" s="2">
        <v>8.709381971E9</v>
      </c>
    </row>
    <row r="3742" ht="15.75" customHeight="1">
      <c r="A3742" s="2" t="s">
        <v>636</v>
      </c>
      <c r="B3742" s="2" t="s">
        <v>1791</v>
      </c>
      <c r="C3742" s="2" t="s">
        <v>3334</v>
      </c>
      <c r="D3742" s="2" t="s">
        <v>44</v>
      </c>
      <c r="E3742" s="2" t="s">
        <v>1008</v>
      </c>
      <c r="F3742" s="2">
        <v>9.722530094E9</v>
      </c>
    </row>
    <row r="3743" ht="15.75" customHeight="1">
      <c r="A3743" s="2" t="s">
        <v>3335</v>
      </c>
      <c r="B3743" s="2" t="s">
        <v>63</v>
      </c>
      <c r="C3743" s="2" t="s">
        <v>235</v>
      </c>
      <c r="D3743" s="2" t="s">
        <v>26</v>
      </c>
      <c r="E3743" s="2" t="s">
        <v>19</v>
      </c>
      <c r="F3743" s="2">
        <v>8.092230799E9</v>
      </c>
    </row>
    <row r="3744" ht="15.75" customHeight="1">
      <c r="A3744" s="2" t="s">
        <v>298</v>
      </c>
      <c r="B3744" s="2" t="s">
        <v>269</v>
      </c>
      <c r="C3744" s="2" t="s">
        <v>867</v>
      </c>
      <c r="D3744" s="2" t="s">
        <v>14</v>
      </c>
      <c r="E3744" s="2" t="s">
        <v>255</v>
      </c>
      <c r="F3744" s="2">
        <v>7.091216234E9</v>
      </c>
    </row>
    <row r="3745" ht="15.75" customHeight="1">
      <c r="A3745" s="2" t="s">
        <v>1612</v>
      </c>
      <c r="B3745" s="2" t="s">
        <v>119</v>
      </c>
      <c r="C3745" s="2" t="s">
        <v>235</v>
      </c>
      <c r="D3745" s="2" t="s">
        <v>26</v>
      </c>
      <c r="E3745" s="2" t="s">
        <v>19</v>
      </c>
      <c r="F3745" s="2">
        <v>6.203877292E9</v>
      </c>
    </row>
    <row r="3746" ht="15.75" customHeight="1">
      <c r="A3746" s="2" t="s">
        <v>636</v>
      </c>
      <c r="B3746" s="2" t="s">
        <v>50</v>
      </c>
      <c r="C3746" s="2" t="s">
        <v>1794</v>
      </c>
      <c r="D3746" s="2" t="s">
        <v>26</v>
      </c>
      <c r="E3746" s="2" t="s">
        <v>19</v>
      </c>
      <c r="F3746" s="2">
        <v>7.061949821E9</v>
      </c>
    </row>
    <row r="3747" ht="15.75" customHeight="1">
      <c r="A3747" s="2" t="s">
        <v>3336</v>
      </c>
      <c r="B3747" s="2" t="s">
        <v>992</v>
      </c>
      <c r="C3747" s="2" t="s">
        <v>627</v>
      </c>
      <c r="D3747" s="2" t="s">
        <v>14</v>
      </c>
      <c r="E3747" s="2" t="s">
        <v>19</v>
      </c>
      <c r="F3747" s="2">
        <v>9.804536986E9</v>
      </c>
    </row>
    <row r="3748" ht="15.75" customHeight="1">
      <c r="A3748" s="2" t="s">
        <v>298</v>
      </c>
      <c r="B3748" s="2" t="s">
        <v>52</v>
      </c>
      <c r="C3748" s="2" t="s">
        <v>246</v>
      </c>
      <c r="D3748" s="2" t="s">
        <v>14</v>
      </c>
      <c r="E3748" s="2" t="s">
        <v>255</v>
      </c>
      <c r="F3748" s="2">
        <v>6.200219726E9</v>
      </c>
    </row>
    <row r="3749" ht="15.75" customHeight="1">
      <c r="A3749" s="2" t="s">
        <v>2926</v>
      </c>
      <c r="B3749" s="2" t="s">
        <v>3337</v>
      </c>
      <c r="C3749" s="2" t="s">
        <v>2771</v>
      </c>
      <c r="D3749" s="2" t="s">
        <v>9</v>
      </c>
      <c r="E3749" s="2" t="s">
        <v>1008</v>
      </c>
      <c r="F3749" s="2">
        <v>9.426335943E9</v>
      </c>
    </row>
    <row r="3750" ht="15.75" customHeight="1">
      <c r="A3750" s="2" t="s">
        <v>2305</v>
      </c>
      <c r="B3750" s="2" t="s">
        <v>50</v>
      </c>
      <c r="C3750" s="2" t="s">
        <v>333</v>
      </c>
      <c r="D3750" s="2" t="s">
        <v>26</v>
      </c>
      <c r="E3750" s="2" t="s">
        <v>19</v>
      </c>
      <c r="F3750" s="2">
        <v>7.761865549E9</v>
      </c>
    </row>
    <row r="3751" ht="15.75" customHeight="1">
      <c r="A3751" s="2" t="s">
        <v>3338</v>
      </c>
      <c r="B3751" s="2" t="s">
        <v>3339</v>
      </c>
      <c r="C3751" s="2" t="s">
        <v>1350</v>
      </c>
      <c r="D3751" s="2" t="s">
        <v>56</v>
      </c>
      <c r="E3751" s="2" t="s">
        <v>402</v>
      </c>
      <c r="F3751" s="2">
        <v>9.601541403E9</v>
      </c>
    </row>
    <row r="3752" ht="15.75" customHeight="1">
      <c r="A3752" s="2" t="s">
        <v>1918</v>
      </c>
      <c r="B3752" s="2" t="s">
        <v>78</v>
      </c>
      <c r="C3752" s="2" t="s">
        <v>3340</v>
      </c>
      <c r="D3752" s="2" t="s">
        <v>44</v>
      </c>
      <c r="E3752" s="2" t="s">
        <v>282</v>
      </c>
      <c r="F3752" s="2">
        <v>9.712978138E9</v>
      </c>
    </row>
    <row r="3753" ht="15.75" customHeight="1">
      <c r="A3753" s="2" t="s">
        <v>2584</v>
      </c>
      <c r="B3753" s="2" t="s">
        <v>3341</v>
      </c>
      <c r="C3753" s="2" t="s">
        <v>3322</v>
      </c>
      <c r="D3753" s="2" t="s">
        <v>9</v>
      </c>
      <c r="E3753" s="2" t="s">
        <v>1008</v>
      </c>
      <c r="F3753" s="2">
        <v>9.72667689E9</v>
      </c>
    </row>
    <row r="3754" ht="15.75" customHeight="1">
      <c r="A3754" s="2" t="s">
        <v>1464</v>
      </c>
      <c r="B3754" s="2" t="s">
        <v>119</v>
      </c>
      <c r="C3754" s="2" t="s">
        <v>235</v>
      </c>
      <c r="D3754" s="2" t="s">
        <v>26</v>
      </c>
      <c r="E3754" s="2" t="s">
        <v>19</v>
      </c>
      <c r="F3754" s="2">
        <v>7.325092759E9</v>
      </c>
    </row>
    <row r="3755" ht="15.75" customHeight="1">
      <c r="A3755" s="2" t="s">
        <v>2363</v>
      </c>
      <c r="B3755" s="2" t="s">
        <v>3342</v>
      </c>
      <c r="C3755" s="2" t="s">
        <v>3343</v>
      </c>
      <c r="D3755" s="2" t="s">
        <v>26</v>
      </c>
      <c r="E3755" s="2" t="s">
        <v>1008</v>
      </c>
      <c r="F3755" s="2">
        <v>8.141525013E9</v>
      </c>
    </row>
    <row r="3756" ht="15.75" customHeight="1">
      <c r="A3756" s="2" t="s">
        <v>3344</v>
      </c>
      <c r="B3756" s="2" t="s">
        <v>50</v>
      </c>
      <c r="C3756" s="2" t="s">
        <v>1798</v>
      </c>
      <c r="D3756" s="2" t="s">
        <v>26</v>
      </c>
      <c r="E3756" s="2" t="s">
        <v>19</v>
      </c>
      <c r="F3756" s="2">
        <v>8.603800312E9</v>
      </c>
    </row>
    <row r="3757" ht="15.75" customHeight="1">
      <c r="A3757" s="2" t="s">
        <v>3345</v>
      </c>
      <c r="B3757" s="2" t="s">
        <v>3346</v>
      </c>
      <c r="C3757" s="2" t="s">
        <v>246</v>
      </c>
      <c r="D3757" s="2" t="s">
        <v>44</v>
      </c>
      <c r="E3757" s="2" t="s">
        <v>255</v>
      </c>
      <c r="F3757" s="2">
        <v>6.205658389E9</v>
      </c>
    </row>
    <row r="3758" ht="15.75" customHeight="1">
      <c r="A3758" s="2" t="s">
        <v>3347</v>
      </c>
      <c r="B3758" s="2" t="s">
        <v>3348</v>
      </c>
      <c r="C3758" s="2" t="s">
        <v>3349</v>
      </c>
      <c r="D3758" s="2" t="s">
        <v>102</v>
      </c>
      <c r="E3758" s="2" t="s">
        <v>402</v>
      </c>
      <c r="F3758" s="2">
        <v>9.879002086E9</v>
      </c>
    </row>
    <row r="3759" ht="15.75" customHeight="1">
      <c r="A3759" s="2" t="s">
        <v>1660</v>
      </c>
      <c r="B3759" s="2" t="s">
        <v>50</v>
      </c>
      <c r="C3759" s="2" t="s">
        <v>650</v>
      </c>
      <c r="D3759" s="2" t="s">
        <v>9</v>
      </c>
      <c r="E3759" s="2" t="s">
        <v>19</v>
      </c>
      <c r="F3759" s="2">
        <v>6.361054451E9</v>
      </c>
    </row>
    <row r="3760" ht="15.75" customHeight="1">
      <c r="A3760" s="2" t="s">
        <v>3350</v>
      </c>
      <c r="B3760" s="2" t="s">
        <v>50</v>
      </c>
      <c r="C3760" s="2" t="s">
        <v>3351</v>
      </c>
      <c r="D3760" s="2" t="s">
        <v>9</v>
      </c>
      <c r="E3760" s="2" t="s">
        <v>19</v>
      </c>
      <c r="F3760" s="2">
        <v>8.002875156E9</v>
      </c>
    </row>
    <row r="3761" ht="15.75" customHeight="1">
      <c r="A3761" s="2" t="s">
        <v>304</v>
      </c>
      <c r="B3761" s="2" t="s">
        <v>3352</v>
      </c>
      <c r="C3761" s="2" t="s">
        <v>3343</v>
      </c>
      <c r="D3761" s="2" t="s">
        <v>9</v>
      </c>
      <c r="E3761" s="2" t="s">
        <v>1008</v>
      </c>
      <c r="F3761" s="2">
        <v>9.426749872E9</v>
      </c>
    </row>
    <row r="3762" ht="15.75" customHeight="1">
      <c r="A3762" s="2" t="s">
        <v>3353</v>
      </c>
      <c r="B3762" s="2" t="s">
        <v>119</v>
      </c>
      <c r="C3762" s="2" t="s">
        <v>235</v>
      </c>
      <c r="D3762" s="2" t="s">
        <v>26</v>
      </c>
      <c r="E3762" s="2" t="s">
        <v>19</v>
      </c>
      <c r="F3762" s="2">
        <v>6.206088012E9</v>
      </c>
    </row>
    <row r="3763" ht="15.75" customHeight="1">
      <c r="A3763" s="2" t="s">
        <v>3354</v>
      </c>
      <c r="B3763" s="2" t="s">
        <v>2417</v>
      </c>
      <c r="C3763" s="2" t="s">
        <v>237</v>
      </c>
      <c r="D3763" s="2" t="s">
        <v>102</v>
      </c>
      <c r="E3763" s="2" t="s">
        <v>255</v>
      </c>
      <c r="F3763" s="2">
        <v>8.087162401E9</v>
      </c>
    </row>
    <row r="3764" ht="15.75" customHeight="1">
      <c r="A3764" s="2" t="s">
        <v>856</v>
      </c>
      <c r="B3764" s="2" t="s">
        <v>63</v>
      </c>
      <c r="C3764" s="2" t="s">
        <v>289</v>
      </c>
      <c r="D3764" s="2" t="s">
        <v>56</v>
      </c>
      <c r="E3764" s="2" t="s">
        <v>19</v>
      </c>
      <c r="F3764" s="2">
        <v>9.155602246E9</v>
      </c>
    </row>
    <row r="3765" ht="15.75" customHeight="1">
      <c r="A3765" s="2" t="s">
        <v>3355</v>
      </c>
      <c r="B3765" s="2" t="s">
        <v>3356</v>
      </c>
      <c r="C3765" s="2" t="s">
        <v>3357</v>
      </c>
      <c r="D3765" s="2" t="s">
        <v>14</v>
      </c>
      <c r="E3765" s="2" t="s">
        <v>1008</v>
      </c>
      <c r="F3765" s="2">
        <v>9.72725917E9</v>
      </c>
    </row>
    <row r="3766" ht="15.75" customHeight="1">
      <c r="A3766" s="2" t="s">
        <v>3358</v>
      </c>
      <c r="B3766" s="2" t="s">
        <v>3359</v>
      </c>
      <c r="C3766" s="2" t="s">
        <v>3360</v>
      </c>
      <c r="D3766" s="2" t="s">
        <v>26</v>
      </c>
      <c r="E3766" s="2" t="s">
        <v>1008</v>
      </c>
      <c r="F3766" s="2">
        <v>9.913736618E9</v>
      </c>
    </row>
    <row r="3767" ht="15.75" customHeight="1">
      <c r="A3767" s="2" t="s">
        <v>3361</v>
      </c>
      <c r="B3767" s="2" t="s">
        <v>3362</v>
      </c>
      <c r="C3767" s="2" t="s">
        <v>3363</v>
      </c>
      <c r="D3767" s="2" t="s">
        <v>14</v>
      </c>
      <c r="E3767" s="2" t="s">
        <v>1008</v>
      </c>
      <c r="F3767" s="2">
        <v>9.428330128E9</v>
      </c>
    </row>
    <row r="3768" ht="15.75" customHeight="1">
      <c r="A3768" s="2" t="s">
        <v>2218</v>
      </c>
      <c r="B3768" s="2" t="s">
        <v>3364</v>
      </c>
      <c r="C3768" s="2" t="s">
        <v>3322</v>
      </c>
      <c r="D3768" s="2" t="s">
        <v>29</v>
      </c>
      <c r="E3768" s="2" t="s">
        <v>1008</v>
      </c>
      <c r="F3768" s="2">
        <v>9.727737979E9</v>
      </c>
    </row>
    <row r="3769" ht="15.75" customHeight="1">
      <c r="A3769" s="2" t="s">
        <v>3365</v>
      </c>
      <c r="B3769" s="2" t="s">
        <v>443</v>
      </c>
      <c r="C3769" s="2" t="s">
        <v>3349</v>
      </c>
      <c r="D3769" s="2" t="s">
        <v>1108</v>
      </c>
      <c r="E3769" s="2" t="s">
        <v>402</v>
      </c>
      <c r="F3769" s="2">
        <v>9.9795778E9</v>
      </c>
    </row>
    <row r="3770" ht="15.75" customHeight="1">
      <c r="A3770" s="2" t="s">
        <v>3366</v>
      </c>
      <c r="B3770" s="2" t="s">
        <v>3367</v>
      </c>
      <c r="C3770" s="2" t="s">
        <v>3368</v>
      </c>
      <c r="D3770" s="2" t="s">
        <v>9</v>
      </c>
      <c r="E3770" s="2" t="s">
        <v>1008</v>
      </c>
      <c r="F3770" s="2">
        <v>7.04347621E9</v>
      </c>
    </row>
    <row r="3771" ht="15.75" customHeight="1">
      <c r="A3771" s="2" t="s">
        <v>3369</v>
      </c>
      <c r="B3771" s="2" t="s">
        <v>112</v>
      </c>
      <c r="C3771" s="2" t="s">
        <v>1943</v>
      </c>
      <c r="D3771" s="2" t="s">
        <v>56</v>
      </c>
      <c r="E3771" s="2" t="s">
        <v>1008</v>
      </c>
      <c r="F3771" s="2">
        <v>8.90585818E9</v>
      </c>
    </row>
    <row r="3772" ht="15.75" customHeight="1">
      <c r="A3772" s="2" t="s">
        <v>371</v>
      </c>
      <c r="B3772" s="2" t="s">
        <v>3370</v>
      </c>
      <c r="C3772" s="2" t="s">
        <v>3371</v>
      </c>
      <c r="D3772" s="2" t="s">
        <v>44</v>
      </c>
      <c r="E3772" s="2" t="s">
        <v>402</v>
      </c>
      <c r="F3772" s="2">
        <v>9.904583076E9</v>
      </c>
    </row>
    <row r="3773" ht="15.75" customHeight="1">
      <c r="A3773" s="2" t="s">
        <v>3372</v>
      </c>
      <c r="B3773" s="2" t="s">
        <v>3373</v>
      </c>
      <c r="C3773" s="2" t="s">
        <v>3374</v>
      </c>
      <c r="D3773" s="2" t="s">
        <v>9</v>
      </c>
      <c r="E3773" s="2" t="s">
        <v>3375</v>
      </c>
      <c r="F3773" s="2">
        <v>9.72506959714E11</v>
      </c>
    </row>
    <row r="3774" ht="15.75" customHeight="1">
      <c r="A3774" s="2" t="s">
        <v>3376</v>
      </c>
      <c r="B3774" s="2" t="s">
        <v>3377</v>
      </c>
      <c r="C3774" s="2" t="s">
        <v>254</v>
      </c>
      <c r="D3774" s="2" t="s">
        <v>56</v>
      </c>
      <c r="E3774" s="2" t="s">
        <v>255</v>
      </c>
      <c r="F3774" s="2">
        <v>9.122764375E9</v>
      </c>
    </row>
    <row r="3775" ht="15.75" customHeight="1">
      <c r="A3775" s="2" t="s">
        <v>67</v>
      </c>
      <c r="B3775" s="2" t="s">
        <v>63</v>
      </c>
      <c r="C3775" s="2" t="s">
        <v>3378</v>
      </c>
      <c r="D3775" s="2" t="s">
        <v>26</v>
      </c>
      <c r="E3775" s="2" t="s">
        <v>282</v>
      </c>
      <c r="F3775" s="2">
        <v>7.80298747E9</v>
      </c>
    </row>
    <row r="3776" ht="15.75" customHeight="1">
      <c r="A3776" s="2" t="s">
        <v>3379</v>
      </c>
      <c r="B3776" s="2" t="s">
        <v>1357</v>
      </c>
      <c r="C3776" s="2" t="s">
        <v>3351</v>
      </c>
      <c r="D3776" s="2" t="s">
        <v>14</v>
      </c>
      <c r="E3776" s="2" t="s">
        <v>282</v>
      </c>
      <c r="F3776" s="2">
        <v>9.426620804E9</v>
      </c>
    </row>
    <row r="3777" ht="15.75" customHeight="1">
      <c r="A3777" s="2" t="s">
        <v>279</v>
      </c>
      <c r="B3777" s="2" t="s">
        <v>78</v>
      </c>
      <c r="C3777" s="2" t="s">
        <v>445</v>
      </c>
      <c r="D3777" s="2" t="s">
        <v>14</v>
      </c>
      <c r="E3777" s="2" t="s">
        <v>282</v>
      </c>
      <c r="F3777" s="2">
        <v>9.90954453E9</v>
      </c>
    </row>
    <row r="3778" ht="15.75" customHeight="1">
      <c r="A3778" s="2" t="s">
        <v>3380</v>
      </c>
      <c r="B3778" s="2" t="s">
        <v>119</v>
      </c>
      <c r="C3778" s="2" t="s">
        <v>1794</v>
      </c>
      <c r="D3778" s="2" t="s">
        <v>26</v>
      </c>
      <c r="E3778" s="2" t="s">
        <v>19</v>
      </c>
      <c r="F3778" s="2">
        <v>7.488224916E9</v>
      </c>
    </row>
    <row r="3779" ht="15.75" customHeight="1">
      <c r="A3779" s="2" t="s">
        <v>3376</v>
      </c>
      <c r="B3779" s="2" t="s">
        <v>55</v>
      </c>
      <c r="C3779" s="2" t="s">
        <v>254</v>
      </c>
      <c r="D3779" s="2" t="s">
        <v>56</v>
      </c>
      <c r="E3779" s="2" t="s">
        <v>255</v>
      </c>
      <c r="F3779" s="2">
        <v>9.199970904E9</v>
      </c>
    </row>
    <row r="3780" ht="15.75" customHeight="1">
      <c r="A3780" s="2" t="s">
        <v>3358</v>
      </c>
      <c r="B3780" s="2" t="s">
        <v>78</v>
      </c>
      <c r="C3780" s="2" t="s">
        <v>3381</v>
      </c>
      <c r="D3780" s="2" t="s">
        <v>56</v>
      </c>
      <c r="E3780" s="2" t="s">
        <v>282</v>
      </c>
      <c r="F3780" s="2">
        <v>9.033880457E9</v>
      </c>
    </row>
    <row r="3781" ht="15.75" customHeight="1">
      <c r="A3781" s="2" t="s">
        <v>3382</v>
      </c>
      <c r="B3781" s="2" t="s">
        <v>170</v>
      </c>
      <c r="C3781" s="2" t="s">
        <v>252</v>
      </c>
      <c r="D3781" s="2" t="s">
        <v>9</v>
      </c>
      <c r="E3781" s="2" t="s">
        <v>19</v>
      </c>
      <c r="F3781" s="2">
        <v>9.073193343E9</v>
      </c>
    </row>
    <row r="3782" ht="15.75" customHeight="1">
      <c r="A3782" s="2" t="s">
        <v>3376</v>
      </c>
      <c r="B3782" s="2" t="s">
        <v>801</v>
      </c>
      <c r="C3782" s="2" t="s">
        <v>254</v>
      </c>
      <c r="D3782" s="2" t="s">
        <v>26</v>
      </c>
      <c r="E3782" s="2" t="s">
        <v>255</v>
      </c>
      <c r="F3782" s="2">
        <v>8.207331924E9</v>
      </c>
    </row>
    <row r="3783" ht="15.75" customHeight="1">
      <c r="A3783" s="2" t="s">
        <v>3383</v>
      </c>
      <c r="B3783" s="2" t="s">
        <v>78</v>
      </c>
      <c r="C3783" s="2" t="s">
        <v>2471</v>
      </c>
      <c r="D3783" s="2" t="s">
        <v>29</v>
      </c>
      <c r="E3783" s="2" t="s">
        <v>282</v>
      </c>
      <c r="F3783" s="2">
        <v>9.662826195E9</v>
      </c>
    </row>
    <row r="3784" ht="15.75" customHeight="1">
      <c r="A3784" s="2" t="s">
        <v>3118</v>
      </c>
      <c r="B3784" s="2" t="s">
        <v>1557</v>
      </c>
      <c r="C3784" s="2" t="s">
        <v>1787</v>
      </c>
      <c r="D3784" s="2" t="s">
        <v>44</v>
      </c>
      <c r="E3784" s="2" t="s">
        <v>19</v>
      </c>
      <c r="F3784" s="2">
        <v>8.271327309E9</v>
      </c>
    </row>
    <row r="3785" ht="15.75" customHeight="1">
      <c r="A3785" s="2" t="s">
        <v>3376</v>
      </c>
      <c r="B3785" s="2" t="s">
        <v>269</v>
      </c>
      <c r="C3785" s="2" t="s">
        <v>867</v>
      </c>
      <c r="D3785" s="2" t="s">
        <v>26</v>
      </c>
      <c r="E3785" s="2" t="s">
        <v>255</v>
      </c>
      <c r="F3785" s="2">
        <v>8.7891682E9</v>
      </c>
    </row>
    <row r="3786" ht="15.75" customHeight="1">
      <c r="A3786" s="2" t="s">
        <v>3384</v>
      </c>
      <c r="B3786" s="2" t="s">
        <v>2845</v>
      </c>
      <c r="C3786" s="2" t="s">
        <v>1735</v>
      </c>
      <c r="D3786" s="2" t="s">
        <v>56</v>
      </c>
      <c r="E3786" s="2" t="s">
        <v>19</v>
      </c>
      <c r="F3786" s="2">
        <v>9.310666321E9</v>
      </c>
    </row>
    <row r="3787" ht="15.75" customHeight="1">
      <c r="A3787" s="2" t="s">
        <v>3385</v>
      </c>
      <c r="B3787" s="2" t="s">
        <v>212</v>
      </c>
      <c r="C3787" s="2" t="s">
        <v>1012</v>
      </c>
      <c r="D3787" s="2" t="s">
        <v>56</v>
      </c>
      <c r="E3787" s="2" t="s">
        <v>255</v>
      </c>
      <c r="F3787" s="2">
        <v>9.934620207E9</v>
      </c>
    </row>
    <row r="3788" ht="15.75" customHeight="1">
      <c r="A3788" s="2" t="s">
        <v>3386</v>
      </c>
      <c r="B3788" s="2" t="s">
        <v>50</v>
      </c>
      <c r="C3788" s="2" t="s">
        <v>1906</v>
      </c>
      <c r="D3788" s="2" t="s">
        <v>29</v>
      </c>
      <c r="E3788" s="2" t="s">
        <v>19</v>
      </c>
      <c r="F3788" s="2">
        <v>7.061493951E9</v>
      </c>
    </row>
    <row r="3789" ht="15.75" customHeight="1">
      <c r="A3789" s="2" t="s">
        <v>3387</v>
      </c>
      <c r="B3789" s="2" t="s">
        <v>78</v>
      </c>
      <c r="C3789" s="2" t="s">
        <v>3388</v>
      </c>
      <c r="D3789" s="2" t="s">
        <v>14</v>
      </c>
      <c r="E3789" s="2" t="s">
        <v>282</v>
      </c>
      <c r="F3789" s="2">
        <v>8.980906198E9</v>
      </c>
    </row>
    <row r="3790" ht="15.75" customHeight="1">
      <c r="A3790" s="2" t="s">
        <v>3389</v>
      </c>
      <c r="B3790" s="2" t="s">
        <v>3390</v>
      </c>
      <c r="C3790" s="2" t="s">
        <v>3391</v>
      </c>
      <c r="D3790" s="2" t="s">
        <v>9</v>
      </c>
      <c r="E3790" s="2" t="s">
        <v>282</v>
      </c>
      <c r="F3790" s="2">
        <v>9.426460957E9</v>
      </c>
    </row>
    <row r="3791" ht="15.75" customHeight="1">
      <c r="A3791" s="2" t="s">
        <v>3392</v>
      </c>
      <c r="B3791" s="2" t="s">
        <v>894</v>
      </c>
      <c r="C3791" s="2" t="s">
        <v>237</v>
      </c>
      <c r="D3791" s="2" t="s">
        <v>9</v>
      </c>
      <c r="E3791" s="2" t="s">
        <v>255</v>
      </c>
      <c r="F3791" s="2">
        <v>9.304899439E9</v>
      </c>
    </row>
    <row r="3792" ht="15.75" customHeight="1">
      <c r="A3792" s="2" t="s">
        <v>3393</v>
      </c>
      <c r="B3792" s="2" t="s">
        <v>3394</v>
      </c>
      <c r="C3792" s="2" t="s">
        <v>3343</v>
      </c>
      <c r="D3792" s="2" t="s">
        <v>14</v>
      </c>
      <c r="E3792" s="2" t="s">
        <v>3395</v>
      </c>
      <c r="F3792" s="2">
        <v>9.925658038E9</v>
      </c>
    </row>
    <row r="3793" ht="15.75" customHeight="1">
      <c r="A3793" s="2" t="s">
        <v>3396</v>
      </c>
      <c r="B3793" s="2" t="s">
        <v>108</v>
      </c>
      <c r="C3793" s="2" t="s">
        <v>3135</v>
      </c>
      <c r="D3793" s="2" t="s">
        <v>14</v>
      </c>
      <c r="E3793" s="2" t="s">
        <v>3395</v>
      </c>
      <c r="F3793" s="2">
        <v>9.909003039E9</v>
      </c>
    </row>
    <row r="3794" ht="15.75" customHeight="1">
      <c r="A3794" s="2" t="s">
        <v>3397</v>
      </c>
      <c r="B3794" s="2" t="s">
        <v>65</v>
      </c>
      <c r="C3794" s="2" t="s">
        <v>2653</v>
      </c>
      <c r="D3794" s="2" t="s">
        <v>56</v>
      </c>
      <c r="E3794" s="2" t="s">
        <v>19</v>
      </c>
      <c r="F3794" s="2">
        <v>9.723558876E9</v>
      </c>
    </row>
    <row r="3795" ht="15.75" customHeight="1">
      <c r="A3795" s="2" t="s">
        <v>286</v>
      </c>
      <c r="B3795" s="2" t="s">
        <v>276</v>
      </c>
      <c r="C3795" s="2" t="s">
        <v>341</v>
      </c>
      <c r="D3795" s="2" t="s">
        <v>14</v>
      </c>
      <c r="E3795" s="2" t="s">
        <v>255</v>
      </c>
      <c r="F3795" s="2">
        <v>9.798320339E9</v>
      </c>
    </row>
    <row r="3796" ht="15.75" customHeight="1">
      <c r="A3796" s="2" t="s">
        <v>2003</v>
      </c>
      <c r="B3796" s="2" t="s">
        <v>63</v>
      </c>
      <c r="C3796" s="2" t="s">
        <v>3398</v>
      </c>
      <c r="D3796" s="2" t="s">
        <v>29</v>
      </c>
      <c r="E3796" s="2" t="s">
        <v>3399</v>
      </c>
      <c r="F3796" s="2">
        <v>8.178870518E9</v>
      </c>
    </row>
    <row r="3797" ht="15.75" customHeight="1">
      <c r="A3797" s="2" t="s">
        <v>3400</v>
      </c>
      <c r="B3797" s="2" t="s">
        <v>50</v>
      </c>
      <c r="C3797" s="2" t="s">
        <v>3401</v>
      </c>
      <c r="D3797" s="2" t="s">
        <v>26</v>
      </c>
      <c r="E3797" s="2" t="s">
        <v>19</v>
      </c>
      <c r="F3797" s="2">
        <v>9.334056062E9</v>
      </c>
    </row>
    <row r="3798" ht="15.75" customHeight="1">
      <c r="A3798" s="2" t="s">
        <v>3402</v>
      </c>
      <c r="B3798" s="2" t="s">
        <v>3403</v>
      </c>
      <c r="C3798" s="2" t="s">
        <v>1792</v>
      </c>
      <c r="D3798" s="2" t="s">
        <v>44</v>
      </c>
      <c r="E3798" s="2" t="s">
        <v>19</v>
      </c>
      <c r="F3798" s="2">
        <v>9.073343318E9</v>
      </c>
    </row>
    <row r="3799" ht="15.75" customHeight="1">
      <c r="A3799" s="2" t="s">
        <v>3404</v>
      </c>
      <c r="B3799" s="2" t="s">
        <v>3405</v>
      </c>
      <c r="C3799" s="2" t="s">
        <v>3135</v>
      </c>
      <c r="D3799" s="2" t="s">
        <v>44</v>
      </c>
      <c r="E3799" s="2" t="s">
        <v>3395</v>
      </c>
      <c r="F3799" s="2">
        <v>8.98004291E9</v>
      </c>
    </row>
    <row r="3800" ht="15.75" customHeight="1">
      <c r="A3800" s="2" t="s">
        <v>1549</v>
      </c>
      <c r="B3800" s="2" t="s">
        <v>55</v>
      </c>
      <c r="C3800" s="2" t="s">
        <v>305</v>
      </c>
      <c r="D3800" s="2" t="s">
        <v>26</v>
      </c>
      <c r="E3800" s="2" t="s">
        <v>19</v>
      </c>
      <c r="F3800" s="2">
        <v>8.789687782E9</v>
      </c>
    </row>
    <row r="3801" ht="15.75" customHeight="1">
      <c r="A3801" s="2" t="s">
        <v>3406</v>
      </c>
      <c r="B3801" s="2" t="s">
        <v>3407</v>
      </c>
      <c r="C3801" s="2" t="s">
        <v>576</v>
      </c>
      <c r="D3801" s="2" t="s">
        <v>26</v>
      </c>
      <c r="E3801" s="2" t="s">
        <v>3395</v>
      </c>
      <c r="F3801" s="2">
        <v>7.600798966E9</v>
      </c>
    </row>
    <row r="3802" ht="15.75" customHeight="1">
      <c r="A3802" s="2" t="s">
        <v>3408</v>
      </c>
      <c r="B3802" s="2" t="s">
        <v>3409</v>
      </c>
      <c r="C3802" s="2" t="s">
        <v>3410</v>
      </c>
      <c r="D3802" s="2" t="s">
        <v>14</v>
      </c>
      <c r="E3802" s="2" t="s">
        <v>3395</v>
      </c>
      <c r="F3802" s="2">
        <v>6.35127727E9</v>
      </c>
    </row>
    <row r="3803" ht="15.75" customHeight="1">
      <c r="A3803" s="2" t="s">
        <v>1889</v>
      </c>
      <c r="B3803" s="2" t="s">
        <v>50</v>
      </c>
      <c r="C3803" s="2" t="s">
        <v>2791</v>
      </c>
      <c r="D3803" s="2" t="s">
        <v>9</v>
      </c>
      <c r="E3803" s="2" t="s">
        <v>19</v>
      </c>
      <c r="F3803" s="2">
        <v>9.097764521E9</v>
      </c>
    </row>
    <row r="3804" ht="15.75" customHeight="1">
      <c r="A3804" s="2" t="s">
        <v>3411</v>
      </c>
      <c r="B3804" s="2" t="s">
        <v>3412</v>
      </c>
      <c r="C3804" s="2" t="s">
        <v>3413</v>
      </c>
      <c r="D3804" s="2" t="s">
        <v>56</v>
      </c>
      <c r="E3804" s="2" t="s">
        <v>3395</v>
      </c>
      <c r="F3804" s="2">
        <v>9.898742844E9</v>
      </c>
    </row>
    <row r="3805" ht="15.75" customHeight="1">
      <c r="A3805" s="2" t="s">
        <v>1536</v>
      </c>
      <c r="B3805" s="2" t="s">
        <v>119</v>
      </c>
      <c r="C3805" s="2" t="s">
        <v>235</v>
      </c>
      <c r="D3805" s="2" t="s">
        <v>26</v>
      </c>
      <c r="E3805" s="2" t="s">
        <v>19</v>
      </c>
      <c r="F3805" s="2">
        <v>6.206026508E9</v>
      </c>
    </row>
    <row r="3806" ht="15.75" customHeight="1">
      <c r="A3806" s="2" t="s">
        <v>3414</v>
      </c>
      <c r="B3806" s="2" t="s">
        <v>145</v>
      </c>
      <c r="C3806" s="2" t="s">
        <v>650</v>
      </c>
      <c r="D3806" s="2" t="s">
        <v>9</v>
      </c>
      <c r="E3806" s="2" t="s">
        <v>19</v>
      </c>
      <c r="F3806" s="2">
        <v>6.207312205E9</v>
      </c>
    </row>
    <row r="3807" ht="15.75" customHeight="1">
      <c r="A3807" s="2" t="s">
        <v>3415</v>
      </c>
      <c r="B3807" s="2" t="s">
        <v>382</v>
      </c>
      <c r="C3807" s="2" t="s">
        <v>576</v>
      </c>
      <c r="D3807" s="2" t="s">
        <v>44</v>
      </c>
      <c r="E3807" s="2" t="s">
        <v>19</v>
      </c>
      <c r="F3807" s="2">
        <v>8.29862017E9</v>
      </c>
    </row>
    <row r="3808" ht="15.75" customHeight="1">
      <c r="A3808" s="2" t="s">
        <v>3332</v>
      </c>
      <c r="B3808" s="2" t="s">
        <v>1303</v>
      </c>
      <c r="C3808" s="2" t="s">
        <v>1742</v>
      </c>
      <c r="D3808" s="2" t="s">
        <v>26</v>
      </c>
      <c r="E3808" s="2" t="s">
        <v>1008</v>
      </c>
      <c r="F3808" s="2">
        <v>9.624401442E9</v>
      </c>
    </row>
    <row r="3809" ht="15.75" customHeight="1">
      <c r="A3809" s="2" t="s">
        <v>3416</v>
      </c>
      <c r="B3809" s="2" t="s">
        <v>63</v>
      </c>
      <c r="C3809" s="2" t="s">
        <v>3417</v>
      </c>
      <c r="D3809" s="2" t="s">
        <v>26</v>
      </c>
      <c r="E3809" s="2" t="s">
        <v>1008</v>
      </c>
      <c r="F3809" s="2">
        <v>9.173577328E9</v>
      </c>
    </row>
    <row r="3810" ht="15.75" customHeight="1">
      <c r="A3810" s="2" t="s">
        <v>2735</v>
      </c>
      <c r="B3810" s="2" t="s">
        <v>50</v>
      </c>
      <c r="C3810" s="2" t="s">
        <v>867</v>
      </c>
      <c r="D3810" s="2" t="s">
        <v>56</v>
      </c>
      <c r="E3810" s="2" t="s">
        <v>19</v>
      </c>
      <c r="F3810" s="2">
        <v>6.704731667E9</v>
      </c>
    </row>
    <row r="3811" ht="15.75" customHeight="1">
      <c r="A3811" s="2" t="s">
        <v>3418</v>
      </c>
      <c r="B3811" s="2" t="s">
        <v>312</v>
      </c>
      <c r="C3811" s="2" t="s">
        <v>576</v>
      </c>
      <c r="D3811" s="2" t="s">
        <v>56</v>
      </c>
      <c r="E3811" s="2" t="s">
        <v>19</v>
      </c>
      <c r="F3811" s="2">
        <v>9.608196312E9</v>
      </c>
    </row>
    <row r="3812" ht="15.75" customHeight="1">
      <c r="A3812" s="2" t="s">
        <v>3419</v>
      </c>
      <c r="B3812" s="2" t="s">
        <v>3420</v>
      </c>
      <c r="C3812" s="2" t="s">
        <v>1943</v>
      </c>
      <c r="D3812" s="2" t="s">
        <v>26</v>
      </c>
      <c r="E3812" s="2" t="s">
        <v>1008</v>
      </c>
      <c r="F3812" s="2">
        <v>9.727096843E9</v>
      </c>
    </row>
    <row r="3813" ht="15.75" customHeight="1">
      <c r="A3813" s="2" t="s">
        <v>3421</v>
      </c>
      <c r="B3813" s="2" t="s">
        <v>3422</v>
      </c>
      <c r="C3813" s="2" t="s">
        <v>235</v>
      </c>
      <c r="D3813" s="2" t="s">
        <v>26</v>
      </c>
      <c r="E3813" s="2" t="s">
        <v>19</v>
      </c>
      <c r="F3813" s="2">
        <v>7.207712019E9</v>
      </c>
    </row>
    <row r="3814" ht="15.75" customHeight="1">
      <c r="A3814" s="2" t="s">
        <v>3423</v>
      </c>
      <c r="B3814" s="2" t="s">
        <v>3424</v>
      </c>
      <c r="C3814" s="2" t="s">
        <v>3425</v>
      </c>
      <c r="D3814" s="2" t="s">
        <v>26</v>
      </c>
      <c r="E3814" s="2" t="s">
        <v>3395</v>
      </c>
      <c r="F3814" s="2">
        <v>9.825868122E9</v>
      </c>
    </row>
    <row r="3815" ht="15.75" customHeight="1">
      <c r="A3815" s="2" t="s">
        <v>3426</v>
      </c>
      <c r="B3815" s="2" t="s">
        <v>3427</v>
      </c>
      <c r="C3815" s="2" t="s">
        <v>3135</v>
      </c>
      <c r="D3815" s="2" t="s">
        <v>26</v>
      </c>
      <c r="E3815" s="2" t="s">
        <v>3395</v>
      </c>
      <c r="F3815" s="2">
        <v>7.976943695E9</v>
      </c>
    </row>
    <row r="3816" ht="15.75" customHeight="1">
      <c r="A3816" s="2" t="s">
        <v>3428</v>
      </c>
      <c r="B3816" s="2" t="s">
        <v>3429</v>
      </c>
      <c r="C3816" s="2" t="s">
        <v>3135</v>
      </c>
      <c r="D3816" s="2" t="s">
        <v>29</v>
      </c>
      <c r="E3816" s="2" t="s">
        <v>3395</v>
      </c>
      <c r="F3816" s="2">
        <v>6.353768311E9</v>
      </c>
    </row>
    <row r="3817" ht="15.75" customHeight="1">
      <c r="A3817" s="2" t="s">
        <v>3430</v>
      </c>
      <c r="B3817" s="2" t="s">
        <v>3431</v>
      </c>
      <c r="C3817" s="2" t="s">
        <v>3432</v>
      </c>
      <c r="D3817" s="2" t="s">
        <v>44</v>
      </c>
      <c r="E3817" s="2" t="s">
        <v>3395</v>
      </c>
      <c r="F3817" s="2">
        <v>9.428514523E9</v>
      </c>
    </row>
    <row r="3818" ht="15.75" customHeight="1">
      <c r="A3818" s="2" t="s">
        <v>3433</v>
      </c>
      <c r="B3818" s="2" t="s">
        <v>3434</v>
      </c>
      <c r="C3818" s="2" t="s">
        <v>3435</v>
      </c>
      <c r="D3818" s="2" t="s">
        <v>29</v>
      </c>
      <c r="E3818" s="2" t="s">
        <v>3395</v>
      </c>
      <c r="F3818" s="2">
        <v>9.099927802E9</v>
      </c>
    </row>
    <row r="3819" ht="15.75" customHeight="1">
      <c r="A3819" s="2" t="s">
        <v>3436</v>
      </c>
      <c r="B3819" s="2" t="s">
        <v>3126</v>
      </c>
      <c r="C3819" s="2" t="s">
        <v>3135</v>
      </c>
      <c r="D3819" s="2" t="s">
        <v>14</v>
      </c>
      <c r="E3819" s="2" t="s">
        <v>3395</v>
      </c>
      <c r="F3819" s="2">
        <v>7.600543182E9</v>
      </c>
    </row>
    <row r="3820" ht="15.75" customHeight="1">
      <c r="A3820" s="2" t="s">
        <v>3437</v>
      </c>
      <c r="B3820" s="2" t="s">
        <v>3438</v>
      </c>
      <c r="C3820" s="2" t="s">
        <v>576</v>
      </c>
      <c r="D3820" s="2" t="s">
        <v>9</v>
      </c>
      <c r="E3820" s="2" t="s">
        <v>3395</v>
      </c>
      <c r="F3820" s="2">
        <v>9.37001949E9</v>
      </c>
    </row>
    <row r="3821" ht="15.75" customHeight="1">
      <c r="A3821" s="2" t="s">
        <v>3439</v>
      </c>
      <c r="B3821" s="2" t="s">
        <v>3440</v>
      </c>
      <c r="C3821" s="2" t="s">
        <v>3441</v>
      </c>
      <c r="D3821" s="2" t="s">
        <v>9</v>
      </c>
      <c r="E3821" s="2" t="s">
        <v>3442</v>
      </c>
      <c r="F3821" s="2">
        <v>9.014773975E9</v>
      </c>
    </row>
    <row r="3822" ht="15.75" customHeight="1">
      <c r="A3822" s="2" t="s">
        <v>3443</v>
      </c>
      <c r="B3822" s="2" t="s">
        <v>3444</v>
      </c>
      <c r="C3822" s="2" t="s">
        <v>3445</v>
      </c>
      <c r="D3822" s="2" t="s">
        <v>9</v>
      </c>
      <c r="E3822" s="2" t="s">
        <v>3395</v>
      </c>
      <c r="F3822" s="2">
        <v>9.754982304E9</v>
      </c>
    </row>
    <row r="3823" ht="15.75" customHeight="1">
      <c r="A3823" s="2" t="s">
        <v>3446</v>
      </c>
      <c r="B3823" s="2" t="s">
        <v>3447</v>
      </c>
      <c r="C3823" s="2" t="s">
        <v>3448</v>
      </c>
      <c r="D3823" s="2" t="s">
        <v>44</v>
      </c>
      <c r="E3823" s="2" t="s">
        <v>3395</v>
      </c>
      <c r="F3823" s="2">
        <v>9.974901148E9</v>
      </c>
    </row>
    <row r="3824" ht="15.75" customHeight="1">
      <c r="A3824" s="2" t="s">
        <v>3449</v>
      </c>
      <c r="B3824" s="2" t="s">
        <v>3450</v>
      </c>
      <c r="C3824" s="2" t="s">
        <v>3135</v>
      </c>
      <c r="D3824" s="2" t="s">
        <v>44</v>
      </c>
      <c r="E3824" s="2" t="s">
        <v>3395</v>
      </c>
      <c r="F3824" s="2">
        <v>7.666720002E9</v>
      </c>
    </row>
    <row r="3825" ht="15.75" customHeight="1">
      <c r="A3825" s="2" t="s">
        <v>3451</v>
      </c>
      <c r="B3825" s="2" t="s">
        <v>3126</v>
      </c>
      <c r="C3825" s="2" t="s">
        <v>3135</v>
      </c>
      <c r="D3825" s="2" t="s">
        <v>14</v>
      </c>
      <c r="E3825" s="2" t="s">
        <v>3395</v>
      </c>
      <c r="F3825" s="2">
        <v>8.340465117E9</v>
      </c>
    </row>
    <row r="3826" ht="15.75" customHeight="1">
      <c r="A3826" s="2" t="s">
        <v>2098</v>
      </c>
      <c r="B3826" s="2" t="s">
        <v>517</v>
      </c>
      <c r="C3826" s="2" t="s">
        <v>3452</v>
      </c>
      <c r="D3826" s="2" t="s">
        <v>26</v>
      </c>
      <c r="E3826" s="2" t="s">
        <v>3453</v>
      </c>
      <c r="F3826" s="2">
        <v>9.301571023E9</v>
      </c>
    </row>
    <row r="3827" ht="15.75" customHeight="1">
      <c r="A3827" s="2" t="s">
        <v>2741</v>
      </c>
      <c r="B3827" s="2" t="s">
        <v>3454</v>
      </c>
      <c r="C3827" s="2" t="s">
        <v>3455</v>
      </c>
      <c r="D3827" s="2" t="s">
        <v>14</v>
      </c>
      <c r="E3827" s="2" t="s">
        <v>3456</v>
      </c>
      <c r="F3827" s="2">
        <v>9.82206332E9</v>
      </c>
    </row>
    <row r="3828" ht="15.75" customHeight="1">
      <c r="A3828" s="2" t="s">
        <v>3457</v>
      </c>
      <c r="B3828" s="2" t="s">
        <v>520</v>
      </c>
      <c r="C3828" s="2" t="s">
        <v>2070</v>
      </c>
      <c r="D3828" s="2" t="s">
        <v>26</v>
      </c>
      <c r="E3828" s="2" t="s">
        <v>19</v>
      </c>
      <c r="F3828" s="2">
        <v>9.199244951E9</v>
      </c>
    </row>
    <row r="3829" ht="15.75" customHeight="1">
      <c r="A3829" s="2" t="s">
        <v>3458</v>
      </c>
      <c r="B3829" s="2" t="s">
        <v>1134</v>
      </c>
      <c r="C3829" s="2" t="s">
        <v>957</v>
      </c>
      <c r="D3829" s="2" t="s">
        <v>9</v>
      </c>
      <c r="E3829" s="2" t="s">
        <v>19</v>
      </c>
      <c r="F3829" s="2">
        <v>8.298264624E9</v>
      </c>
    </row>
    <row r="3830" ht="15.75" customHeight="1">
      <c r="A3830" s="2" t="s">
        <v>520</v>
      </c>
      <c r="B3830" s="2" t="s">
        <v>3459</v>
      </c>
      <c r="C3830" s="2" t="s">
        <v>1024</v>
      </c>
      <c r="D3830" s="2" t="s">
        <v>56</v>
      </c>
      <c r="E3830" s="2" t="s">
        <v>19</v>
      </c>
      <c r="F3830" s="2">
        <v>9.199244951E9</v>
      </c>
    </row>
    <row r="3831" ht="15.75" customHeight="1">
      <c r="A3831" s="2" t="s">
        <v>241</v>
      </c>
      <c r="B3831" s="2" t="s">
        <v>1134</v>
      </c>
      <c r="C3831" s="2" t="s">
        <v>957</v>
      </c>
      <c r="D3831" s="2" t="s">
        <v>9</v>
      </c>
      <c r="E3831" s="2" t="s">
        <v>19</v>
      </c>
      <c r="F3831" s="2">
        <v>7.48825792E9</v>
      </c>
    </row>
    <row r="3832" ht="15.75" customHeight="1">
      <c r="A3832" s="2" t="s">
        <v>484</v>
      </c>
      <c r="B3832" s="2" t="s">
        <v>3460</v>
      </c>
      <c r="C3832" s="2" t="s">
        <v>3461</v>
      </c>
      <c r="D3832" s="2" t="s">
        <v>14</v>
      </c>
      <c r="E3832" s="2" t="s">
        <v>19</v>
      </c>
      <c r="F3832" s="2">
        <v>9.135398676E9</v>
      </c>
    </row>
    <row r="3833" ht="15.75" customHeight="1">
      <c r="A3833" s="2" t="s">
        <v>816</v>
      </c>
      <c r="B3833" s="2" t="s">
        <v>3126</v>
      </c>
      <c r="C3833" s="2" t="s">
        <v>957</v>
      </c>
      <c r="D3833" s="2" t="s">
        <v>9</v>
      </c>
      <c r="E3833" s="2" t="s">
        <v>19</v>
      </c>
      <c r="F3833" s="2">
        <v>7.54915849E9</v>
      </c>
    </row>
    <row r="3834" ht="15.75" customHeight="1">
      <c r="A3834" s="2" t="s">
        <v>917</v>
      </c>
      <c r="B3834" s="2" t="s">
        <v>917</v>
      </c>
      <c r="C3834" s="2" t="s">
        <v>905</v>
      </c>
      <c r="D3834" s="2" t="s">
        <v>26</v>
      </c>
      <c r="E3834" s="2" t="s">
        <v>19</v>
      </c>
      <c r="F3834" s="2">
        <v>7.549121234E9</v>
      </c>
    </row>
    <row r="3835" ht="15.75" customHeight="1">
      <c r="A3835" s="2" t="s">
        <v>3462</v>
      </c>
      <c r="B3835" s="2" t="s">
        <v>3463</v>
      </c>
      <c r="C3835" s="2" t="s">
        <v>3464</v>
      </c>
      <c r="D3835" s="2" t="s">
        <v>26</v>
      </c>
      <c r="E3835" s="2" t="s">
        <v>19</v>
      </c>
      <c r="F3835" s="2">
        <v>8.292055138E9</v>
      </c>
    </row>
    <row r="3836" ht="15.75" customHeight="1">
      <c r="A3836" s="2" t="s">
        <v>3465</v>
      </c>
      <c r="B3836" s="2" t="s">
        <v>50</v>
      </c>
      <c r="C3836" s="2" t="s">
        <v>3466</v>
      </c>
      <c r="D3836" s="2" t="s">
        <v>29</v>
      </c>
      <c r="E3836" s="2" t="s">
        <v>19</v>
      </c>
      <c r="F3836" s="2">
        <v>7.858827119E9</v>
      </c>
    </row>
    <row r="3837" ht="15.75" customHeight="1">
      <c r="A3837" s="2" t="s">
        <v>3467</v>
      </c>
      <c r="B3837" s="2" t="s">
        <v>1134</v>
      </c>
      <c r="C3837" s="2" t="s">
        <v>1024</v>
      </c>
      <c r="D3837" s="2" t="s">
        <v>26</v>
      </c>
      <c r="E3837" s="2" t="s">
        <v>19</v>
      </c>
      <c r="F3837" s="2">
        <v>8.757614102E9</v>
      </c>
    </row>
    <row r="3838" ht="15.75" customHeight="1">
      <c r="A3838" s="2" t="s">
        <v>1562</v>
      </c>
      <c r="B3838" s="2" t="s">
        <v>1848</v>
      </c>
      <c r="C3838" s="2" t="s">
        <v>3073</v>
      </c>
      <c r="D3838" s="2" t="s">
        <v>26</v>
      </c>
      <c r="E3838" s="2" t="s">
        <v>19</v>
      </c>
      <c r="F3838" s="2">
        <v>9.648096465E9</v>
      </c>
    </row>
    <row r="3839" ht="15.75" customHeight="1">
      <c r="A3839" s="2" t="s">
        <v>3468</v>
      </c>
      <c r="B3839" s="2" t="s">
        <v>55</v>
      </c>
      <c r="C3839" s="2" t="s">
        <v>957</v>
      </c>
      <c r="D3839" s="2" t="s">
        <v>9</v>
      </c>
      <c r="E3839" s="2" t="s">
        <v>19</v>
      </c>
      <c r="F3839" s="2">
        <v>7.903119304E9</v>
      </c>
    </row>
    <row r="3840" ht="15.75" customHeight="1">
      <c r="A3840" s="2" t="s">
        <v>3469</v>
      </c>
      <c r="B3840" s="2" t="s">
        <v>382</v>
      </c>
      <c r="C3840" s="2" t="s">
        <v>3470</v>
      </c>
      <c r="D3840" s="2" t="s">
        <v>56</v>
      </c>
      <c r="E3840" s="2" t="s">
        <v>19</v>
      </c>
      <c r="F3840" s="2">
        <v>7.739029964E9</v>
      </c>
    </row>
    <row r="3841" ht="15.75" customHeight="1">
      <c r="A3841" s="2" t="s">
        <v>3471</v>
      </c>
      <c r="B3841" s="2" t="s">
        <v>1134</v>
      </c>
      <c r="C3841" s="2" t="s">
        <v>821</v>
      </c>
      <c r="D3841" s="2" t="s">
        <v>26</v>
      </c>
      <c r="E3841" s="2" t="s">
        <v>19</v>
      </c>
      <c r="F3841" s="2">
        <v>7.869014026E9</v>
      </c>
    </row>
    <row r="3842" ht="15.75" customHeight="1">
      <c r="A3842" s="2" t="s">
        <v>406</v>
      </c>
      <c r="B3842" s="2" t="s">
        <v>75</v>
      </c>
      <c r="C3842" s="2" t="s">
        <v>3466</v>
      </c>
      <c r="D3842" s="2" t="s">
        <v>26</v>
      </c>
      <c r="E3842" s="2" t="s">
        <v>19</v>
      </c>
      <c r="F3842" s="2">
        <v>6.204897451E9</v>
      </c>
    </row>
    <row r="3843" ht="15.75" customHeight="1">
      <c r="A3843" s="2" t="s">
        <v>3472</v>
      </c>
      <c r="B3843" s="2" t="s">
        <v>3079</v>
      </c>
      <c r="C3843" s="2" t="s">
        <v>428</v>
      </c>
      <c r="D3843" s="2" t="s">
        <v>26</v>
      </c>
      <c r="E3843" s="2" t="s">
        <v>19</v>
      </c>
      <c r="F3843" s="2">
        <v>9.66101502E9</v>
      </c>
    </row>
    <row r="3844" ht="15.75" customHeight="1">
      <c r="A3844" s="2" t="s">
        <v>507</v>
      </c>
      <c r="B3844" s="2" t="s">
        <v>1287</v>
      </c>
      <c r="C3844" s="2" t="s">
        <v>3473</v>
      </c>
      <c r="D3844" s="2" t="s">
        <v>26</v>
      </c>
      <c r="E3844" s="2" t="s">
        <v>19</v>
      </c>
      <c r="F3844" s="2">
        <v>8.252218725E9</v>
      </c>
    </row>
    <row r="3845" ht="15.75" customHeight="1">
      <c r="A3845" s="2" t="s">
        <v>3474</v>
      </c>
      <c r="B3845" s="2" t="s">
        <v>2270</v>
      </c>
      <c r="C3845" s="2" t="s">
        <v>957</v>
      </c>
      <c r="D3845" s="2" t="s">
        <v>26</v>
      </c>
      <c r="E3845" s="2" t="s">
        <v>19</v>
      </c>
      <c r="F3845" s="2">
        <v>7.739097983E9</v>
      </c>
    </row>
    <row r="3846" ht="15.75" customHeight="1">
      <c r="A3846" s="2" t="s">
        <v>1364</v>
      </c>
      <c r="B3846" s="2" t="s">
        <v>150</v>
      </c>
      <c r="C3846" s="2" t="s">
        <v>3475</v>
      </c>
      <c r="D3846" s="2" t="s">
        <v>26</v>
      </c>
      <c r="E3846" s="2" t="s">
        <v>19</v>
      </c>
      <c r="F3846" s="2">
        <v>9.534238454E9</v>
      </c>
    </row>
    <row r="3847" ht="15.75" customHeight="1">
      <c r="A3847" s="2" t="s">
        <v>816</v>
      </c>
      <c r="B3847" s="2" t="s">
        <v>3476</v>
      </c>
      <c r="C3847" s="2" t="s">
        <v>428</v>
      </c>
      <c r="D3847" s="2" t="s">
        <v>26</v>
      </c>
      <c r="E3847" s="2" t="s">
        <v>19</v>
      </c>
      <c r="F3847" s="2">
        <v>8.210641462E9</v>
      </c>
    </row>
    <row r="3848" ht="15.75" customHeight="1">
      <c r="A3848" s="2" t="s">
        <v>491</v>
      </c>
      <c r="B3848" s="2" t="s">
        <v>50</v>
      </c>
      <c r="C3848" s="2" t="s">
        <v>3470</v>
      </c>
      <c r="D3848" s="2" t="s">
        <v>26</v>
      </c>
      <c r="E3848" s="2" t="s">
        <v>19</v>
      </c>
      <c r="F3848" s="2">
        <v>9.155683647E9</v>
      </c>
    </row>
    <row r="3849" ht="15.75" customHeight="1">
      <c r="A3849" s="2" t="s">
        <v>2517</v>
      </c>
      <c r="B3849" s="2" t="s">
        <v>832</v>
      </c>
      <c r="C3849" s="2" t="s">
        <v>3477</v>
      </c>
      <c r="D3849" s="2" t="s">
        <v>26</v>
      </c>
      <c r="E3849" s="2" t="s">
        <v>19</v>
      </c>
      <c r="F3849" s="2">
        <v>7.902333024E9</v>
      </c>
    </row>
    <row r="3850" ht="15.75" customHeight="1">
      <c r="A3850" s="2" t="s">
        <v>578</v>
      </c>
      <c r="B3850" s="2" t="s">
        <v>119</v>
      </c>
      <c r="C3850" s="2" t="s">
        <v>3473</v>
      </c>
      <c r="D3850" s="2" t="s">
        <v>26</v>
      </c>
      <c r="E3850" s="2" t="s">
        <v>19</v>
      </c>
      <c r="F3850" s="2">
        <v>9.060354941E9</v>
      </c>
    </row>
    <row r="3851" ht="15.75" customHeight="1">
      <c r="A3851" s="2" t="s">
        <v>3478</v>
      </c>
      <c r="B3851" s="2" t="s">
        <v>3126</v>
      </c>
      <c r="C3851" s="2" t="s">
        <v>428</v>
      </c>
      <c r="D3851" s="2" t="s">
        <v>26</v>
      </c>
      <c r="E3851" s="2" t="s">
        <v>19</v>
      </c>
      <c r="F3851" s="2">
        <v>8.25277359E9</v>
      </c>
    </row>
    <row r="3852" ht="15.75" customHeight="1">
      <c r="A3852" s="2" t="s">
        <v>3479</v>
      </c>
      <c r="B3852" s="2" t="s">
        <v>119</v>
      </c>
      <c r="C3852" s="2" t="s">
        <v>3473</v>
      </c>
      <c r="D3852" s="2" t="s">
        <v>26</v>
      </c>
      <c r="E3852" s="2" t="s">
        <v>19</v>
      </c>
      <c r="F3852" s="2">
        <v>9.835909217E9</v>
      </c>
    </row>
    <row r="3853" ht="15.75" customHeight="1">
      <c r="A3853" s="2" t="s">
        <v>1463</v>
      </c>
      <c r="B3853" s="2" t="s">
        <v>248</v>
      </c>
      <c r="C3853" s="2" t="s">
        <v>428</v>
      </c>
      <c r="D3853" s="2" t="s">
        <v>26</v>
      </c>
      <c r="E3853" s="2" t="s">
        <v>19</v>
      </c>
      <c r="F3853" s="2">
        <v>9.835909217E9</v>
      </c>
    </row>
    <row r="3854" ht="15.75" customHeight="1">
      <c r="A3854" s="2" t="s">
        <v>3480</v>
      </c>
      <c r="B3854" s="2" t="s">
        <v>1954</v>
      </c>
      <c r="C3854" s="2" t="s">
        <v>3473</v>
      </c>
      <c r="D3854" s="2" t="s">
        <v>26</v>
      </c>
      <c r="E3854" s="2" t="s">
        <v>19</v>
      </c>
      <c r="F3854" s="2">
        <v>9.334983972E9</v>
      </c>
    </row>
    <row r="3855" ht="15.75" customHeight="1">
      <c r="A3855" s="2" t="s">
        <v>3481</v>
      </c>
      <c r="B3855" s="2" t="s">
        <v>55</v>
      </c>
      <c r="C3855" s="2" t="s">
        <v>428</v>
      </c>
      <c r="D3855" s="2" t="s">
        <v>26</v>
      </c>
      <c r="E3855" s="2" t="s">
        <v>19</v>
      </c>
      <c r="F3855" s="2">
        <v>9.122815303E9</v>
      </c>
    </row>
    <row r="3856" ht="15.75" customHeight="1">
      <c r="A3856" s="2" t="s">
        <v>538</v>
      </c>
      <c r="B3856" s="2" t="s">
        <v>538</v>
      </c>
      <c r="C3856" s="2" t="s">
        <v>3073</v>
      </c>
      <c r="D3856" s="2" t="s">
        <v>26</v>
      </c>
      <c r="E3856" s="2" t="s">
        <v>19</v>
      </c>
      <c r="F3856" s="2">
        <v>9.75557162E9</v>
      </c>
    </row>
    <row r="3857" ht="15.75" customHeight="1">
      <c r="A3857" s="2" t="s">
        <v>3482</v>
      </c>
      <c r="B3857" s="2" t="s">
        <v>3482</v>
      </c>
      <c r="C3857" s="2" t="s">
        <v>428</v>
      </c>
      <c r="D3857" s="2" t="s">
        <v>26</v>
      </c>
      <c r="E3857" s="2" t="s">
        <v>19</v>
      </c>
      <c r="F3857" s="2">
        <v>8.210785125E9</v>
      </c>
    </row>
    <row r="3858" ht="15.75" customHeight="1">
      <c r="A3858" s="2" t="s">
        <v>130</v>
      </c>
      <c r="B3858" s="2" t="s">
        <v>119</v>
      </c>
      <c r="C3858" s="2" t="s">
        <v>3473</v>
      </c>
      <c r="D3858" s="2" t="s">
        <v>26</v>
      </c>
      <c r="E3858" s="2" t="s">
        <v>19</v>
      </c>
      <c r="F3858" s="2">
        <v>9.905244915E9</v>
      </c>
    </row>
    <row r="3859" ht="15.75" customHeight="1">
      <c r="A3859" s="2" t="s">
        <v>930</v>
      </c>
      <c r="B3859" s="2" t="s">
        <v>2169</v>
      </c>
      <c r="C3859" s="2" t="s">
        <v>1792</v>
      </c>
      <c r="D3859" s="2" t="s">
        <v>26</v>
      </c>
      <c r="E3859" s="2" t="s">
        <v>19</v>
      </c>
      <c r="F3859" s="2">
        <v>7.555161616E9</v>
      </c>
    </row>
    <row r="3860" ht="15.75" customHeight="1">
      <c r="A3860" s="2" t="s">
        <v>1561</v>
      </c>
      <c r="B3860" s="2" t="s">
        <v>1561</v>
      </c>
      <c r="C3860" s="2" t="s">
        <v>2070</v>
      </c>
      <c r="D3860" s="2" t="s">
        <v>56</v>
      </c>
      <c r="E3860" s="2" t="s">
        <v>19</v>
      </c>
      <c r="F3860" s="2">
        <v>8.555480467E9</v>
      </c>
    </row>
    <row r="3861" ht="15.75" customHeight="1">
      <c r="A3861" s="2" t="s">
        <v>3483</v>
      </c>
      <c r="B3861" s="2" t="s">
        <v>88</v>
      </c>
      <c r="C3861" s="2" t="s">
        <v>428</v>
      </c>
      <c r="D3861" s="2" t="s">
        <v>26</v>
      </c>
      <c r="E3861" s="2" t="s">
        <v>19</v>
      </c>
      <c r="F3861" s="2">
        <v>9.798720741E9</v>
      </c>
    </row>
    <row r="3862" ht="15.75" customHeight="1">
      <c r="A3862" s="2" t="s">
        <v>2384</v>
      </c>
      <c r="B3862" s="2" t="s">
        <v>2384</v>
      </c>
      <c r="C3862" s="2" t="s">
        <v>1792</v>
      </c>
      <c r="D3862" s="2" t="s">
        <v>56</v>
      </c>
      <c r="E3862" s="2" t="s">
        <v>19</v>
      </c>
      <c r="F3862" s="2">
        <v>9.355537547E9</v>
      </c>
    </row>
    <row r="3863" ht="15.75" customHeight="1">
      <c r="A3863" s="2" t="s">
        <v>707</v>
      </c>
      <c r="B3863" s="2" t="s">
        <v>153</v>
      </c>
      <c r="C3863" s="2" t="s">
        <v>428</v>
      </c>
      <c r="D3863" s="2" t="s">
        <v>26</v>
      </c>
      <c r="E3863" s="2" t="s">
        <v>19</v>
      </c>
      <c r="F3863" s="2">
        <v>8.084404519E9</v>
      </c>
    </row>
    <row r="3864" ht="15.75" customHeight="1">
      <c r="A3864" s="2" t="s">
        <v>1838</v>
      </c>
      <c r="B3864" s="2" t="s">
        <v>1838</v>
      </c>
      <c r="C3864" s="2" t="s">
        <v>428</v>
      </c>
      <c r="D3864" s="2" t="s">
        <v>56</v>
      </c>
      <c r="E3864" s="2" t="s">
        <v>19</v>
      </c>
      <c r="F3864" s="2">
        <v>9.655514665E9</v>
      </c>
    </row>
    <row r="3865" ht="15.75" customHeight="1">
      <c r="A3865" s="2" t="s">
        <v>1290</v>
      </c>
      <c r="B3865" s="2" t="s">
        <v>1290</v>
      </c>
      <c r="C3865" s="2" t="s">
        <v>1024</v>
      </c>
      <c r="D3865" s="2" t="s">
        <v>26</v>
      </c>
      <c r="E3865" s="2" t="s">
        <v>19</v>
      </c>
      <c r="F3865" s="2">
        <v>8.555537672E9</v>
      </c>
    </row>
    <row r="3866" ht="15.75" customHeight="1">
      <c r="A3866" s="2" t="s">
        <v>1541</v>
      </c>
      <c r="B3866" s="2" t="s">
        <v>220</v>
      </c>
      <c r="C3866" s="2" t="s">
        <v>1792</v>
      </c>
      <c r="D3866" s="2" t="s">
        <v>44</v>
      </c>
      <c r="E3866" s="2" t="s">
        <v>19</v>
      </c>
      <c r="F3866" s="2">
        <v>9.355527163E9</v>
      </c>
    </row>
    <row r="3867" ht="15.75" customHeight="1">
      <c r="A3867" s="2" t="s">
        <v>123</v>
      </c>
      <c r="B3867" s="2" t="s">
        <v>150</v>
      </c>
      <c r="C3867" s="2" t="s">
        <v>2781</v>
      </c>
      <c r="D3867" s="2" t="s">
        <v>56</v>
      </c>
      <c r="E3867" s="2" t="s">
        <v>19</v>
      </c>
      <c r="F3867" s="2">
        <v>6.201245581E9</v>
      </c>
    </row>
    <row r="3868" ht="15.75" customHeight="1">
      <c r="A3868" s="2" t="s">
        <v>491</v>
      </c>
      <c r="B3868" s="2" t="s">
        <v>654</v>
      </c>
      <c r="C3868" s="2" t="s">
        <v>128</v>
      </c>
      <c r="D3868" s="2" t="s">
        <v>9</v>
      </c>
      <c r="E3868" s="2" t="s">
        <v>23</v>
      </c>
      <c r="F3868" s="2">
        <v>7.632825132E9</v>
      </c>
    </row>
    <row r="3869" ht="15.75" customHeight="1">
      <c r="A3869" s="2" t="s">
        <v>1052</v>
      </c>
      <c r="B3869" s="2" t="s">
        <v>63</v>
      </c>
      <c r="C3869" s="2" t="s">
        <v>1072</v>
      </c>
      <c r="D3869" s="2" t="s">
        <v>26</v>
      </c>
      <c r="E3869" s="2" t="s">
        <v>19</v>
      </c>
      <c r="F3869" s="2">
        <v>6.20491243E9</v>
      </c>
    </row>
    <row r="3870" ht="15.75" customHeight="1">
      <c r="A3870" s="2" t="s">
        <v>2003</v>
      </c>
      <c r="B3870" s="2" t="s">
        <v>50</v>
      </c>
      <c r="C3870" s="2" t="s">
        <v>412</v>
      </c>
      <c r="D3870" s="2" t="s">
        <v>29</v>
      </c>
      <c r="E3870" s="2" t="s">
        <v>23</v>
      </c>
      <c r="F3870" s="2">
        <v>8.10237189E9</v>
      </c>
    </row>
    <row r="3871" ht="15.75" customHeight="1">
      <c r="A3871" s="2" t="s">
        <v>795</v>
      </c>
      <c r="B3871" s="2" t="s">
        <v>50</v>
      </c>
      <c r="C3871" s="2" t="s">
        <v>611</v>
      </c>
      <c r="D3871" s="2" t="s">
        <v>29</v>
      </c>
      <c r="E3871" s="2" t="s">
        <v>19</v>
      </c>
      <c r="F3871" s="2">
        <v>9.304317423E9</v>
      </c>
    </row>
    <row r="3872" ht="15.75" customHeight="1">
      <c r="A3872" s="2" t="s">
        <v>2448</v>
      </c>
      <c r="B3872" s="2" t="s">
        <v>50</v>
      </c>
      <c r="C3872" s="2" t="s">
        <v>1510</v>
      </c>
      <c r="D3872" s="2" t="s">
        <v>14</v>
      </c>
      <c r="E3872" s="2" t="s">
        <v>23</v>
      </c>
      <c r="F3872" s="2">
        <v>9.905949131E9</v>
      </c>
    </row>
    <row r="3873" ht="15.75" customHeight="1">
      <c r="A3873" s="2" t="s">
        <v>568</v>
      </c>
      <c r="B3873" s="2" t="s">
        <v>50</v>
      </c>
      <c r="C3873" s="2" t="s">
        <v>611</v>
      </c>
      <c r="D3873" s="2" t="s">
        <v>29</v>
      </c>
      <c r="E3873" s="2" t="s">
        <v>19</v>
      </c>
      <c r="F3873" s="2">
        <v>7.903323974E9</v>
      </c>
    </row>
    <row r="3874" ht="15.75" customHeight="1">
      <c r="A3874" s="2" t="s">
        <v>120</v>
      </c>
      <c r="B3874" s="2" t="s">
        <v>50</v>
      </c>
      <c r="C3874" s="2" t="s">
        <v>2925</v>
      </c>
      <c r="D3874" s="2" t="s">
        <v>26</v>
      </c>
      <c r="E3874" s="2" t="s">
        <v>23</v>
      </c>
      <c r="F3874" s="2">
        <v>7.633959599E9</v>
      </c>
    </row>
    <row r="3875" ht="15.75" customHeight="1">
      <c r="A3875" s="2" t="s">
        <v>1482</v>
      </c>
      <c r="B3875" s="2" t="s">
        <v>3484</v>
      </c>
      <c r="C3875" s="2" t="s">
        <v>2873</v>
      </c>
      <c r="D3875" s="2" t="s">
        <v>29</v>
      </c>
      <c r="E3875" s="2" t="s">
        <v>19</v>
      </c>
      <c r="F3875" s="2">
        <v>8.709630743E9</v>
      </c>
    </row>
    <row r="3876" ht="15.75" customHeight="1">
      <c r="A3876" s="2" t="s">
        <v>381</v>
      </c>
      <c r="B3876" s="2" t="s">
        <v>3485</v>
      </c>
      <c r="C3876" s="2" t="s">
        <v>3486</v>
      </c>
      <c r="D3876" s="2" t="s">
        <v>9</v>
      </c>
      <c r="E3876" s="2" t="s">
        <v>23</v>
      </c>
      <c r="F3876" s="2">
        <v>6.203235483E9</v>
      </c>
    </row>
    <row r="3877" ht="15.75" customHeight="1">
      <c r="A3877" s="2" t="s">
        <v>507</v>
      </c>
      <c r="B3877" s="2" t="s">
        <v>50</v>
      </c>
      <c r="C3877" s="2" t="s">
        <v>611</v>
      </c>
      <c r="D3877" s="2" t="s">
        <v>44</v>
      </c>
      <c r="E3877" s="2" t="s">
        <v>19</v>
      </c>
      <c r="F3877" s="2">
        <v>6.204823742E9</v>
      </c>
    </row>
    <row r="3878" ht="15.75" customHeight="1">
      <c r="A3878" s="2" t="s">
        <v>1441</v>
      </c>
      <c r="B3878" s="2" t="s">
        <v>2295</v>
      </c>
      <c r="C3878" s="2" t="s">
        <v>1720</v>
      </c>
      <c r="D3878" s="2" t="s">
        <v>56</v>
      </c>
      <c r="E3878" s="2" t="s">
        <v>23</v>
      </c>
      <c r="F3878" s="2">
        <v>9.304210381E9</v>
      </c>
    </row>
    <row r="3879" ht="15.75" customHeight="1">
      <c r="A3879" s="2" t="s">
        <v>3487</v>
      </c>
      <c r="B3879" s="2" t="s">
        <v>75</v>
      </c>
      <c r="C3879" s="2" t="s">
        <v>611</v>
      </c>
      <c r="D3879" s="2" t="s">
        <v>9</v>
      </c>
      <c r="E3879" s="2" t="s">
        <v>19</v>
      </c>
      <c r="F3879" s="2">
        <v>8.298264624E9</v>
      </c>
    </row>
    <row r="3880" ht="15.75" customHeight="1">
      <c r="A3880" s="2" t="s">
        <v>1052</v>
      </c>
      <c r="B3880" s="2" t="s">
        <v>50</v>
      </c>
      <c r="C3880" s="2" t="s">
        <v>1510</v>
      </c>
      <c r="D3880" s="2" t="s">
        <v>14</v>
      </c>
      <c r="E3880" s="2" t="s">
        <v>23</v>
      </c>
      <c r="F3880" s="2">
        <v>6.201025871E9</v>
      </c>
    </row>
    <row r="3881" ht="15.75" customHeight="1">
      <c r="A3881" s="2" t="s">
        <v>1450</v>
      </c>
      <c r="B3881" s="2" t="s">
        <v>65</v>
      </c>
      <c r="C3881" s="2" t="s">
        <v>2873</v>
      </c>
      <c r="D3881" s="2" t="s">
        <v>26</v>
      </c>
      <c r="E3881" s="2" t="s">
        <v>19</v>
      </c>
      <c r="F3881" s="2">
        <v>9.608327526E9</v>
      </c>
    </row>
    <row r="3882" ht="15.75" customHeight="1">
      <c r="A3882" s="2" t="s">
        <v>189</v>
      </c>
      <c r="B3882" s="2" t="s">
        <v>483</v>
      </c>
      <c r="C3882" s="2" t="s">
        <v>412</v>
      </c>
      <c r="D3882" s="2" t="s">
        <v>9</v>
      </c>
      <c r="E3882" s="2" t="s">
        <v>23</v>
      </c>
      <c r="F3882" s="2">
        <v>7.48825792E9</v>
      </c>
    </row>
    <row r="3883" ht="15.75" customHeight="1">
      <c r="A3883" s="2" t="s">
        <v>3488</v>
      </c>
      <c r="B3883" s="2" t="s">
        <v>3489</v>
      </c>
      <c r="C3883" s="2" t="s">
        <v>1906</v>
      </c>
      <c r="D3883" s="2" t="s">
        <v>9</v>
      </c>
      <c r="E3883" s="2" t="s">
        <v>19</v>
      </c>
      <c r="F3883" s="2">
        <v>9.525976601E9</v>
      </c>
    </row>
    <row r="3884" ht="15.75" customHeight="1">
      <c r="A3884" s="2" t="s">
        <v>80</v>
      </c>
      <c r="B3884" s="2" t="s">
        <v>50</v>
      </c>
      <c r="C3884" s="2" t="s">
        <v>412</v>
      </c>
      <c r="D3884" s="2" t="s">
        <v>9</v>
      </c>
      <c r="E3884" s="2" t="s">
        <v>23</v>
      </c>
      <c r="F3884" s="2">
        <v>7.54915849E9</v>
      </c>
    </row>
    <row r="3885" ht="15.75" customHeight="1">
      <c r="A3885" s="2" t="s">
        <v>1273</v>
      </c>
      <c r="B3885" s="2" t="s">
        <v>245</v>
      </c>
      <c r="C3885" s="2" t="s">
        <v>1072</v>
      </c>
      <c r="D3885" s="2" t="s">
        <v>44</v>
      </c>
      <c r="E3885" s="2" t="s">
        <v>19</v>
      </c>
      <c r="F3885" s="2">
        <v>8.60326334E9</v>
      </c>
    </row>
    <row r="3886" ht="15.75" customHeight="1">
      <c r="A3886" s="2" t="s">
        <v>189</v>
      </c>
      <c r="B3886" s="2" t="s">
        <v>50</v>
      </c>
      <c r="C3886" s="2" t="s">
        <v>412</v>
      </c>
      <c r="D3886" s="2" t="s">
        <v>9</v>
      </c>
      <c r="E3886" s="2" t="s">
        <v>23</v>
      </c>
      <c r="F3886" s="2">
        <v>7.858827119E9</v>
      </c>
    </row>
    <row r="3887" ht="15.75" customHeight="1">
      <c r="A3887" s="2" t="s">
        <v>1857</v>
      </c>
      <c r="B3887" s="2" t="s">
        <v>50</v>
      </c>
      <c r="C3887" s="2" t="s">
        <v>2783</v>
      </c>
      <c r="D3887" s="2" t="s">
        <v>9</v>
      </c>
      <c r="E3887" s="2" t="s">
        <v>19</v>
      </c>
      <c r="F3887" s="2">
        <v>9.142732179E9</v>
      </c>
    </row>
    <row r="3888" ht="15.75" customHeight="1">
      <c r="A3888" s="2" t="s">
        <v>748</v>
      </c>
      <c r="B3888" s="2" t="s">
        <v>50</v>
      </c>
      <c r="C3888" s="2" t="s">
        <v>2873</v>
      </c>
      <c r="D3888" s="2" t="s">
        <v>26</v>
      </c>
      <c r="E3888" s="2" t="s">
        <v>23</v>
      </c>
      <c r="F3888" s="2">
        <v>9.931417815E9</v>
      </c>
    </row>
    <row r="3889" ht="15.75" customHeight="1">
      <c r="A3889" s="2" t="s">
        <v>3490</v>
      </c>
      <c r="B3889" s="2" t="s">
        <v>50</v>
      </c>
      <c r="C3889" s="2" t="s">
        <v>2783</v>
      </c>
      <c r="D3889" s="2" t="s">
        <v>9</v>
      </c>
      <c r="E3889" s="2" t="s">
        <v>19</v>
      </c>
      <c r="F3889" s="2">
        <v>7.903119304E9</v>
      </c>
    </row>
    <row r="3890" ht="15.75" customHeight="1">
      <c r="A3890" s="2" t="s">
        <v>272</v>
      </c>
      <c r="B3890" s="2" t="s">
        <v>50</v>
      </c>
      <c r="C3890" s="2" t="s">
        <v>763</v>
      </c>
      <c r="D3890" s="2" t="s">
        <v>29</v>
      </c>
      <c r="E3890" s="2" t="s">
        <v>23</v>
      </c>
      <c r="F3890" s="2">
        <v>6.204897451E9</v>
      </c>
    </row>
    <row r="3891" ht="15.75" customHeight="1">
      <c r="A3891" s="2" t="s">
        <v>1419</v>
      </c>
      <c r="B3891" s="2" t="s">
        <v>654</v>
      </c>
      <c r="C3891" s="2" t="s">
        <v>2861</v>
      </c>
      <c r="D3891" s="2" t="s">
        <v>26</v>
      </c>
      <c r="E3891" s="2" t="s">
        <v>19</v>
      </c>
      <c r="F3891" s="2">
        <v>8.678074339E9</v>
      </c>
    </row>
    <row r="3892" ht="15.75" customHeight="1">
      <c r="A3892" s="2" t="s">
        <v>120</v>
      </c>
      <c r="B3892" s="2" t="s">
        <v>50</v>
      </c>
      <c r="C3892" s="2" t="s">
        <v>1024</v>
      </c>
      <c r="D3892" s="2" t="s">
        <v>44</v>
      </c>
      <c r="E3892" s="2" t="s">
        <v>23</v>
      </c>
      <c r="F3892" s="2">
        <v>8.581082175E9</v>
      </c>
    </row>
    <row r="3893" ht="15.75" customHeight="1">
      <c r="A3893" s="2" t="s">
        <v>530</v>
      </c>
      <c r="B3893" s="2" t="s">
        <v>119</v>
      </c>
      <c r="C3893" s="2" t="s">
        <v>3491</v>
      </c>
      <c r="D3893" s="2" t="s">
        <v>9</v>
      </c>
      <c r="E3893" s="2" t="s">
        <v>19</v>
      </c>
      <c r="F3893" s="2">
        <v>7.90388697E9</v>
      </c>
    </row>
    <row r="3894" ht="15.75" customHeight="1">
      <c r="A3894" s="2" t="s">
        <v>565</v>
      </c>
      <c r="B3894" s="2" t="s">
        <v>440</v>
      </c>
      <c r="C3894" s="2" t="s">
        <v>428</v>
      </c>
      <c r="D3894" s="2" t="s">
        <v>26</v>
      </c>
      <c r="E3894" s="2" t="s">
        <v>19</v>
      </c>
      <c r="F3894" s="2">
        <v>9.708307803E9</v>
      </c>
    </row>
    <row r="3895" ht="15.75" customHeight="1">
      <c r="A3895" s="2" t="s">
        <v>833</v>
      </c>
      <c r="B3895" s="2" t="s">
        <v>50</v>
      </c>
      <c r="C3895" s="2" t="s">
        <v>1355</v>
      </c>
      <c r="D3895" s="2" t="s">
        <v>26</v>
      </c>
      <c r="E3895" s="2" t="s">
        <v>19</v>
      </c>
      <c r="F3895" s="2">
        <v>9.431665846E9</v>
      </c>
    </row>
    <row r="3896" ht="15.75" customHeight="1">
      <c r="A3896" s="2" t="s">
        <v>234</v>
      </c>
      <c r="B3896" s="2" t="s">
        <v>112</v>
      </c>
      <c r="C3896" s="2" t="s">
        <v>3492</v>
      </c>
      <c r="D3896" s="2" t="s">
        <v>56</v>
      </c>
      <c r="E3896" s="2" t="s">
        <v>19</v>
      </c>
      <c r="F3896" s="2">
        <v>6.204814688E9</v>
      </c>
    </row>
    <row r="3897" ht="15.75" customHeight="1">
      <c r="A3897" s="2" t="s">
        <v>565</v>
      </c>
      <c r="B3897" s="2" t="s">
        <v>150</v>
      </c>
      <c r="C3897" s="2" t="s">
        <v>3493</v>
      </c>
      <c r="D3897" s="2" t="s">
        <v>29</v>
      </c>
      <c r="E3897" s="2" t="s">
        <v>19</v>
      </c>
      <c r="F3897" s="2">
        <v>9.835840935E9</v>
      </c>
    </row>
    <row r="3898" ht="15.75" customHeight="1">
      <c r="A3898" s="2" t="s">
        <v>1463</v>
      </c>
      <c r="B3898" s="2" t="s">
        <v>50</v>
      </c>
      <c r="C3898" s="2" t="s">
        <v>1355</v>
      </c>
      <c r="D3898" s="2" t="s">
        <v>29</v>
      </c>
      <c r="E3898" s="2" t="s">
        <v>19</v>
      </c>
      <c r="F3898" s="2">
        <v>9.939259348E9</v>
      </c>
    </row>
    <row r="3899" ht="15.75" customHeight="1">
      <c r="A3899" s="2" t="s">
        <v>123</v>
      </c>
      <c r="B3899" s="2" t="s">
        <v>50</v>
      </c>
      <c r="C3899" s="2" t="s">
        <v>428</v>
      </c>
      <c r="D3899" s="2" t="s">
        <v>26</v>
      </c>
      <c r="E3899" s="2" t="s">
        <v>19</v>
      </c>
      <c r="F3899" s="2">
        <v>9.83517491E9</v>
      </c>
    </row>
    <row r="3900" ht="15.75" customHeight="1">
      <c r="A3900" s="2" t="s">
        <v>3143</v>
      </c>
      <c r="B3900" s="2" t="s">
        <v>119</v>
      </c>
      <c r="C3900" s="2" t="s">
        <v>1355</v>
      </c>
      <c r="D3900" s="2" t="s">
        <v>29</v>
      </c>
      <c r="E3900" s="2" t="s">
        <v>19</v>
      </c>
      <c r="F3900" s="2">
        <v>9.931041625E9</v>
      </c>
    </row>
    <row r="3901" ht="15.75" customHeight="1">
      <c r="A3901" s="2" t="s">
        <v>3494</v>
      </c>
      <c r="B3901" s="2" t="s">
        <v>1090</v>
      </c>
      <c r="C3901" s="2" t="s">
        <v>1355</v>
      </c>
      <c r="D3901" s="2" t="s">
        <v>29</v>
      </c>
      <c r="E3901" s="2" t="s">
        <v>19</v>
      </c>
      <c r="F3901" s="2">
        <v>9.905201111E9</v>
      </c>
    </row>
    <row r="3902" ht="15.75" customHeight="1">
      <c r="A3902" s="2" t="s">
        <v>3495</v>
      </c>
      <c r="B3902" s="2" t="s">
        <v>2017</v>
      </c>
      <c r="C3902" s="2" t="s">
        <v>428</v>
      </c>
      <c r="D3902" s="2" t="s">
        <v>29</v>
      </c>
      <c r="E3902" s="2" t="s">
        <v>19</v>
      </c>
      <c r="F3902" s="2">
        <v>9.905580956E9</v>
      </c>
    </row>
    <row r="3903" ht="15.75" customHeight="1">
      <c r="A3903" s="2" t="s">
        <v>1273</v>
      </c>
      <c r="B3903" s="2" t="s">
        <v>50</v>
      </c>
      <c r="C3903" s="2" t="s">
        <v>1355</v>
      </c>
      <c r="D3903" s="2" t="s">
        <v>29</v>
      </c>
      <c r="E3903" s="2" t="s">
        <v>19</v>
      </c>
      <c r="F3903" s="2">
        <v>9.470778909E9</v>
      </c>
    </row>
    <row r="3904" ht="15.75" customHeight="1">
      <c r="A3904" s="2" t="s">
        <v>1450</v>
      </c>
      <c r="B3904" s="2" t="s">
        <v>50</v>
      </c>
      <c r="C3904" s="2" t="s">
        <v>1355</v>
      </c>
      <c r="D3904" s="2" t="s">
        <v>29</v>
      </c>
      <c r="E3904" s="2" t="s">
        <v>19</v>
      </c>
      <c r="F3904" s="2">
        <v>7.484000633E9</v>
      </c>
    </row>
    <row r="3905" ht="15.75" customHeight="1">
      <c r="A3905" s="2" t="s">
        <v>80</v>
      </c>
      <c r="B3905" s="2" t="s">
        <v>50</v>
      </c>
      <c r="C3905" s="2" t="s">
        <v>3492</v>
      </c>
      <c r="D3905" s="2" t="s">
        <v>26</v>
      </c>
      <c r="E3905" s="2" t="s">
        <v>19</v>
      </c>
      <c r="F3905" s="2">
        <v>6.207699425E9</v>
      </c>
    </row>
    <row r="3906" ht="15.75" customHeight="1">
      <c r="A3906" s="2" t="s">
        <v>405</v>
      </c>
      <c r="B3906" s="2" t="s">
        <v>50</v>
      </c>
      <c r="C3906" s="2" t="s">
        <v>3496</v>
      </c>
      <c r="D3906" s="2" t="s">
        <v>26</v>
      </c>
      <c r="E3906" s="2" t="s">
        <v>19</v>
      </c>
      <c r="F3906" s="2">
        <v>9.835759404E9</v>
      </c>
    </row>
    <row r="3907" ht="15.75" customHeight="1">
      <c r="A3907" s="2" t="s">
        <v>3195</v>
      </c>
      <c r="B3907" s="2" t="s">
        <v>2164</v>
      </c>
      <c r="C3907" s="2" t="s">
        <v>1355</v>
      </c>
      <c r="D3907" s="2" t="s">
        <v>29</v>
      </c>
      <c r="E3907" s="2" t="s">
        <v>19</v>
      </c>
      <c r="F3907" s="2">
        <v>9.471248174E9</v>
      </c>
    </row>
    <row r="3908" ht="15.75" customHeight="1">
      <c r="A3908" s="2" t="s">
        <v>3497</v>
      </c>
      <c r="B3908" s="2" t="s">
        <v>50</v>
      </c>
      <c r="C3908" s="2" t="s">
        <v>1355</v>
      </c>
      <c r="D3908" s="2" t="s">
        <v>26</v>
      </c>
      <c r="E3908" s="2" t="s">
        <v>19</v>
      </c>
      <c r="F3908" s="2">
        <v>9.431637032E9</v>
      </c>
    </row>
    <row r="3909" ht="15.75" customHeight="1">
      <c r="A3909" s="2" t="s">
        <v>3498</v>
      </c>
      <c r="B3909" s="2" t="s">
        <v>3499</v>
      </c>
      <c r="C3909" s="2" t="s">
        <v>428</v>
      </c>
      <c r="D3909" s="2" t="s">
        <v>26</v>
      </c>
      <c r="E3909" s="2" t="s">
        <v>19</v>
      </c>
      <c r="F3909" s="2">
        <v>6.299460035E9</v>
      </c>
    </row>
    <row r="3910" ht="15.75" customHeight="1">
      <c r="A3910" s="2" t="s">
        <v>1441</v>
      </c>
      <c r="B3910" s="2" t="s">
        <v>3500</v>
      </c>
      <c r="C3910" s="2" t="s">
        <v>3493</v>
      </c>
      <c r="D3910" s="2" t="s">
        <v>26</v>
      </c>
      <c r="E3910" s="2" t="s">
        <v>19</v>
      </c>
      <c r="F3910" s="2">
        <v>9.507176636E9</v>
      </c>
    </row>
    <row r="3911" ht="15.75" customHeight="1">
      <c r="A3911" s="2" t="s">
        <v>381</v>
      </c>
      <c r="B3911" s="2" t="s">
        <v>50</v>
      </c>
      <c r="C3911" s="2" t="s">
        <v>1355</v>
      </c>
      <c r="D3911" s="2" t="s">
        <v>29</v>
      </c>
      <c r="E3911" s="2" t="s">
        <v>19</v>
      </c>
      <c r="F3911" s="2">
        <v>9.931239985E9</v>
      </c>
    </row>
    <row r="3912" ht="15.75" customHeight="1">
      <c r="A3912" s="2" t="s">
        <v>376</v>
      </c>
      <c r="B3912" s="2" t="s">
        <v>50</v>
      </c>
      <c r="C3912" s="2" t="s">
        <v>1355</v>
      </c>
      <c r="D3912" s="2" t="s">
        <v>29</v>
      </c>
      <c r="E3912" s="2" t="s">
        <v>19</v>
      </c>
      <c r="F3912" s="2">
        <v>7.739328992E9</v>
      </c>
    </row>
    <row r="3913" ht="15.75" customHeight="1">
      <c r="A3913" s="2" t="s">
        <v>98</v>
      </c>
      <c r="B3913" s="2" t="s">
        <v>50</v>
      </c>
      <c r="C3913" s="2" t="s">
        <v>2783</v>
      </c>
      <c r="D3913" s="2" t="s">
        <v>9</v>
      </c>
      <c r="E3913" s="2" t="s">
        <v>19</v>
      </c>
      <c r="F3913" s="2">
        <v>9.66101502E9</v>
      </c>
    </row>
    <row r="3914" ht="15.75" customHeight="1">
      <c r="A3914" s="2" t="s">
        <v>3501</v>
      </c>
      <c r="B3914" s="2" t="s">
        <v>63</v>
      </c>
      <c r="C3914" s="2" t="s">
        <v>428</v>
      </c>
      <c r="D3914" s="2" t="s">
        <v>26</v>
      </c>
      <c r="E3914" s="2" t="s">
        <v>19</v>
      </c>
      <c r="F3914" s="2">
        <v>7.004087817E9</v>
      </c>
    </row>
    <row r="3915" ht="15.75" customHeight="1">
      <c r="A3915" s="2" t="s">
        <v>3502</v>
      </c>
      <c r="B3915" s="2" t="s">
        <v>2121</v>
      </c>
      <c r="C3915" s="2" t="s">
        <v>729</v>
      </c>
      <c r="D3915" s="2" t="s">
        <v>56</v>
      </c>
      <c r="E3915" s="2" t="s">
        <v>23</v>
      </c>
      <c r="F3915" s="2">
        <v>9.123292014E9</v>
      </c>
    </row>
    <row r="3916" ht="15.75" customHeight="1">
      <c r="A3916" s="2" t="s">
        <v>1182</v>
      </c>
      <c r="B3916" s="2" t="s">
        <v>50</v>
      </c>
      <c r="C3916" s="2" t="s">
        <v>1355</v>
      </c>
      <c r="D3916" s="2" t="s">
        <v>29</v>
      </c>
      <c r="E3916" s="2" t="s">
        <v>23</v>
      </c>
      <c r="F3916" s="2">
        <v>6.299337716E9</v>
      </c>
    </row>
    <row r="3917" ht="15.75" customHeight="1">
      <c r="A3917" s="2" t="s">
        <v>762</v>
      </c>
      <c r="B3917" s="2" t="s">
        <v>879</v>
      </c>
      <c r="C3917" s="2" t="s">
        <v>3493</v>
      </c>
      <c r="D3917" s="2" t="s">
        <v>26</v>
      </c>
      <c r="E3917" s="2" t="s">
        <v>19</v>
      </c>
      <c r="F3917" s="2">
        <v>7.808782592E9</v>
      </c>
    </row>
    <row r="3918" ht="15.75" customHeight="1">
      <c r="A3918" s="2" t="s">
        <v>1469</v>
      </c>
      <c r="B3918" s="2" t="s">
        <v>50</v>
      </c>
      <c r="C3918" s="2" t="s">
        <v>3503</v>
      </c>
      <c r="D3918" s="2" t="s">
        <v>56</v>
      </c>
      <c r="E3918" s="2" t="s">
        <v>19</v>
      </c>
      <c r="F3918" s="2">
        <v>9.921549541E9</v>
      </c>
    </row>
    <row r="3919" ht="15.75" customHeight="1">
      <c r="A3919" s="2" t="s">
        <v>1685</v>
      </c>
      <c r="B3919" s="2" t="s">
        <v>119</v>
      </c>
      <c r="C3919" s="2" t="s">
        <v>3504</v>
      </c>
      <c r="D3919" s="2" t="s">
        <v>26</v>
      </c>
      <c r="E3919" s="2" t="s">
        <v>23</v>
      </c>
      <c r="F3919" s="2">
        <v>9.113764105E9</v>
      </c>
    </row>
    <row r="3920" ht="15.75" customHeight="1">
      <c r="A3920" s="2" t="s">
        <v>96</v>
      </c>
      <c r="B3920" s="2" t="s">
        <v>50</v>
      </c>
      <c r="C3920" s="2" t="s">
        <v>763</v>
      </c>
      <c r="D3920" s="2" t="s">
        <v>9</v>
      </c>
      <c r="E3920" s="2" t="s">
        <v>23</v>
      </c>
      <c r="F3920" s="2">
        <v>7.739097983E9</v>
      </c>
    </row>
    <row r="3921" ht="15.75" customHeight="1">
      <c r="A3921" s="2" t="s">
        <v>3505</v>
      </c>
      <c r="B3921" s="2" t="s">
        <v>50</v>
      </c>
      <c r="C3921" s="2" t="s">
        <v>1355</v>
      </c>
      <c r="D3921" s="2" t="s">
        <v>29</v>
      </c>
      <c r="E3921" s="2" t="s">
        <v>19</v>
      </c>
      <c r="F3921" s="2">
        <v>7.739372297E9</v>
      </c>
    </row>
    <row r="3922" ht="15.75" customHeight="1">
      <c r="A3922" s="2" t="s">
        <v>833</v>
      </c>
      <c r="B3922" s="2" t="s">
        <v>63</v>
      </c>
      <c r="C3922" s="2" t="s">
        <v>1355</v>
      </c>
      <c r="D3922" s="2" t="s">
        <v>29</v>
      </c>
      <c r="E3922" s="2" t="s">
        <v>23</v>
      </c>
      <c r="F3922" s="2">
        <v>9.304328166E9</v>
      </c>
    </row>
    <row r="3923" ht="15.75" customHeight="1">
      <c r="A3923" s="2" t="s">
        <v>3506</v>
      </c>
      <c r="B3923" s="2" t="s">
        <v>50</v>
      </c>
      <c r="C3923" s="2" t="s">
        <v>1355</v>
      </c>
      <c r="D3923" s="2" t="s">
        <v>9</v>
      </c>
      <c r="E3923" s="2" t="s">
        <v>19</v>
      </c>
      <c r="F3923" s="2">
        <v>9.931493368E9</v>
      </c>
    </row>
    <row r="3924" ht="15.75" customHeight="1">
      <c r="A3924" s="2" t="s">
        <v>3507</v>
      </c>
      <c r="B3924" s="2" t="s">
        <v>21</v>
      </c>
      <c r="C3924" s="2" t="s">
        <v>3496</v>
      </c>
      <c r="D3924" s="2" t="s">
        <v>26</v>
      </c>
      <c r="E3924" s="2" t="s">
        <v>23</v>
      </c>
      <c r="F3924" s="2">
        <v>7.488145576E9</v>
      </c>
    </row>
    <row r="3925" ht="15.75" customHeight="1">
      <c r="A3925" s="2" t="s">
        <v>2051</v>
      </c>
      <c r="B3925" s="2" t="s">
        <v>65</v>
      </c>
      <c r="C3925" s="2" t="s">
        <v>2861</v>
      </c>
      <c r="D3925" s="2" t="s">
        <v>56</v>
      </c>
      <c r="E3925" s="2" t="s">
        <v>19</v>
      </c>
      <c r="F3925" s="2">
        <v>9.123153681E9</v>
      </c>
    </row>
    <row r="3926" ht="15.75" customHeight="1">
      <c r="A3926" s="2" t="s">
        <v>940</v>
      </c>
      <c r="B3926" s="2" t="s">
        <v>2164</v>
      </c>
      <c r="C3926" s="2" t="s">
        <v>655</v>
      </c>
      <c r="D3926" s="2" t="s">
        <v>29</v>
      </c>
      <c r="E3926" s="2" t="s">
        <v>19</v>
      </c>
      <c r="F3926" s="2">
        <v>8.434701287E9</v>
      </c>
    </row>
    <row r="3927" ht="15.75" customHeight="1">
      <c r="A3927" s="2" t="s">
        <v>565</v>
      </c>
      <c r="B3927" s="2" t="s">
        <v>50</v>
      </c>
      <c r="C3927" s="2" t="s">
        <v>655</v>
      </c>
      <c r="D3927" s="2" t="s">
        <v>29</v>
      </c>
      <c r="E3927" s="2" t="s">
        <v>23</v>
      </c>
      <c r="F3927" s="2">
        <v>8.969171194E9</v>
      </c>
    </row>
    <row r="3928" ht="15.75" customHeight="1">
      <c r="A3928" s="2" t="s">
        <v>3508</v>
      </c>
      <c r="B3928" s="2" t="s">
        <v>50</v>
      </c>
      <c r="C3928" s="2" t="s">
        <v>763</v>
      </c>
      <c r="D3928" s="2" t="s">
        <v>26</v>
      </c>
      <c r="E3928" s="2" t="s">
        <v>23</v>
      </c>
      <c r="F3928" s="2">
        <v>7.48505006E9</v>
      </c>
    </row>
    <row r="3929" ht="15.75" customHeight="1">
      <c r="A3929" s="2" t="s">
        <v>1482</v>
      </c>
      <c r="B3929" s="2" t="s">
        <v>65</v>
      </c>
      <c r="C3929" s="2" t="s">
        <v>428</v>
      </c>
      <c r="D3929" s="2" t="s">
        <v>26</v>
      </c>
      <c r="E3929" s="2" t="s">
        <v>19</v>
      </c>
      <c r="F3929" s="2">
        <v>8.102125094E9</v>
      </c>
    </row>
    <row r="3930" ht="15.75" customHeight="1">
      <c r="A3930" s="2" t="s">
        <v>2305</v>
      </c>
      <c r="B3930" s="2" t="s">
        <v>440</v>
      </c>
      <c r="C3930" s="2">
        <v>6.299959919E9</v>
      </c>
      <c r="D3930" s="2" t="s">
        <v>26</v>
      </c>
      <c r="E3930" s="2" t="s">
        <v>23</v>
      </c>
      <c r="F3930" s="2">
        <v>8.969119129E9</v>
      </c>
    </row>
    <row r="3931" ht="15.75" customHeight="1">
      <c r="A3931" s="2" t="s">
        <v>3509</v>
      </c>
      <c r="B3931" s="2" t="s">
        <v>21</v>
      </c>
      <c r="C3931" s="2" t="s">
        <v>428</v>
      </c>
      <c r="D3931" s="2" t="s">
        <v>26</v>
      </c>
      <c r="E3931" s="2" t="s">
        <v>19</v>
      </c>
      <c r="F3931" s="2">
        <v>8.862862201E9</v>
      </c>
    </row>
    <row r="3932" ht="15.75" customHeight="1">
      <c r="A3932" s="2" t="s">
        <v>3510</v>
      </c>
      <c r="B3932" s="2" t="s">
        <v>75</v>
      </c>
      <c r="C3932" s="2" t="s">
        <v>2783</v>
      </c>
      <c r="D3932" s="2" t="s">
        <v>26</v>
      </c>
      <c r="E3932" s="2" t="s">
        <v>19</v>
      </c>
      <c r="F3932" s="2">
        <v>9.155683647E9</v>
      </c>
    </row>
    <row r="3933" ht="15.75" customHeight="1">
      <c r="A3933" s="2" t="s">
        <v>2003</v>
      </c>
      <c r="B3933" s="2" t="s">
        <v>3511</v>
      </c>
      <c r="C3933" s="2" t="s">
        <v>3504</v>
      </c>
      <c r="D3933" s="2" t="s">
        <v>26</v>
      </c>
      <c r="E3933" s="2" t="s">
        <v>23</v>
      </c>
      <c r="F3933" s="2">
        <v>8.75704191E9</v>
      </c>
    </row>
    <row r="3934" ht="15.75" customHeight="1">
      <c r="A3934" s="2" t="s">
        <v>3512</v>
      </c>
      <c r="B3934" s="2" t="s">
        <v>63</v>
      </c>
      <c r="C3934" s="2" t="s">
        <v>1355</v>
      </c>
      <c r="D3934" s="2" t="s">
        <v>29</v>
      </c>
      <c r="E3934" s="2" t="s">
        <v>19</v>
      </c>
      <c r="F3934" s="2">
        <v>9.835044531E9</v>
      </c>
    </row>
    <row r="3935" ht="15.75" customHeight="1">
      <c r="A3935" s="2" t="s">
        <v>1239</v>
      </c>
      <c r="B3935" s="2" t="s">
        <v>1196</v>
      </c>
      <c r="C3935" s="2" t="s">
        <v>3513</v>
      </c>
      <c r="D3935" s="2" t="s">
        <v>56</v>
      </c>
      <c r="E3935" s="2" t="s">
        <v>23</v>
      </c>
      <c r="F3935" s="2">
        <v>8.617317763E9</v>
      </c>
    </row>
    <row r="3936" ht="15.75" customHeight="1">
      <c r="A3936" s="2" t="s">
        <v>707</v>
      </c>
      <c r="B3936" s="2" t="s">
        <v>125</v>
      </c>
      <c r="C3936" s="2" t="s">
        <v>3514</v>
      </c>
      <c r="D3936" s="2" t="s">
        <v>56</v>
      </c>
      <c r="E3936" s="2" t="s">
        <v>23</v>
      </c>
      <c r="F3936" s="2">
        <v>7.050649009E9</v>
      </c>
    </row>
    <row r="3937" ht="15.75" customHeight="1">
      <c r="A3937" s="2" t="s">
        <v>1092</v>
      </c>
      <c r="B3937" s="2" t="s">
        <v>1404</v>
      </c>
      <c r="C3937" s="2" t="s">
        <v>1355</v>
      </c>
      <c r="D3937" s="2" t="s">
        <v>9</v>
      </c>
      <c r="E3937" s="2" t="s">
        <v>19</v>
      </c>
      <c r="F3937" s="2">
        <v>8.229030232E9</v>
      </c>
    </row>
    <row r="3938" ht="15.75" customHeight="1">
      <c r="A3938" s="2" t="s">
        <v>3515</v>
      </c>
      <c r="B3938" s="2" t="s">
        <v>2108</v>
      </c>
      <c r="C3938" s="2" t="s">
        <v>3503</v>
      </c>
      <c r="D3938" s="2" t="s">
        <v>14</v>
      </c>
      <c r="E3938" s="2" t="s">
        <v>19</v>
      </c>
      <c r="F3938" s="2">
        <v>8.70909394E9</v>
      </c>
    </row>
    <row r="3939" ht="15.75" customHeight="1">
      <c r="A3939" s="2" t="s">
        <v>155</v>
      </c>
      <c r="B3939" s="2" t="s">
        <v>3516</v>
      </c>
      <c r="C3939" s="2" t="s">
        <v>3504</v>
      </c>
      <c r="D3939" s="2" t="s">
        <v>26</v>
      </c>
      <c r="E3939" s="2" t="s">
        <v>23</v>
      </c>
      <c r="F3939" s="2">
        <v>6.200842487E9</v>
      </c>
    </row>
    <row r="3940" ht="15.75" customHeight="1">
      <c r="A3940" s="2" t="s">
        <v>1623</v>
      </c>
      <c r="B3940" s="2" t="s">
        <v>3517</v>
      </c>
      <c r="C3940" s="2" t="s">
        <v>1355</v>
      </c>
      <c r="D3940" s="2" t="s">
        <v>29</v>
      </c>
      <c r="E3940" s="2" t="s">
        <v>19</v>
      </c>
      <c r="F3940" s="2">
        <v>9.3345057E9</v>
      </c>
    </row>
    <row r="3941" ht="15.75" customHeight="1">
      <c r="A3941" s="2" t="s">
        <v>1889</v>
      </c>
      <c r="B3941" s="2" t="s">
        <v>3518</v>
      </c>
      <c r="C3941" s="2">
        <v>9.472183446E9</v>
      </c>
      <c r="D3941" s="2" t="s">
        <v>29</v>
      </c>
      <c r="E3941" s="2" t="s">
        <v>23</v>
      </c>
      <c r="F3941" s="2">
        <v>9.472183446E9</v>
      </c>
    </row>
    <row r="3942" ht="15.75" customHeight="1">
      <c r="A3942" s="2" t="s">
        <v>3519</v>
      </c>
      <c r="B3942" s="2" t="s">
        <v>65</v>
      </c>
      <c r="C3942" s="2" t="s">
        <v>763</v>
      </c>
      <c r="D3942" s="2" t="s">
        <v>102</v>
      </c>
      <c r="E3942" s="2" t="s">
        <v>23</v>
      </c>
      <c r="F3942" s="2">
        <v>7.004715231E9</v>
      </c>
    </row>
    <row r="3943" ht="15.75" customHeight="1">
      <c r="A3943" s="2" t="s">
        <v>3520</v>
      </c>
      <c r="B3943" s="2" t="s">
        <v>21</v>
      </c>
      <c r="C3943" s="2" t="s">
        <v>3521</v>
      </c>
      <c r="D3943" s="2" t="s">
        <v>26</v>
      </c>
      <c r="E3943" s="2" t="s">
        <v>19</v>
      </c>
      <c r="F3943" s="2">
        <v>6.205430314E9</v>
      </c>
    </row>
    <row r="3944" ht="15.75" customHeight="1">
      <c r="A3944" s="2" t="s">
        <v>558</v>
      </c>
      <c r="B3944" s="2" t="s">
        <v>150</v>
      </c>
      <c r="C3944" s="2" t="s">
        <v>1355</v>
      </c>
      <c r="D3944" s="2" t="s">
        <v>9</v>
      </c>
      <c r="E3944" s="2" t="s">
        <v>23</v>
      </c>
      <c r="F3944" s="2">
        <v>8.873768186E9</v>
      </c>
    </row>
    <row r="3945" ht="15.75" customHeight="1">
      <c r="A3945" s="2" t="s">
        <v>3522</v>
      </c>
      <c r="B3945" s="2" t="s">
        <v>119</v>
      </c>
      <c r="C3945" s="2" t="s">
        <v>2863</v>
      </c>
      <c r="D3945" s="2" t="s">
        <v>26</v>
      </c>
      <c r="E3945" s="2" t="s">
        <v>19</v>
      </c>
      <c r="F3945" s="2">
        <v>8.252594102E9</v>
      </c>
    </row>
    <row r="3946" ht="15.75" customHeight="1">
      <c r="A3946" s="2" t="s">
        <v>2565</v>
      </c>
      <c r="B3946" s="2" t="s">
        <v>21</v>
      </c>
      <c r="C3946" s="2" t="s">
        <v>1355</v>
      </c>
      <c r="D3946" s="2" t="s">
        <v>29</v>
      </c>
      <c r="E3946" s="2" t="s">
        <v>19</v>
      </c>
      <c r="F3946" s="2">
        <v>9.631393992E9</v>
      </c>
    </row>
    <row r="3947" ht="15.75" customHeight="1">
      <c r="A3947" s="2" t="s">
        <v>435</v>
      </c>
      <c r="B3947" s="2" t="s">
        <v>50</v>
      </c>
      <c r="C3947" s="2" t="s">
        <v>1355</v>
      </c>
      <c r="D3947" s="2" t="s">
        <v>26</v>
      </c>
      <c r="E3947" s="2" t="s">
        <v>23</v>
      </c>
      <c r="F3947" s="2">
        <v>9.934495849E9</v>
      </c>
    </row>
    <row r="3948" ht="15.75" customHeight="1">
      <c r="A3948" s="2" t="s">
        <v>186</v>
      </c>
      <c r="B3948" s="2" t="s">
        <v>1833</v>
      </c>
      <c r="C3948" s="2" t="s">
        <v>655</v>
      </c>
      <c r="D3948" s="2" t="s">
        <v>29</v>
      </c>
      <c r="E3948" s="2" t="s">
        <v>19</v>
      </c>
      <c r="F3948" s="2">
        <v>7.004760974E9</v>
      </c>
    </row>
    <row r="3949" ht="15.75" customHeight="1">
      <c r="A3949" s="2" t="s">
        <v>3523</v>
      </c>
      <c r="B3949" s="2" t="s">
        <v>21</v>
      </c>
      <c r="C3949" s="2" t="s">
        <v>3504</v>
      </c>
      <c r="D3949" s="2" t="s">
        <v>26</v>
      </c>
      <c r="E3949" s="2" t="s">
        <v>23</v>
      </c>
      <c r="F3949" s="2">
        <v>8.092122049E9</v>
      </c>
    </row>
    <row r="3950" ht="15.75" customHeight="1">
      <c r="A3950" s="2" t="s">
        <v>1470</v>
      </c>
      <c r="B3950" s="2" t="s">
        <v>312</v>
      </c>
      <c r="C3950" s="2" t="s">
        <v>3493</v>
      </c>
      <c r="D3950" s="2" t="s">
        <v>44</v>
      </c>
      <c r="E3950" s="2" t="s">
        <v>19</v>
      </c>
      <c r="F3950" s="2">
        <v>7.479734022E9</v>
      </c>
    </row>
    <row r="3951" ht="15.75" customHeight="1">
      <c r="A3951" s="2" t="s">
        <v>94</v>
      </c>
      <c r="B3951" s="2" t="s">
        <v>2164</v>
      </c>
      <c r="C3951" s="2" t="s">
        <v>655</v>
      </c>
      <c r="D3951" s="2" t="s">
        <v>29</v>
      </c>
      <c r="E3951" s="2" t="s">
        <v>23</v>
      </c>
      <c r="F3951" s="2">
        <v>7.033170301E9</v>
      </c>
    </row>
    <row r="3952" ht="15.75" customHeight="1">
      <c r="A3952" s="2" t="s">
        <v>565</v>
      </c>
      <c r="B3952" s="2" t="s">
        <v>2388</v>
      </c>
      <c r="C3952" s="2" t="s">
        <v>655</v>
      </c>
      <c r="D3952" s="2" t="s">
        <v>29</v>
      </c>
      <c r="E3952" s="2" t="s">
        <v>19</v>
      </c>
      <c r="F3952" s="2">
        <v>9.006686355E9</v>
      </c>
    </row>
    <row r="3953" ht="15.75" customHeight="1">
      <c r="A3953" s="2" t="s">
        <v>3524</v>
      </c>
      <c r="B3953" s="2" t="s">
        <v>21</v>
      </c>
      <c r="C3953" s="2" t="s">
        <v>1024</v>
      </c>
      <c r="D3953" s="2" t="s">
        <v>44</v>
      </c>
      <c r="E3953" s="2" t="s">
        <v>23</v>
      </c>
      <c r="F3953" s="2">
        <v>7.667064684E9</v>
      </c>
    </row>
    <row r="3954" ht="15.75" customHeight="1">
      <c r="A3954" s="2" t="s">
        <v>2488</v>
      </c>
      <c r="B3954" s="2" t="s">
        <v>1962</v>
      </c>
      <c r="C3954" s="2" t="s">
        <v>3504</v>
      </c>
      <c r="D3954" s="2" t="s">
        <v>26</v>
      </c>
      <c r="E3954" s="2" t="s">
        <v>23</v>
      </c>
      <c r="F3954" s="2">
        <v>7.260881949E9</v>
      </c>
    </row>
    <row r="3955" ht="15.75" customHeight="1">
      <c r="A3955" s="2" t="s">
        <v>124</v>
      </c>
      <c r="B3955" s="2" t="s">
        <v>145</v>
      </c>
      <c r="C3955" s="2" t="s">
        <v>655</v>
      </c>
      <c r="D3955" s="2" t="s">
        <v>29</v>
      </c>
      <c r="E3955" s="2" t="s">
        <v>19</v>
      </c>
      <c r="F3955" s="2">
        <v>9.939196756E9</v>
      </c>
    </row>
    <row r="3956" ht="15.75" customHeight="1">
      <c r="A3956" s="2" t="s">
        <v>1380</v>
      </c>
      <c r="B3956" s="2" t="s">
        <v>3293</v>
      </c>
      <c r="C3956" s="2" t="s">
        <v>510</v>
      </c>
      <c r="D3956" s="2" t="s">
        <v>44</v>
      </c>
      <c r="E3956" s="2" t="s">
        <v>19</v>
      </c>
      <c r="F3956" s="2">
        <v>7.480845346E9</v>
      </c>
    </row>
    <row r="3957" ht="15.75" customHeight="1">
      <c r="A3957" s="2" t="s">
        <v>725</v>
      </c>
      <c r="B3957" s="2" t="s">
        <v>50</v>
      </c>
      <c r="C3957" s="2" t="s">
        <v>655</v>
      </c>
      <c r="D3957" s="2" t="s">
        <v>29</v>
      </c>
      <c r="E3957" s="2" t="s">
        <v>23</v>
      </c>
      <c r="F3957" s="2">
        <v>8.825275255E9</v>
      </c>
    </row>
    <row r="3958" ht="15.75" customHeight="1">
      <c r="A3958" s="2" t="s">
        <v>2490</v>
      </c>
      <c r="B3958" s="2" t="s">
        <v>50</v>
      </c>
      <c r="C3958" s="2" t="s">
        <v>655</v>
      </c>
      <c r="D3958" s="2" t="s">
        <v>9</v>
      </c>
      <c r="E3958" s="2" t="s">
        <v>19</v>
      </c>
      <c r="F3958" s="2">
        <v>9.934447171E9</v>
      </c>
    </row>
    <row r="3959" ht="15.75" customHeight="1">
      <c r="A3959" s="2" t="s">
        <v>3525</v>
      </c>
      <c r="B3959" s="2" t="s">
        <v>119</v>
      </c>
      <c r="C3959" s="2" t="s">
        <v>3504</v>
      </c>
      <c r="D3959" s="2" t="s">
        <v>26</v>
      </c>
      <c r="E3959" s="2" t="s">
        <v>23</v>
      </c>
      <c r="F3959" s="2">
        <v>6.200878783E9</v>
      </c>
    </row>
    <row r="3960" ht="15.75" customHeight="1">
      <c r="A3960" s="2" t="s">
        <v>1492</v>
      </c>
      <c r="B3960" s="2" t="s">
        <v>654</v>
      </c>
      <c r="C3960" s="2" t="s">
        <v>2863</v>
      </c>
      <c r="D3960" s="2" t="s">
        <v>102</v>
      </c>
      <c r="E3960" s="2" t="s">
        <v>23</v>
      </c>
      <c r="F3960" s="2">
        <v>6.204419724E9</v>
      </c>
    </row>
    <row r="3961" ht="15.75" customHeight="1">
      <c r="A3961" s="2" t="s">
        <v>3526</v>
      </c>
      <c r="B3961" s="2" t="s">
        <v>50</v>
      </c>
      <c r="C3961" s="2" t="s">
        <v>655</v>
      </c>
      <c r="D3961" s="2" t="s">
        <v>29</v>
      </c>
      <c r="E3961" s="2" t="s">
        <v>19</v>
      </c>
      <c r="F3961" s="2">
        <v>8.541888117E9</v>
      </c>
    </row>
    <row r="3962" ht="15.75" customHeight="1">
      <c r="A3962" s="2" t="s">
        <v>422</v>
      </c>
      <c r="B3962" s="2" t="s">
        <v>21</v>
      </c>
      <c r="C3962" s="2" t="s">
        <v>2781</v>
      </c>
      <c r="D3962" s="2" t="s">
        <v>56</v>
      </c>
      <c r="E3962" s="2" t="s">
        <v>19</v>
      </c>
      <c r="F3962" s="2">
        <v>8.210662689E9</v>
      </c>
    </row>
    <row r="3963" ht="15.75" customHeight="1">
      <c r="A3963" s="2" t="s">
        <v>1838</v>
      </c>
      <c r="B3963" s="2" t="s">
        <v>50</v>
      </c>
      <c r="C3963" s="2" t="s">
        <v>655</v>
      </c>
      <c r="D3963" s="2" t="s">
        <v>29</v>
      </c>
      <c r="E3963" s="2" t="s">
        <v>23</v>
      </c>
      <c r="F3963" s="2">
        <v>9.934622928E9</v>
      </c>
    </row>
    <row r="3964" ht="15.75" customHeight="1">
      <c r="A3964" s="2" t="s">
        <v>1103</v>
      </c>
      <c r="B3964" s="2" t="s">
        <v>150</v>
      </c>
      <c r="C3964" s="2" t="s">
        <v>655</v>
      </c>
      <c r="D3964" s="2" t="s">
        <v>29</v>
      </c>
      <c r="E3964" s="2" t="s">
        <v>19</v>
      </c>
      <c r="F3964" s="2">
        <v>9.5705898E9</v>
      </c>
    </row>
    <row r="3965" ht="15.75" customHeight="1">
      <c r="A3965" s="2" t="s">
        <v>33</v>
      </c>
      <c r="B3965" s="2" t="s">
        <v>119</v>
      </c>
      <c r="C3965" s="2" t="s">
        <v>2863</v>
      </c>
      <c r="D3965" s="2" t="s">
        <v>102</v>
      </c>
      <c r="E3965" s="2" t="s">
        <v>23</v>
      </c>
      <c r="F3965" s="2">
        <v>6.200236661E9</v>
      </c>
    </row>
    <row r="3966" ht="15.75" customHeight="1">
      <c r="A3966" s="2" t="s">
        <v>1386</v>
      </c>
      <c r="B3966" s="2" t="s">
        <v>50</v>
      </c>
      <c r="C3966" s="2" t="s">
        <v>3496</v>
      </c>
      <c r="D3966" s="2" t="s">
        <v>26</v>
      </c>
      <c r="E3966" s="2" t="s">
        <v>23</v>
      </c>
      <c r="F3966" s="2">
        <v>8.271495221E9</v>
      </c>
    </row>
    <row r="3967" ht="15.75" customHeight="1">
      <c r="A3967" s="2" t="s">
        <v>94</v>
      </c>
      <c r="B3967" s="2" t="s">
        <v>50</v>
      </c>
      <c r="C3967" s="2" t="s">
        <v>655</v>
      </c>
      <c r="D3967" s="2" t="s">
        <v>29</v>
      </c>
      <c r="E3967" s="2" t="s">
        <v>19</v>
      </c>
      <c r="F3967" s="2">
        <v>8.98724103E9</v>
      </c>
    </row>
    <row r="3968" ht="15.75" customHeight="1">
      <c r="A3968" s="2" t="s">
        <v>682</v>
      </c>
      <c r="B3968" s="2" t="s">
        <v>312</v>
      </c>
      <c r="C3968" s="2" t="s">
        <v>2873</v>
      </c>
      <c r="D3968" s="2" t="s">
        <v>56</v>
      </c>
      <c r="E3968" s="2" t="s">
        <v>19</v>
      </c>
      <c r="F3968" s="2">
        <v>9.470373457E9</v>
      </c>
    </row>
    <row r="3969" ht="15.75" customHeight="1">
      <c r="A3969" s="2" t="s">
        <v>2401</v>
      </c>
      <c r="B3969" s="2" t="s">
        <v>50</v>
      </c>
      <c r="C3969" s="2" t="s">
        <v>655</v>
      </c>
      <c r="D3969" s="2" t="s">
        <v>29</v>
      </c>
      <c r="E3969" s="2" t="s">
        <v>23</v>
      </c>
      <c r="F3969" s="2">
        <v>9.852470782E9</v>
      </c>
    </row>
    <row r="3970" ht="15.75" customHeight="1">
      <c r="A3970" s="2" t="s">
        <v>146</v>
      </c>
      <c r="B3970" s="2" t="s">
        <v>1954</v>
      </c>
      <c r="C3970" s="2" t="s">
        <v>428</v>
      </c>
      <c r="D3970" s="2" t="s">
        <v>26</v>
      </c>
      <c r="E3970" s="2" t="s">
        <v>19</v>
      </c>
      <c r="F3970" s="2">
        <v>8.87713532E9</v>
      </c>
    </row>
    <row r="3971" ht="15.75" customHeight="1">
      <c r="A3971" s="2" t="s">
        <v>2447</v>
      </c>
      <c r="B3971" s="2" t="s">
        <v>50</v>
      </c>
      <c r="C3971" s="2" t="s">
        <v>3514</v>
      </c>
      <c r="D3971" s="2" t="s">
        <v>44</v>
      </c>
      <c r="E3971" s="2" t="s">
        <v>23</v>
      </c>
      <c r="F3971" s="2">
        <v>8.10283641E9</v>
      </c>
    </row>
    <row r="3972" ht="15.75" customHeight="1">
      <c r="A3972" s="2" t="s">
        <v>1725</v>
      </c>
      <c r="B3972" s="2" t="s">
        <v>119</v>
      </c>
      <c r="C3972" s="2" t="s">
        <v>510</v>
      </c>
      <c r="D3972" s="2" t="s">
        <v>26</v>
      </c>
      <c r="E3972" s="2" t="s">
        <v>19</v>
      </c>
      <c r="F3972" s="2">
        <v>9.060809715E9</v>
      </c>
    </row>
    <row r="3973" ht="15.75" customHeight="1">
      <c r="A3973" s="2" t="s">
        <v>1800</v>
      </c>
      <c r="B3973" s="2" t="s">
        <v>119</v>
      </c>
      <c r="C3973" s="2" t="s">
        <v>1720</v>
      </c>
      <c r="D3973" s="2" t="s">
        <v>56</v>
      </c>
      <c r="E3973" s="2" t="s">
        <v>23</v>
      </c>
      <c r="F3973" s="2">
        <v>7.488417169E9</v>
      </c>
    </row>
    <row r="3974" ht="15.75" customHeight="1">
      <c r="A3974" s="2" t="s">
        <v>450</v>
      </c>
      <c r="B3974" s="2" t="s">
        <v>50</v>
      </c>
      <c r="C3974" s="2" t="s">
        <v>655</v>
      </c>
      <c r="D3974" s="2" t="s">
        <v>26</v>
      </c>
      <c r="E3974" s="2" t="s">
        <v>19</v>
      </c>
      <c r="F3974" s="2">
        <v>9.47197449E9</v>
      </c>
    </row>
    <row r="3975" ht="15.75" customHeight="1">
      <c r="A3975" s="2" t="s">
        <v>98</v>
      </c>
      <c r="B3975" s="2" t="s">
        <v>50</v>
      </c>
      <c r="C3975" s="2" t="s">
        <v>655</v>
      </c>
      <c r="D3975" s="2" t="s">
        <v>29</v>
      </c>
      <c r="E3975" s="2" t="s">
        <v>23</v>
      </c>
      <c r="F3975" s="2">
        <v>7.717761991E9</v>
      </c>
    </row>
    <row r="3976" ht="15.75" customHeight="1">
      <c r="A3976" s="2" t="s">
        <v>2218</v>
      </c>
      <c r="B3976" s="2" t="s">
        <v>119</v>
      </c>
      <c r="C3976" s="2" t="s">
        <v>428</v>
      </c>
      <c r="D3976" s="2" t="s">
        <v>26</v>
      </c>
      <c r="E3976" s="2" t="s">
        <v>19</v>
      </c>
      <c r="F3976" s="2">
        <v>9.931785731E9</v>
      </c>
    </row>
    <row r="3977" ht="15.75" customHeight="1">
      <c r="A3977" s="2" t="s">
        <v>1463</v>
      </c>
      <c r="B3977" s="2" t="s">
        <v>3527</v>
      </c>
      <c r="C3977" s="2" t="s">
        <v>867</v>
      </c>
      <c r="D3977" s="2" t="s">
        <v>29</v>
      </c>
      <c r="E3977" s="2" t="s">
        <v>23</v>
      </c>
      <c r="F3977" s="2">
        <v>9.47180465E9</v>
      </c>
    </row>
    <row r="3978" ht="15.75" customHeight="1">
      <c r="A3978" s="2" t="s">
        <v>405</v>
      </c>
      <c r="B3978" s="2" t="s">
        <v>63</v>
      </c>
      <c r="C3978" s="2" t="s">
        <v>655</v>
      </c>
      <c r="D3978" s="2" t="s">
        <v>29</v>
      </c>
      <c r="E3978" s="2" t="s">
        <v>19</v>
      </c>
      <c r="F3978" s="2">
        <v>9.431469696E9</v>
      </c>
    </row>
    <row r="3979" ht="15.75" customHeight="1">
      <c r="A3979" s="2" t="s">
        <v>3528</v>
      </c>
      <c r="B3979" s="2" t="s">
        <v>50</v>
      </c>
      <c r="C3979" s="2" t="s">
        <v>655</v>
      </c>
      <c r="D3979" s="2" t="s">
        <v>9</v>
      </c>
      <c r="E3979" s="2" t="s">
        <v>23</v>
      </c>
      <c r="F3979" s="2">
        <v>7.366921889E9</v>
      </c>
    </row>
    <row r="3980" ht="15.75" customHeight="1">
      <c r="A3980" s="2" t="s">
        <v>1463</v>
      </c>
      <c r="B3980" s="2" t="s">
        <v>50</v>
      </c>
      <c r="C3980" s="2" t="s">
        <v>2873</v>
      </c>
      <c r="D3980" s="2" t="s">
        <v>56</v>
      </c>
      <c r="E3980" s="2" t="s">
        <v>19</v>
      </c>
      <c r="F3980" s="2">
        <v>8.10239967E9</v>
      </c>
    </row>
    <row r="3981" ht="15.75" customHeight="1">
      <c r="A3981" s="2" t="s">
        <v>364</v>
      </c>
      <c r="B3981" s="2" t="s">
        <v>440</v>
      </c>
      <c r="C3981" s="2" t="s">
        <v>428</v>
      </c>
      <c r="D3981" s="2" t="s">
        <v>26</v>
      </c>
      <c r="E3981" s="2" t="s">
        <v>19</v>
      </c>
      <c r="F3981" s="2">
        <v>9.69317725E9</v>
      </c>
    </row>
    <row r="3982" ht="15.75" customHeight="1">
      <c r="A3982" s="2" t="s">
        <v>782</v>
      </c>
      <c r="B3982" s="2" t="s">
        <v>1732</v>
      </c>
      <c r="C3982" s="2" t="s">
        <v>1735</v>
      </c>
      <c r="D3982" s="2" t="s">
        <v>26</v>
      </c>
      <c r="E3982" s="2" t="s">
        <v>23</v>
      </c>
      <c r="F3982" s="2">
        <v>7.549640082E9</v>
      </c>
    </row>
    <row r="3983" ht="15.75" customHeight="1">
      <c r="A3983" s="2" t="s">
        <v>272</v>
      </c>
      <c r="B3983" s="2" t="s">
        <v>50</v>
      </c>
      <c r="C3983" s="2" t="s">
        <v>655</v>
      </c>
      <c r="D3983" s="2" t="s">
        <v>9</v>
      </c>
      <c r="E3983" s="2" t="s">
        <v>19</v>
      </c>
      <c r="F3983" s="2">
        <v>9.546081545E9</v>
      </c>
    </row>
    <row r="3984" ht="15.75" customHeight="1">
      <c r="A3984" s="2" t="s">
        <v>98</v>
      </c>
      <c r="B3984" s="2" t="s">
        <v>440</v>
      </c>
      <c r="C3984" s="2" t="s">
        <v>3496</v>
      </c>
      <c r="D3984" s="2" t="s">
        <v>26</v>
      </c>
      <c r="E3984" s="2" t="s">
        <v>23</v>
      </c>
      <c r="F3984" s="2">
        <v>9.06035956E9</v>
      </c>
    </row>
    <row r="3985" ht="15.75" customHeight="1">
      <c r="A3985" s="2" t="s">
        <v>762</v>
      </c>
      <c r="B3985" s="2" t="s">
        <v>21</v>
      </c>
      <c r="C3985" s="2" t="s">
        <v>655</v>
      </c>
      <c r="D3985" s="2" t="s">
        <v>29</v>
      </c>
      <c r="E3985" s="2" t="s">
        <v>19</v>
      </c>
      <c r="F3985" s="2">
        <v>8.757416002E9</v>
      </c>
    </row>
    <row r="3986" ht="15.75" customHeight="1">
      <c r="A3986" s="2" t="s">
        <v>381</v>
      </c>
      <c r="B3986" s="2" t="s">
        <v>312</v>
      </c>
      <c r="C3986" s="2" t="s">
        <v>655</v>
      </c>
      <c r="D3986" s="2" t="s">
        <v>29</v>
      </c>
      <c r="E3986" s="2" t="s">
        <v>23</v>
      </c>
      <c r="F3986" s="2">
        <v>9.95573721E9</v>
      </c>
    </row>
    <row r="3987" ht="15.75" customHeight="1">
      <c r="A3987" s="2" t="s">
        <v>122</v>
      </c>
      <c r="B3987" s="2" t="s">
        <v>63</v>
      </c>
      <c r="C3987" s="2" t="s">
        <v>1066</v>
      </c>
      <c r="D3987" s="2" t="s">
        <v>44</v>
      </c>
      <c r="E3987" s="2" t="s">
        <v>19</v>
      </c>
      <c r="F3987" s="2">
        <v>8.092816418E9</v>
      </c>
    </row>
    <row r="3988" ht="15.75" customHeight="1">
      <c r="A3988" s="2" t="s">
        <v>1623</v>
      </c>
      <c r="B3988" s="2" t="s">
        <v>50</v>
      </c>
      <c r="C3988" s="2" t="s">
        <v>1720</v>
      </c>
      <c r="D3988" s="2" t="s">
        <v>56</v>
      </c>
      <c r="E3988" s="2" t="s">
        <v>23</v>
      </c>
      <c r="F3988" s="2">
        <v>9.693911644E9</v>
      </c>
    </row>
    <row r="3989" ht="15.75" customHeight="1">
      <c r="A3989" s="2" t="s">
        <v>744</v>
      </c>
      <c r="B3989" s="2" t="s">
        <v>654</v>
      </c>
      <c r="C3989" s="2" t="s">
        <v>2873</v>
      </c>
      <c r="D3989" s="2" t="s">
        <v>56</v>
      </c>
      <c r="E3989" s="2" t="s">
        <v>19</v>
      </c>
      <c r="F3989" s="2">
        <v>6.206841966E9</v>
      </c>
    </row>
    <row r="3990" ht="15.75" customHeight="1">
      <c r="A3990" s="2" t="s">
        <v>1695</v>
      </c>
      <c r="B3990" s="2" t="s">
        <v>1912</v>
      </c>
      <c r="C3990" s="2" t="s">
        <v>729</v>
      </c>
      <c r="D3990" s="2" t="s">
        <v>26</v>
      </c>
      <c r="E3990" s="2" t="s">
        <v>23</v>
      </c>
      <c r="F3990" s="2">
        <v>7.903571952E9</v>
      </c>
    </row>
    <row r="3991" ht="15.75" customHeight="1">
      <c r="A3991" s="2" t="s">
        <v>339</v>
      </c>
      <c r="B3991" s="2" t="s">
        <v>50</v>
      </c>
      <c r="C3991" s="2" t="s">
        <v>2083</v>
      </c>
      <c r="D3991" s="2" t="s">
        <v>26</v>
      </c>
      <c r="E3991" s="2" t="s">
        <v>19</v>
      </c>
      <c r="F3991" s="2">
        <v>8.227883393E9</v>
      </c>
    </row>
    <row r="3992" ht="15.75" customHeight="1">
      <c r="A3992" s="2" t="s">
        <v>1624</v>
      </c>
      <c r="B3992" s="2" t="s">
        <v>117</v>
      </c>
      <c r="C3992" s="2" t="s">
        <v>2873</v>
      </c>
      <c r="D3992" s="2" t="s">
        <v>56</v>
      </c>
      <c r="E3992" s="2" t="s">
        <v>23</v>
      </c>
      <c r="F3992" s="2">
        <v>9.608485665E9</v>
      </c>
    </row>
    <row r="3993" ht="15.75" customHeight="1">
      <c r="A3993" s="2" t="s">
        <v>569</v>
      </c>
      <c r="B3993" s="2" t="s">
        <v>1997</v>
      </c>
      <c r="C3993" s="2" t="s">
        <v>1792</v>
      </c>
      <c r="D3993" s="2" t="s">
        <v>26</v>
      </c>
      <c r="E3993" s="2" t="s">
        <v>19</v>
      </c>
      <c r="F3993" s="2">
        <v>7.903750321E9</v>
      </c>
    </row>
    <row r="3994" ht="15.75" customHeight="1">
      <c r="A3994" s="2" t="s">
        <v>525</v>
      </c>
      <c r="B3994" s="2" t="s">
        <v>1954</v>
      </c>
      <c r="C3994" s="2" t="s">
        <v>428</v>
      </c>
      <c r="D3994" s="2" t="s">
        <v>26</v>
      </c>
      <c r="E3994" s="2" t="s">
        <v>19</v>
      </c>
      <c r="F3994" s="2">
        <v>9.006320299E9</v>
      </c>
    </row>
    <row r="3995" ht="15.75" customHeight="1">
      <c r="A3995" s="2" t="s">
        <v>3529</v>
      </c>
      <c r="B3995" s="2" t="s">
        <v>50</v>
      </c>
      <c r="C3995" s="2" t="s">
        <v>655</v>
      </c>
      <c r="D3995" s="2" t="s">
        <v>29</v>
      </c>
      <c r="E3995" s="2" t="s">
        <v>23</v>
      </c>
      <c r="F3995" s="2">
        <v>9.430452297E9</v>
      </c>
    </row>
    <row r="3996" ht="15.75" customHeight="1">
      <c r="A3996" s="2" t="s">
        <v>3530</v>
      </c>
      <c r="B3996" s="2" t="s">
        <v>108</v>
      </c>
      <c r="C3996" s="2" t="s">
        <v>128</v>
      </c>
      <c r="D3996" s="2" t="s">
        <v>44</v>
      </c>
      <c r="E3996" s="2" t="s">
        <v>23</v>
      </c>
      <c r="F3996" s="2">
        <v>8.210795467E9</v>
      </c>
    </row>
    <row r="3997" ht="15.75" customHeight="1">
      <c r="A3997" s="2" t="s">
        <v>3531</v>
      </c>
      <c r="B3997" s="2" t="s">
        <v>344</v>
      </c>
      <c r="C3997" s="2" t="s">
        <v>428</v>
      </c>
      <c r="D3997" s="2" t="s">
        <v>26</v>
      </c>
      <c r="E3997" s="2" t="s">
        <v>19</v>
      </c>
      <c r="F3997" s="2">
        <v>9.205220389E9</v>
      </c>
    </row>
    <row r="3998" ht="15.75" customHeight="1">
      <c r="A3998" s="2" t="s">
        <v>3532</v>
      </c>
      <c r="B3998" s="2" t="s">
        <v>50</v>
      </c>
      <c r="C3998" s="2" t="s">
        <v>181</v>
      </c>
      <c r="D3998" s="2" t="s">
        <v>26</v>
      </c>
      <c r="E3998" s="2" t="s">
        <v>23</v>
      </c>
      <c r="F3998" s="2">
        <v>8.603972854E9</v>
      </c>
    </row>
    <row r="3999" ht="15.75" customHeight="1">
      <c r="A3999" s="2" t="s">
        <v>1976</v>
      </c>
      <c r="B3999" s="2" t="s">
        <v>50</v>
      </c>
      <c r="C3999" s="2" t="s">
        <v>2873</v>
      </c>
      <c r="D3999" s="2" t="s">
        <v>44</v>
      </c>
      <c r="E3999" s="2" t="s">
        <v>19</v>
      </c>
      <c r="F3999" s="2">
        <v>7.209367046E9</v>
      </c>
    </row>
    <row r="4000" ht="15.75" customHeight="1">
      <c r="A4000" s="2" t="s">
        <v>2547</v>
      </c>
      <c r="B4000" s="2" t="s">
        <v>21</v>
      </c>
      <c r="C4000" s="2" t="s">
        <v>3533</v>
      </c>
      <c r="D4000" s="2" t="s">
        <v>56</v>
      </c>
      <c r="E4000" s="2" t="s">
        <v>19</v>
      </c>
      <c r="F4000" s="2">
        <v>9.304172408E9</v>
      </c>
    </row>
    <row r="4001" ht="15.75" customHeight="1">
      <c r="A4001" s="2" t="s">
        <v>707</v>
      </c>
      <c r="B4001" s="2" t="s">
        <v>3534</v>
      </c>
      <c r="C4001" s="2" t="s">
        <v>3272</v>
      </c>
      <c r="D4001" s="2" t="s">
        <v>56</v>
      </c>
      <c r="E4001" s="2" t="s">
        <v>23</v>
      </c>
      <c r="F4001" s="2">
        <v>7.903162822E9</v>
      </c>
    </row>
    <row r="4002" ht="15.75" customHeight="1">
      <c r="A4002" s="2" t="s">
        <v>405</v>
      </c>
      <c r="B4002" s="2" t="s">
        <v>63</v>
      </c>
      <c r="C4002" s="2" t="s">
        <v>128</v>
      </c>
      <c r="D4002" s="2" t="s">
        <v>44</v>
      </c>
      <c r="E4002" s="2" t="s">
        <v>23</v>
      </c>
      <c r="F4002" s="2">
        <v>8.235386853E9</v>
      </c>
    </row>
    <row r="4003" ht="15.75" customHeight="1">
      <c r="A4003" s="2" t="s">
        <v>96</v>
      </c>
      <c r="B4003" s="2" t="s">
        <v>3535</v>
      </c>
      <c r="C4003" s="2" t="s">
        <v>1798</v>
      </c>
      <c r="D4003" s="2" t="s">
        <v>44</v>
      </c>
      <c r="E4003" s="2" t="s">
        <v>19</v>
      </c>
      <c r="F4003" s="2">
        <v>9.523696929E9</v>
      </c>
    </row>
    <row r="4004" ht="15.75" customHeight="1">
      <c r="A4004" s="2" t="s">
        <v>3536</v>
      </c>
      <c r="B4004" s="2" t="s">
        <v>3537</v>
      </c>
      <c r="C4004" s="2" t="s">
        <v>510</v>
      </c>
      <c r="D4004" s="2" t="s">
        <v>56</v>
      </c>
      <c r="E4004" s="2" t="s">
        <v>23</v>
      </c>
      <c r="F4004" s="2">
        <v>7.295940909E9</v>
      </c>
    </row>
    <row r="4005" ht="15.75" customHeight="1">
      <c r="A4005" s="2" t="s">
        <v>1393</v>
      </c>
      <c r="B4005" s="2" t="s">
        <v>131</v>
      </c>
      <c r="C4005" s="2" t="s">
        <v>3538</v>
      </c>
      <c r="D4005" s="2" t="s">
        <v>9</v>
      </c>
      <c r="E4005" s="2" t="s">
        <v>19</v>
      </c>
      <c r="F4005" s="2">
        <v>9.334065854E9</v>
      </c>
    </row>
    <row r="4006" ht="15.75" customHeight="1">
      <c r="A4006" s="2" t="s">
        <v>3539</v>
      </c>
      <c r="B4006" s="2" t="s">
        <v>1663</v>
      </c>
      <c r="C4006" s="2" t="s">
        <v>181</v>
      </c>
      <c r="D4006" s="2" t="s">
        <v>29</v>
      </c>
      <c r="E4006" s="2" t="s">
        <v>23</v>
      </c>
      <c r="F4006" s="2">
        <v>6.201491165E9</v>
      </c>
    </row>
    <row r="4007" ht="15.75" customHeight="1">
      <c r="A4007" s="2" t="s">
        <v>1461</v>
      </c>
      <c r="B4007" s="2" t="s">
        <v>50</v>
      </c>
      <c r="C4007" s="2" t="s">
        <v>128</v>
      </c>
      <c r="D4007" s="2" t="s">
        <v>29</v>
      </c>
      <c r="E4007" s="2" t="s">
        <v>19</v>
      </c>
      <c r="F4007" s="2">
        <v>8.09252675E9</v>
      </c>
    </row>
    <row r="4008" ht="15.75" customHeight="1">
      <c r="A4008" s="2" t="s">
        <v>3540</v>
      </c>
      <c r="B4008" s="2" t="s">
        <v>50</v>
      </c>
      <c r="C4008" s="2" t="s">
        <v>3541</v>
      </c>
      <c r="D4008" s="2" t="s">
        <v>56</v>
      </c>
      <c r="E4008" s="2" t="s">
        <v>19</v>
      </c>
      <c r="F4008" s="2">
        <v>9.19965961E9</v>
      </c>
    </row>
    <row r="4009" ht="15.75" customHeight="1">
      <c r="A4009" s="2" t="s">
        <v>991</v>
      </c>
      <c r="B4009" s="2" t="s">
        <v>63</v>
      </c>
      <c r="C4009" s="2" t="s">
        <v>3034</v>
      </c>
      <c r="D4009" s="2" t="s">
        <v>26</v>
      </c>
      <c r="E4009" s="2" t="s">
        <v>23</v>
      </c>
      <c r="F4009" s="2">
        <v>9.128970458E9</v>
      </c>
    </row>
    <row r="4010" ht="15.75" customHeight="1">
      <c r="A4010" s="2" t="s">
        <v>186</v>
      </c>
      <c r="B4010" s="2" t="s">
        <v>1290</v>
      </c>
      <c r="C4010" s="2" t="s">
        <v>252</v>
      </c>
      <c r="D4010" s="2" t="s">
        <v>56</v>
      </c>
      <c r="E4010" s="2" t="s">
        <v>19</v>
      </c>
      <c r="F4010" s="2">
        <v>9.835110469E9</v>
      </c>
    </row>
    <row r="4011" ht="15.75" customHeight="1">
      <c r="A4011" s="2" t="s">
        <v>565</v>
      </c>
      <c r="B4011" s="2" t="s">
        <v>3518</v>
      </c>
      <c r="C4011" s="2" t="s">
        <v>128</v>
      </c>
      <c r="D4011" s="2" t="s">
        <v>9</v>
      </c>
      <c r="E4011" s="2" t="s">
        <v>23</v>
      </c>
      <c r="F4011" s="2">
        <v>8.210244004E9</v>
      </c>
    </row>
    <row r="4012" ht="15.75" customHeight="1">
      <c r="A4012" s="2" t="s">
        <v>2012</v>
      </c>
      <c r="B4012" s="2" t="s">
        <v>520</v>
      </c>
      <c r="C4012" s="2" t="s">
        <v>3542</v>
      </c>
      <c r="D4012" s="2" t="s">
        <v>44</v>
      </c>
      <c r="E4012" s="2" t="s">
        <v>23</v>
      </c>
      <c r="F4012" s="2">
        <v>8.210038251E9</v>
      </c>
    </row>
    <row r="4013" ht="15.75" customHeight="1">
      <c r="A4013" s="2" t="s">
        <v>636</v>
      </c>
      <c r="B4013" s="2" t="s">
        <v>50</v>
      </c>
      <c r="C4013" s="2" t="s">
        <v>1798</v>
      </c>
      <c r="D4013" s="2" t="s">
        <v>9</v>
      </c>
      <c r="E4013" s="2" t="s">
        <v>19</v>
      </c>
      <c r="F4013" s="2">
        <v>9.00464472E9</v>
      </c>
    </row>
    <row r="4014" ht="15.75" customHeight="1">
      <c r="A4014" s="2" t="s">
        <v>3543</v>
      </c>
      <c r="B4014" s="2" t="s">
        <v>113</v>
      </c>
      <c r="C4014" s="2" t="s">
        <v>3544</v>
      </c>
      <c r="D4014" s="2" t="s">
        <v>44</v>
      </c>
      <c r="E4014" s="2" t="s">
        <v>23</v>
      </c>
      <c r="F4014" s="2">
        <v>8.271974249E9</v>
      </c>
    </row>
    <row r="4015" ht="15.75" customHeight="1">
      <c r="A4015" s="2" t="s">
        <v>186</v>
      </c>
      <c r="B4015" s="2" t="s">
        <v>1912</v>
      </c>
      <c r="C4015" s="2" t="s">
        <v>3545</v>
      </c>
      <c r="D4015" s="2" t="s">
        <v>44</v>
      </c>
      <c r="E4015" s="2" t="s">
        <v>19</v>
      </c>
      <c r="F4015" s="2">
        <v>6.200259376E9</v>
      </c>
    </row>
    <row r="4016" ht="15.75" customHeight="1">
      <c r="A4016" s="2" t="s">
        <v>3546</v>
      </c>
      <c r="B4016" s="2" t="s">
        <v>3547</v>
      </c>
      <c r="C4016" s="2" t="s">
        <v>761</v>
      </c>
      <c r="D4016" s="2" t="s">
        <v>14</v>
      </c>
      <c r="E4016" s="2" t="s">
        <v>23</v>
      </c>
      <c r="F4016" s="2">
        <v>9.546276056E9</v>
      </c>
    </row>
    <row r="4017" ht="15.75" customHeight="1">
      <c r="A4017" s="2" t="s">
        <v>1704</v>
      </c>
      <c r="B4017" s="2" t="s">
        <v>522</v>
      </c>
      <c r="C4017" s="2" t="s">
        <v>3548</v>
      </c>
      <c r="D4017" s="2" t="s">
        <v>56</v>
      </c>
      <c r="E4017" s="2" t="s">
        <v>19</v>
      </c>
      <c r="F4017" s="2">
        <v>6.201469942E9</v>
      </c>
    </row>
    <row r="4018" ht="15.75" customHeight="1">
      <c r="A4018" s="2" t="s">
        <v>1273</v>
      </c>
      <c r="B4018" s="2" t="s">
        <v>1172</v>
      </c>
      <c r="C4018" s="2" t="s">
        <v>2873</v>
      </c>
      <c r="D4018" s="2" t="s">
        <v>56</v>
      </c>
      <c r="E4018" s="2" t="s">
        <v>19</v>
      </c>
      <c r="F4018" s="2">
        <v>6.287649086E9</v>
      </c>
    </row>
    <row r="4019" ht="15.75" customHeight="1">
      <c r="A4019" s="2" t="s">
        <v>374</v>
      </c>
      <c r="B4019" s="2" t="s">
        <v>3040</v>
      </c>
      <c r="C4019" s="2" t="s">
        <v>1072</v>
      </c>
      <c r="D4019" s="2" t="s">
        <v>26</v>
      </c>
      <c r="E4019" s="2" t="s">
        <v>23</v>
      </c>
      <c r="F4019" s="2">
        <v>9.708737066E9</v>
      </c>
    </row>
    <row r="4020" ht="15.75" customHeight="1">
      <c r="A4020" s="2" t="s">
        <v>3549</v>
      </c>
      <c r="B4020" s="2" t="s">
        <v>21</v>
      </c>
      <c r="C4020" s="2" t="s">
        <v>3550</v>
      </c>
      <c r="D4020" s="2" t="s">
        <v>44</v>
      </c>
      <c r="E4020" s="2" t="s">
        <v>193</v>
      </c>
      <c r="F4020" s="2">
        <v>9.930905432E9</v>
      </c>
    </row>
    <row r="4021" ht="15.75" customHeight="1">
      <c r="A4021" s="2" t="s">
        <v>3551</v>
      </c>
      <c r="B4021" s="2" t="s">
        <v>21</v>
      </c>
      <c r="C4021" s="2" t="s">
        <v>3550</v>
      </c>
      <c r="D4021" s="2" t="s">
        <v>44</v>
      </c>
      <c r="E4021" s="2" t="s">
        <v>434</v>
      </c>
      <c r="F4021" s="2">
        <v>8.77964052E9</v>
      </c>
    </row>
    <row r="4022" ht="15.75" customHeight="1">
      <c r="A4022" s="2" t="s">
        <v>602</v>
      </c>
      <c r="B4022" s="2" t="s">
        <v>21</v>
      </c>
      <c r="C4022" s="2" t="s">
        <v>3550</v>
      </c>
      <c r="D4022" s="2" t="s">
        <v>44</v>
      </c>
      <c r="E4022" s="2" t="s">
        <v>193</v>
      </c>
      <c r="F4022" s="2">
        <v>9.323921108E9</v>
      </c>
    </row>
    <row r="4023" ht="15.75" customHeight="1">
      <c r="A4023" s="2" t="s">
        <v>2483</v>
      </c>
      <c r="B4023" s="2" t="s">
        <v>21</v>
      </c>
      <c r="C4023" s="2" t="s">
        <v>3550</v>
      </c>
      <c r="D4023" s="2" t="s">
        <v>26</v>
      </c>
      <c r="E4023" s="2" t="s">
        <v>434</v>
      </c>
      <c r="F4023" s="2">
        <v>9.892972537E9</v>
      </c>
    </row>
    <row r="4024" ht="15.75" customHeight="1">
      <c r="A4024" s="2" t="s">
        <v>1255</v>
      </c>
      <c r="B4024" s="2" t="s">
        <v>50</v>
      </c>
      <c r="C4024" s="2" t="s">
        <v>128</v>
      </c>
      <c r="D4024" s="2" t="s">
        <v>29</v>
      </c>
      <c r="E4024" s="2" t="s">
        <v>19</v>
      </c>
      <c r="F4024" s="2">
        <v>8.882631401E9</v>
      </c>
    </row>
    <row r="4025" ht="15.75" customHeight="1">
      <c r="A4025" s="2" t="s">
        <v>3552</v>
      </c>
      <c r="B4025" s="2" t="s">
        <v>21</v>
      </c>
      <c r="C4025" s="2" t="s">
        <v>3553</v>
      </c>
      <c r="D4025" s="2" t="s">
        <v>56</v>
      </c>
      <c r="E4025" s="2" t="s">
        <v>193</v>
      </c>
      <c r="F4025" s="2">
        <v>9.773118523E9</v>
      </c>
    </row>
    <row r="4026" ht="15.75" customHeight="1">
      <c r="A4026" s="2" t="s">
        <v>2112</v>
      </c>
      <c r="B4026" s="2" t="s">
        <v>21</v>
      </c>
      <c r="C4026" s="2" t="s">
        <v>3553</v>
      </c>
      <c r="D4026" s="2" t="s">
        <v>56</v>
      </c>
      <c r="E4026" s="2" t="s">
        <v>434</v>
      </c>
      <c r="F4026" s="2">
        <v>9.773118523E9</v>
      </c>
    </row>
    <row r="4027" ht="15.75" customHeight="1">
      <c r="A4027" s="2" t="s">
        <v>3554</v>
      </c>
      <c r="B4027" s="2" t="s">
        <v>922</v>
      </c>
      <c r="C4027" s="2" t="s">
        <v>1510</v>
      </c>
      <c r="D4027" s="2" t="s">
        <v>56</v>
      </c>
      <c r="E4027" s="2" t="s">
        <v>23</v>
      </c>
      <c r="F4027" s="2">
        <v>6.204853488E9</v>
      </c>
    </row>
    <row r="4028" ht="15.75" customHeight="1">
      <c r="A4028" s="2" t="s">
        <v>802</v>
      </c>
      <c r="B4028" s="2" t="s">
        <v>21</v>
      </c>
      <c r="C4028" s="2" t="s">
        <v>3550</v>
      </c>
      <c r="D4028" s="2" t="s">
        <v>56</v>
      </c>
      <c r="E4028" s="2" t="s">
        <v>193</v>
      </c>
      <c r="F4028" s="2">
        <v>9.773118523E9</v>
      </c>
    </row>
    <row r="4029" ht="15.75" customHeight="1">
      <c r="A4029" s="2" t="s">
        <v>146</v>
      </c>
      <c r="B4029" s="2" t="s">
        <v>21</v>
      </c>
      <c r="C4029" s="2" t="s">
        <v>3550</v>
      </c>
      <c r="D4029" s="2" t="s">
        <v>26</v>
      </c>
      <c r="E4029" s="2" t="s">
        <v>434</v>
      </c>
      <c r="F4029" s="2">
        <v>9.89204345E9</v>
      </c>
    </row>
    <row r="4030" ht="15.75" customHeight="1">
      <c r="A4030" s="2" t="s">
        <v>3555</v>
      </c>
      <c r="B4030" s="2" t="s">
        <v>21</v>
      </c>
      <c r="C4030" s="2" t="s">
        <v>3550</v>
      </c>
      <c r="D4030" s="2" t="s">
        <v>9</v>
      </c>
      <c r="E4030" s="2" t="s">
        <v>193</v>
      </c>
      <c r="F4030" s="2">
        <v>9.89204345E9</v>
      </c>
    </row>
    <row r="4031" ht="15.75" customHeight="1">
      <c r="A4031" s="2" t="s">
        <v>2553</v>
      </c>
      <c r="B4031" s="2" t="s">
        <v>63</v>
      </c>
      <c r="C4031" s="2" t="s">
        <v>128</v>
      </c>
      <c r="D4031" s="2" t="s">
        <v>9</v>
      </c>
      <c r="E4031" s="2" t="s">
        <v>19</v>
      </c>
      <c r="F4031" s="2">
        <v>9.97384673E9</v>
      </c>
    </row>
    <row r="4032" ht="15.75" customHeight="1">
      <c r="A4032" s="2" t="s">
        <v>163</v>
      </c>
      <c r="B4032" s="2" t="s">
        <v>21</v>
      </c>
      <c r="C4032" s="2" t="s">
        <v>3550</v>
      </c>
      <c r="D4032" s="2" t="s">
        <v>44</v>
      </c>
      <c r="E4032" s="2" t="s">
        <v>434</v>
      </c>
      <c r="F4032" s="2">
        <v>9.89204345E9</v>
      </c>
    </row>
    <row r="4033" ht="15.75" customHeight="1">
      <c r="A4033" s="2" t="s">
        <v>1737</v>
      </c>
      <c r="B4033" s="2" t="s">
        <v>675</v>
      </c>
      <c r="C4033" s="2" t="s">
        <v>3550</v>
      </c>
      <c r="D4033" s="2" t="s">
        <v>14</v>
      </c>
      <c r="E4033" s="2" t="s">
        <v>193</v>
      </c>
      <c r="F4033" s="2">
        <v>9.89204345E9</v>
      </c>
    </row>
    <row r="4034" ht="15.75" customHeight="1">
      <c r="A4034" s="2" t="s">
        <v>1562</v>
      </c>
      <c r="B4034" s="2" t="s">
        <v>21</v>
      </c>
      <c r="C4034" s="2" t="s">
        <v>3556</v>
      </c>
      <c r="D4034" s="2" t="s">
        <v>14</v>
      </c>
      <c r="E4034" s="2" t="s">
        <v>434</v>
      </c>
      <c r="F4034" s="2">
        <v>9.172371306E9</v>
      </c>
    </row>
    <row r="4035" ht="15.75" customHeight="1">
      <c r="A4035" s="2" t="s">
        <v>3557</v>
      </c>
      <c r="B4035" s="2" t="s">
        <v>21</v>
      </c>
      <c r="C4035" s="2" t="s">
        <v>3558</v>
      </c>
      <c r="D4035" s="2" t="s">
        <v>44</v>
      </c>
      <c r="E4035" s="2" t="s">
        <v>193</v>
      </c>
      <c r="F4035" s="2">
        <v>9.967699552E9</v>
      </c>
    </row>
    <row r="4036" ht="15.75" customHeight="1">
      <c r="A4036" s="2" t="s">
        <v>110</v>
      </c>
      <c r="B4036" s="2" t="s">
        <v>3559</v>
      </c>
      <c r="C4036" s="2" t="s">
        <v>3550</v>
      </c>
      <c r="D4036" s="2" t="s">
        <v>14</v>
      </c>
      <c r="E4036" s="2" t="s">
        <v>434</v>
      </c>
      <c r="F4036" s="2">
        <v>9.987072054E9</v>
      </c>
    </row>
    <row r="4037" ht="15.75" customHeight="1">
      <c r="A4037" s="2" t="s">
        <v>1623</v>
      </c>
      <c r="B4037" s="2" t="s">
        <v>21</v>
      </c>
      <c r="C4037" s="2" t="s">
        <v>3550</v>
      </c>
      <c r="D4037" s="2" t="s">
        <v>9</v>
      </c>
      <c r="E4037" s="2" t="s">
        <v>193</v>
      </c>
      <c r="F4037" s="2">
        <v>7.738331289E9</v>
      </c>
    </row>
    <row r="4038" ht="15.75" customHeight="1">
      <c r="A4038" s="2" t="s">
        <v>185</v>
      </c>
      <c r="B4038" s="2" t="s">
        <v>21</v>
      </c>
      <c r="C4038" s="2" t="s">
        <v>3550</v>
      </c>
      <c r="D4038" s="2" t="s">
        <v>14</v>
      </c>
      <c r="E4038" s="2" t="s">
        <v>434</v>
      </c>
      <c r="F4038" s="2">
        <v>9.820766593E9</v>
      </c>
    </row>
    <row r="4039" ht="15.75" customHeight="1">
      <c r="A4039" s="2" t="s">
        <v>2605</v>
      </c>
      <c r="B4039" s="2" t="s">
        <v>3560</v>
      </c>
      <c r="C4039" s="2" t="s">
        <v>3550</v>
      </c>
      <c r="D4039" s="2" t="s">
        <v>14</v>
      </c>
      <c r="E4039" s="2" t="s">
        <v>193</v>
      </c>
      <c r="F4039" s="2">
        <v>9.987193122E9</v>
      </c>
    </row>
    <row r="4040" ht="15.75" customHeight="1">
      <c r="A4040" s="2" t="s">
        <v>3561</v>
      </c>
      <c r="B4040" s="2" t="s">
        <v>21</v>
      </c>
      <c r="C4040" s="2" t="s">
        <v>3553</v>
      </c>
      <c r="D4040" s="2" t="s">
        <v>14</v>
      </c>
      <c r="E4040" s="2" t="s">
        <v>434</v>
      </c>
      <c r="F4040" s="2">
        <v>9.819269039E9</v>
      </c>
    </row>
    <row r="4041" ht="15.75" customHeight="1">
      <c r="A4041" s="2" t="s">
        <v>2879</v>
      </c>
      <c r="B4041" s="2" t="s">
        <v>150</v>
      </c>
      <c r="C4041" s="2" t="s">
        <v>3562</v>
      </c>
      <c r="D4041" s="2" t="s">
        <v>102</v>
      </c>
      <c r="E4041" s="2" t="s">
        <v>23</v>
      </c>
      <c r="F4041" s="2">
        <v>6.299793581E9</v>
      </c>
    </row>
    <row r="4042" ht="15.75" customHeight="1">
      <c r="A4042" s="2" t="s">
        <v>1889</v>
      </c>
      <c r="B4042" s="2" t="s">
        <v>3518</v>
      </c>
      <c r="C4042" s="2" t="s">
        <v>2873</v>
      </c>
      <c r="D4042" s="2" t="s">
        <v>9</v>
      </c>
      <c r="E4042" s="2" t="s">
        <v>23</v>
      </c>
      <c r="F4042" s="2">
        <v>7.06199431E9</v>
      </c>
    </row>
    <row r="4043" ht="15.75" customHeight="1">
      <c r="A4043" s="2" t="s">
        <v>3563</v>
      </c>
      <c r="B4043" s="2" t="s">
        <v>3564</v>
      </c>
      <c r="C4043" s="2" t="s">
        <v>3553</v>
      </c>
      <c r="D4043" s="2" t="s">
        <v>56</v>
      </c>
      <c r="E4043" s="2" t="s">
        <v>434</v>
      </c>
      <c r="F4043" s="2">
        <v>9.892425879E9</v>
      </c>
    </row>
    <row r="4044" ht="15.75" customHeight="1">
      <c r="A4044" s="2" t="s">
        <v>3565</v>
      </c>
      <c r="B4044" s="2" t="s">
        <v>21</v>
      </c>
      <c r="C4044" s="2" t="s">
        <v>3550</v>
      </c>
      <c r="D4044" s="2" t="s">
        <v>26</v>
      </c>
      <c r="E4044" s="2" t="s">
        <v>193</v>
      </c>
      <c r="F4044" s="2">
        <v>8.369752656E9</v>
      </c>
    </row>
    <row r="4045" ht="15.75" customHeight="1">
      <c r="A4045" s="2" t="s">
        <v>3566</v>
      </c>
      <c r="B4045" s="2" t="s">
        <v>3567</v>
      </c>
      <c r="C4045" s="2" t="s">
        <v>3550</v>
      </c>
      <c r="D4045" s="2" t="s">
        <v>29</v>
      </c>
      <c r="E4045" s="2" t="s">
        <v>434</v>
      </c>
      <c r="F4045" s="4" t="s">
        <v>3568</v>
      </c>
    </row>
    <row r="4046" ht="15.75" customHeight="1">
      <c r="A4046" s="2" t="s">
        <v>3569</v>
      </c>
      <c r="B4046" s="2" t="s">
        <v>75</v>
      </c>
      <c r="C4046" s="2" t="s">
        <v>3550</v>
      </c>
      <c r="D4046" s="2" t="s">
        <v>29</v>
      </c>
      <c r="E4046" s="2" t="s">
        <v>193</v>
      </c>
      <c r="F4046" s="2">
        <v>9.324629171E9</v>
      </c>
    </row>
    <row r="4047" ht="15.75" customHeight="1">
      <c r="A4047" s="2" t="s">
        <v>3570</v>
      </c>
      <c r="B4047" s="2" t="s">
        <v>21</v>
      </c>
      <c r="C4047" s="2" t="s">
        <v>3550</v>
      </c>
      <c r="D4047" s="2" t="s">
        <v>9</v>
      </c>
      <c r="E4047" s="2" t="s">
        <v>434</v>
      </c>
      <c r="F4047" s="2">
        <v>7.045909309E9</v>
      </c>
    </row>
    <row r="4048" ht="15.75" customHeight="1">
      <c r="A4048" s="2" t="s">
        <v>3571</v>
      </c>
      <c r="B4048" s="2" t="s">
        <v>21</v>
      </c>
      <c r="C4048" s="2" t="s">
        <v>3550</v>
      </c>
      <c r="D4048" s="2" t="s">
        <v>9</v>
      </c>
      <c r="E4048" s="2" t="s">
        <v>193</v>
      </c>
      <c r="F4048" s="2">
        <v>7.045909309E9</v>
      </c>
    </row>
    <row r="4049" ht="15.75" customHeight="1">
      <c r="A4049" s="2" t="s">
        <v>3572</v>
      </c>
      <c r="B4049" s="2" t="s">
        <v>3573</v>
      </c>
      <c r="C4049" s="2" t="s">
        <v>3556</v>
      </c>
      <c r="D4049" s="2" t="s">
        <v>56</v>
      </c>
      <c r="E4049" s="2" t="s">
        <v>434</v>
      </c>
      <c r="F4049" s="2">
        <v>9.029432418E9</v>
      </c>
    </row>
    <row r="4050" ht="15.75" customHeight="1">
      <c r="A4050" s="2" t="s">
        <v>3574</v>
      </c>
      <c r="B4050" s="2" t="s">
        <v>3573</v>
      </c>
      <c r="C4050" s="2" t="s">
        <v>3556</v>
      </c>
      <c r="D4050" s="2" t="s">
        <v>56</v>
      </c>
      <c r="E4050" s="2" t="s">
        <v>193</v>
      </c>
      <c r="F4050" s="2">
        <v>9.029932111E9</v>
      </c>
    </row>
    <row r="4051" ht="15.75" customHeight="1">
      <c r="A4051" s="2" t="s">
        <v>3575</v>
      </c>
      <c r="B4051" s="2" t="s">
        <v>3576</v>
      </c>
      <c r="C4051" s="2" t="s">
        <v>3577</v>
      </c>
      <c r="D4051" s="2" t="s">
        <v>44</v>
      </c>
      <c r="E4051" s="2" t="s">
        <v>434</v>
      </c>
      <c r="F4051" s="2">
        <v>9.892132895E9</v>
      </c>
    </row>
    <row r="4052" ht="15.75" customHeight="1">
      <c r="A4052" s="2" t="s">
        <v>3578</v>
      </c>
      <c r="B4052" s="2" t="s">
        <v>63</v>
      </c>
      <c r="C4052" s="2" t="s">
        <v>3579</v>
      </c>
      <c r="D4052" s="2" t="s">
        <v>44</v>
      </c>
      <c r="E4052" s="2" t="s">
        <v>193</v>
      </c>
      <c r="F4052" s="2">
        <v>9.83385982E9</v>
      </c>
    </row>
    <row r="4053" ht="15.75" customHeight="1">
      <c r="A4053" s="2" t="s">
        <v>80</v>
      </c>
      <c r="B4053" s="2" t="s">
        <v>21</v>
      </c>
      <c r="C4053" s="2" t="s">
        <v>3577</v>
      </c>
      <c r="D4053" s="2" t="s">
        <v>44</v>
      </c>
      <c r="E4053" s="2" t="s">
        <v>434</v>
      </c>
      <c r="F4053" s="2">
        <v>9.324759197E9</v>
      </c>
    </row>
    <row r="4054" ht="15.75" customHeight="1">
      <c r="A4054" s="2" t="s">
        <v>3580</v>
      </c>
      <c r="B4054" s="2" t="s">
        <v>3581</v>
      </c>
      <c r="C4054" s="2" t="s">
        <v>3577</v>
      </c>
      <c r="D4054" s="2" t="s">
        <v>29</v>
      </c>
      <c r="E4054" s="2" t="s">
        <v>193</v>
      </c>
      <c r="F4054" s="2">
        <v>9.82133802E9</v>
      </c>
    </row>
    <row r="4055" ht="15.75" customHeight="1">
      <c r="A4055" s="2" t="s">
        <v>3582</v>
      </c>
      <c r="B4055" s="2" t="s">
        <v>3583</v>
      </c>
      <c r="C4055" s="2" t="s">
        <v>3584</v>
      </c>
      <c r="D4055" s="2" t="s">
        <v>26</v>
      </c>
      <c r="E4055" s="2" t="s">
        <v>434</v>
      </c>
      <c r="F4055" s="2">
        <v>9.869561962E9</v>
      </c>
    </row>
    <row r="4056" ht="15.75" customHeight="1">
      <c r="A4056" s="2" t="s">
        <v>166</v>
      </c>
      <c r="B4056" s="2" t="s">
        <v>21</v>
      </c>
      <c r="C4056" s="2" t="s">
        <v>3550</v>
      </c>
      <c r="D4056" s="2" t="s">
        <v>44</v>
      </c>
      <c r="E4056" s="2" t="s">
        <v>193</v>
      </c>
      <c r="F4056" s="2">
        <v>9.869647756E9</v>
      </c>
    </row>
    <row r="4057" ht="15.75" customHeight="1">
      <c r="A4057" s="2" t="s">
        <v>3585</v>
      </c>
      <c r="B4057" s="2" t="s">
        <v>3586</v>
      </c>
      <c r="C4057" s="2" t="s">
        <v>3550</v>
      </c>
      <c r="D4057" s="2" t="s">
        <v>44</v>
      </c>
      <c r="E4057" s="2" t="s">
        <v>193</v>
      </c>
      <c r="F4057" s="2">
        <v>9.890486714E9</v>
      </c>
    </row>
    <row r="4058" ht="15.75" customHeight="1">
      <c r="A4058" s="2" t="s">
        <v>3587</v>
      </c>
      <c r="B4058" s="2" t="s">
        <v>3588</v>
      </c>
      <c r="C4058" s="2" t="s">
        <v>3550</v>
      </c>
      <c r="D4058" s="2" t="s">
        <v>14</v>
      </c>
      <c r="E4058" s="2" t="s">
        <v>434</v>
      </c>
      <c r="F4058" s="2">
        <v>9.820390001E9</v>
      </c>
    </row>
    <row r="4059" ht="15.75" customHeight="1">
      <c r="A4059" s="2" t="s">
        <v>3589</v>
      </c>
      <c r="B4059" s="2" t="s">
        <v>21</v>
      </c>
      <c r="C4059" s="2" t="s">
        <v>3550</v>
      </c>
      <c r="D4059" s="2" t="s">
        <v>14</v>
      </c>
      <c r="E4059" s="2" t="s">
        <v>193</v>
      </c>
      <c r="F4059" s="2">
        <v>9.833568349E9</v>
      </c>
    </row>
    <row r="4060" ht="15.75" customHeight="1">
      <c r="A4060" s="2" t="s">
        <v>3590</v>
      </c>
      <c r="B4060" s="2" t="s">
        <v>3591</v>
      </c>
      <c r="C4060" s="2" t="s">
        <v>3592</v>
      </c>
      <c r="D4060" s="2" t="s">
        <v>26</v>
      </c>
      <c r="E4060" s="2" t="s">
        <v>434</v>
      </c>
      <c r="F4060" s="2">
        <v>9.619015496E9</v>
      </c>
    </row>
    <row r="4061" ht="15.75" customHeight="1">
      <c r="A4061" s="2" t="s">
        <v>3593</v>
      </c>
      <c r="B4061" s="2" t="s">
        <v>3567</v>
      </c>
      <c r="C4061" s="2" t="s">
        <v>3592</v>
      </c>
      <c r="D4061" s="2" t="s">
        <v>9</v>
      </c>
      <c r="E4061" s="2" t="s">
        <v>193</v>
      </c>
      <c r="F4061" s="2">
        <v>9.082572512E9</v>
      </c>
    </row>
    <row r="4062" ht="15.75" customHeight="1">
      <c r="A4062" s="2" t="s">
        <v>3594</v>
      </c>
      <c r="B4062" s="2" t="s">
        <v>3595</v>
      </c>
      <c r="C4062" s="2" t="s">
        <v>3550</v>
      </c>
      <c r="D4062" s="2" t="s">
        <v>14</v>
      </c>
      <c r="E4062" s="2" t="s">
        <v>434</v>
      </c>
      <c r="F4062" s="2">
        <v>9.820987001E9</v>
      </c>
    </row>
    <row r="4063" ht="15.75" customHeight="1">
      <c r="A4063" s="2" t="s">
        <v>3596</v>
      </c>
      <c r="B4063" s="2" t="s">
        <v>3597</v>
      </c>
      <c r="C4063" s="2" t="s">
        <v>3558</v>
      </c>
      <c r="D4063" s="2" t="s">
        <v>26</v>
      </c>
      <c r="E4063" s="2" t="s">
        <v>434</v>
      </c>
      <c r="F4063" s="2">
        <v>8.369946646E9</v>
      </c>
    </row>
    <row r="4064" ht="15.75" customHeight="1">
      <c r="A4064" s="2" t="s">
        <v>3598</v>
      </c>
      <c r="B4064" s="2" t="s">
        <v>117</v>
      </c>
      <c r="C4064" s="2" t="s">
        <v>3558</v>
      </c>
      <c r="D4064" s="2" t="s">
        <v>14</v>
      </c>
      <c r="E4064" s="2" t="s">
        <v>193</v>
      </c>
      <c r="F4064" s="2">
        <v>9.819894221E9</v>
      </c>
    </row>
    <row r="4065" ht="15.75" customHeight="1">
      <c r="A4065" s="2" t="s">
        <v>1737</v>
      </c>
      <c r="B4065" s="2" t="s">
        <v>3599</v>
      </c>
      <c r="C4065" s="2" t="s">
        <v>3558</v>
      </c>
      <c r="D4065" s="2" t="s">
        <v>9</v>
      </c>
      <c r="E4065" s="2" t="s">
        <v>434</v>
      </c>
      <c r="F4065" s="2">
        <v>9.930725238E9</v>
      </c>
    </row>
    <row r="4066" ht="15.75" customHeight="1">
      <c r="A4066" s="2" t="s">
        <v>3600</v>
      </c>
      <c r="B4066" s="2" t="s">
        <v>2217</v>
      </c>
      <c r="C4066" s="2" t="s">
        <v>3073</v>
      </c>
      <c r="D4066" s="2" t="s">
        <v>44</v>
      </c>
      <c r="E4066" s="2" t="s">
        <v>193</v>
      </c>
      <c r="F4066" s="2">
        <v>9.769595345E9</v>
      </c>
    </row>
    <row r="4067" ht="15.75" customHeight="1">
      <c r="A4067" s="2" t="s">
        <v>148</v>
      </c>
      <c r="B4067" s="2" t="s">
        <v>65</v>
      </c>
      <c r="C4067" s="2" t="s">
        <v>3601</v>
      </c>
      <c r="D4067" s="2" t="s">
        <v>26</v>
      </c>
      <c r="E4067" s="2" t="s">
        <v>2115</v>
      </c>
      <c r="F4067" s="2">
        <v>9.903912778E9</v>
      </c>
    </row>
    <row r="4068" ht="15.75" customHeight="1">
      <c r="A4068" s="2" t="s">
        <v>3602</v>
      </c>
      <c r="B4068" s="2" t="s">
        <v>3603</v>
      </c>
      <c r="C4068" s="2" t="s">
        <v>3604</v>
      </c>
      <c r="D4068" s="2" t="s">
        <v>44</v>
      </c>
      <c r="E4068" s="2" t="s">
        <v>434</v>
      </c>
      <c r="F4068" s="2">
        <v>9.833540625E9</v>
      </c>
    </row>
    <row r="4069" ht="15.75" customHeight="1">
      <c r="A4069" s="2" t="s">
        <v>105</v>
      </c>
      <c r="B4069" s="2" t="s">
        <v>117</v>
      </c>
      <c r="C4069" s="2" t="s">
        <v>3550</v>
      </c>
      <c r="D4069" s="2" t="s">
        <v>56</v>
      </c>
      <c r="E4069" s="2" t="s">
        <v>193</v>
      </c>
      <c r="F4069" s="2">
        <v>9.619851157E9</v>
      </c>
    </row>
    <row r="4070" ht="15.75" customHeight="1">
      <c r="A4070" s="2" t="s">
        <v>2635</v>
      </c>
      <c r="B4070" s="2" t="s">
        <v>21</v>
      </c>
      <c r="C4070" s="2" t="s">
        <v>3550</v>
      </c>
      <c r="D4070" s="2" t="s">
        <v>14</v>
      </c>
      <c r="E4070" s="2" t="s">
        <v>434</v>
      </c>
      <c r="F4070" s="2">
        <v>9.821305012E9</v>
      </c>
    </row>
    <row r="4071" ht="15.75" customHeight="1">
      <c r="A4071" s="2" t="s">
        <v>1482</v>
      </c>
      <c r="B4071" s="2" t="s">
        <v>21</v>
      </c>
      <c r="C4071" s="2" t="s">
        <v>3550</v>
      </c>
      <c r="D4071" s="2" t="s">
        <v>56</v>
      </c>
      <c r="E4071" s="2" t="s">
        <v>193</v>
      </c>
      <c r="F4071" s="2">
        <v>9.93079047E9</v>
      </c>
    </row>
    <row r="4072" ht="15.75" customHeight="1">
      <c r="A4072" s="2" t="s">
        <v>3605</v>
      </c>
      <c r="B4072" s="2" t="s">
        <v>68</v>
      </c>
      <c r="C4072" s="2" t="s">
        <v>3550</v>
      </c>
      <c r="D4072" s="2" t="s">
        <v>9</v>
      </c>
      <c r="E4072" s="2" t="s">
        <v>434</v>
      </c>
      <c r="F4072" s="2">
        <v>7.02104399E9</v>
      </c>
    </row>
    <row r="4073" ht="15.75" customHeight="1">
      <c r="A4073" s="2" t="s">
        <v>687</v>
      </c>
      <c r="B4073" s="2" t="s">
        <v>3606</v>
      </c>
      <c r="C4073" s="2" t="s">
        <v>3550</v>
      </c>
      <c r="D4073" s="2" t="s">
        <v>9</v>
      </c>
      <c r="E4073" s="2" t="s">
        <v>193</v>
      </c>
      <c r="F4073" s="2">
        <v>9.821912826E9</v>
      </c>
    </row>
    <row r="4074" ht="15.75" customHeight="1">
      <c r="A4074" s="2" t="s">
        <v>3607</v>
      </c>
      <c r="B4074" s="2" t="s">
        <v>21</v>
      </c>
      <c r="C4074" s="2" t="s">
        <v>3550</v>
      </c>
      <c r="D4074" s="2" t="s">
        <v>9</v>
      </c>
      <c r="E4074" s="2" t="s">
        <v>434</v>
      </c>
      <c r="F4074" s="2">
        <v>9.833260331E9</v>
      </c>
    </row>
    <row r="4075" ht="15.75" customHeight="1">
      <c r="A4075" s="2" t="s">
        <v>3608</v>
      </c>
      <c r="B4075" s="2" t="s">
        <v>3609</v>
      </c>
      <c r="C4075" s="2" t="s">
        <v>3550</v>
      </c>
      <c r="D4075" s="2" t="s">
        <v>56</v>
      </c>
      <c r="E4075" s="2" t="s">
        <v>193</v>
      </c>
      <c r="F4075" s="2">
        <v>9.820293459E9</v>
      </c>
    </row>
    <row r="4076" ht="15.75" customHeight="1">
      <c r="A4076" s="2" t="s">
        <v>3610</v>
      </c>
      <c r="B4076" s="2" t="s">
        <v>675</v>
      </c>
      <c r="C4076" s="2" t="s">
        <v>1818</v>
      </c>
      <c r="D4076" s="2" t="s">
        <v>26</v>
      </c>
      <c r="E4076" s="2" t="s">
        <v>434</v>
      </c>
      <c r="F4076" s="2">
        <v>9.920548654E9</v>
      </c>
    </row>
    <row r="4077" ht="15.75" customHeight="1">
      <c r="A4077" s="2" t="s">
        <v>2633</v>
      </c>
      <c r="B4077" s="2" t="s">
        <v>1090</v>
      </c>
      <c r="C4077" s="2" t="s">
        <v>1818</v>
      </c>
      <c r="D4077" s="2" t="s">
        <v>44</v>
      </c>
      <c r="E4077" s="2" t="s">
        <v>193</v>
      </c>
      <c r="F4077" s="2">
        <v>9.86970279E9</v>
      </c>
    </row>
    <row r="4078" ht="15.75" customHeight="1">
      <c r="A4078" s="2" t="s">
        <v>3611</v>
      </c>
      <c r="B4078" s="2" t="s">
        <v>65</v>
      </c>
      <c r="C4078" s="2" t="s">
        <v>3553</v>
      </c>
      <c r="D4078" s="2" t="s">
        <v>44</v>
      </c>
      <c r="E4078" s="2" t="s">
        <v>434</v>
      </c>
      <c r="F4078" s="2">
        <v>9.821309757E9</v>
      </c>
    </row>
    <row r="4079" ht="15.75" customHeight="1">
      <c r="A4079" s="2" t="s">
        <v>3612</v>
      </c>
      <c r="B4079" s="2" t="s">
        <v>3613</v>
      </c>
      <c r="C4079" s="2" t="s">
        <v>3553</v>
      </c>
      <c r="D4079" s="2" t="s">
        <v>14</v>
      </c>
      <c r="E4079" s="2" t="s">
        <v>193</v>
      </c>
      <c r="F4079" s="2">
        <v>9.594832814E9</v>
      </c>
    </row>
    <row r="4080" ht="15.75" customHeight="1">
      <c r="A4080" s="2" t="s">
        <v>3614</v>
      </c>
      <c r="B4080" s="2" t="s">
        <v>21</v>
      </c>
      <c r="C4080" s="2" t="s">
        <v>3550</v>
      </c>
      <c r="D4080" s="2" t="s">
        <v>14</v>
      </c>
      <c r="E4080" s="2" t="s">
        <v>434</v>
      </c>
      <c r="F4080" s="2">
        <v>9.920548654E9</v>
      </c>
    </row>
    <row r="4081" ht="15.75" customHeight="1">
      <c r="A4081" s="2" t="s">
        <v>3615</v>
      </c>
      <c r="B4081" s="2" t="s">
        <v>21</v>
      </c>
      <c r="C4081" s="2" t="s">
        <v>3550</v>
      </c>
      <c r="D4081" s="2" t="s">
        <v>14</v>
      </c>
      <c r="E4081" s="2" t="s">
        <v>193</v>
      </c>
      <c r="F4081" s="2">
        <v>9.86970279E9</v>
      </c>
    </row>
    <row r="4082" ht="15.75" customHeight="1">
      <c r="A4082" s="2" t="s">
        <v>871</v>
      </c>
      <c r="B4082" s="2" t="s">
        <v>21</v>
      </c>
      <c r="C4082" s="2" t="s">
        <v>3550</v>
      </c>
      <c r="D4082" s="2" t="s">
        <v>44</v>
      </c>
      <c r="E4082" s="2" t="s">
        <v>434</v>
      </c>
      <c r="F4082" s="2">
        <v>9.821309757E9</v>
      </c>
    </row>
    <row r="4083" ht="15.75" customHeight="1">
      <c r="A4083" s="2" t="s">
        <v>3616</v>
      </c>
      <c r="B4083" s="2" t="s">
        <v>21</v>
      </c>
      <c r="C4083" s="2" t="s">
        <v>3550</v>
      </c>
      <c r="D4083" s="2" t="s">
        <v>14</v>
      </c>
      <c r="E4083" s="2" t="s">
        <v>193</v>
      </c>
      <c r="F4083" s="2">
        <v>9.594832814E9</v>
      </c>
    </row>
    <row r="4084" ht="15.75" customHeight="1">
      <c r="A4084" s="2" t="s">
        <v>3617</v>
      </c>
      <c r="B4084" s="2" t="s">
        <v>21</v>
      </c>
      <c r="C4084" s="2" t="s">
        <v>3550</v>
      </c>
      <c r="D4084" s="2" t="s">
        <v>56</v>
      </c>
      <c r="E4084" s="2" t="s">
        <v>434</v>
      </c>
      <c r="F4084" s="2">
        <v>9.769355461E9</v>
      </c>
    </row>
    <row r="4085" ht="15.75" customHeight="1">
      <c r="A4085" s="2" t="s">
        <v>3469</v>
      </c>
      <c r="B4085" s="2" t="s">
        <v>3618</v>
      </c>
      <c r="C4085" s="2" t="s">
        <v>3550</v>
      </c>
      <c r="D4085" s="2" t="s">
        <v>26</v>
      </c>
      <c r="E4085" s="2" t="s">
        <v>193</v>
      </c>
      <c r="F4085" s="2">
        <v>8.879400244E9</v>
      </c>
    </row>
    <row r="4086" ht="15.75" customHeight="1">
      <c r="A4086" s="2" t="s">
        <v>680</v>
      </c>
      <c r="B4086" s="2" t="s">
        <v>3618</v>
      </c>
      <c r="C4086" s="2" t="s">
        <v>3550</v>
      </c>
      <c r="D4086" s="2" t="s">
        <v>9</v>
      </c>
      <c r="E4086" s="2" t="s">
        <v>434</v>
      </c>
      <c r="F4086" s="2">
        <v>8.879400244E9</v>
      </c>
    </row>
    <row r="4087" ht="15.75" customHeight="1">
      <c r="A4087" s="2" t="s">
        <v>3619</v>
      </c>
      <c r="B4087" s="2" t="s">
        <v>3145</v>
      </c>
      <c r="C4087" s="2" t="s">
        <v>3553</v>
      </c>
      <c r="D4087" s="2" t="s">
        <v>14</v>
      </c>
      <c r="E4087" s="2" t="s">
        <v>193</v>
      </c>
      <c r="F4087" s="2">
        <v>9.820304379E9</v>
      </c>
    </row>
    <row r="4088" ht="15.75" customHeight="1">
      <c r="A4088" s="2" t="s">
        <v>3620</v>
      </c>
      <c r="B4088" s="2" t="s">
        <v>3621</v>
      </c>
      <c r="C4088" s="2" t="s">
        <v>3550</v>
      </c>
      <c r="D4088" s="2" t="s">
        <v>14</v>
      </c>
      <c r="E4088" s="2" t="s">
        <v>434</v>
      </c>
      <c r="F4088" s="2">
        <v>7.977081598E9</v>
      </c>
    </row>
    <row r="4089" ht="15.75" customHeight="1">
      <c r="A4089" s="2" t="s">
        <v>3622</v>
      </c>
      <c r="B4089" s="2" t="s">
        <v>21</v>
      </c>
      <c r="C4089" s="2" t="s">
        <v>3550</v>
      </c>
      <c r="D4089" s="2" t="s">
        <v>14</v>
      </c>
      <c r="E4089" s="2" t="s">
        <v>193</v>
      </c>
      <c r="F4089" s="2">
        <v>9.925040291E9</v>
      </c>
    </row>
    <row r="4090" ht="15.75" customHeight="1">
      <c r="A4090" s="2" t="s">
        <v>3623</v>
      </c>
      <c r="B4090" s="2" t="s">
        <v>21</v>
      </c>
      <c r="C4090" s="2" t="s">
        <v>905</v>
      </c>
      <c r="D4090" s="2" t="s">
        <v>56</v>
      </c>
      <c r="E4090" s="2" t="s">
        <v>434</v>
      </c>
      <c r="F4090" s="2">
        <v>9.892118484E9</v>
      </c>
    </row>
    <row r="4091" ht="15.75" customHeight="1">
      <c r="A4091" s="2" t="s">
        <v>3624</v>
      </c>
      <c r="B4091" s="2" t="s">
        <v>150</v>
      </c>
      <c r="C4091" s="2" t="s">
        <v>3592</v>
      </c>
      <c r="D4091" s="2" t="s">
        <v>9</v>
      </c>
      <c r="E4091" s="2" t="s">
        <v>193</v>
      </c>
      <c r="F4091" s="2">
        <v>9.068515414E9</v>
      </c>
    </row>
    <row r="4092" ht="15.75" customHeight="1">
      <c r="A4092" s="2" t="s">
        <v>3094</v>
      </c>
      <c r="B4092" s="2" t="s">
        <v>654</v>
      </c>
      <c r="C4092" s="2" t="s">
        <v>1818</v>
      </c>
      <c r="D4092" s="2" t="s">
        <v>26</v>
      </c>
      <c r="E4092" s="2" t="s">
        <v>434</v>
      </c>
      <c r="F4092" s="2">
        <v>9.819789884E9</v>
      </c>
    </row>
    <row r="4093" ht="15.75" customHeight="1">
      <c r="A4093" s="2" t="s">
        <v>3625</v>
      </c>
      <c r="B4093" s="2" t="s">
        <v>3626</v>
      </c>
      <c r="C4093" s="2" t="s">
        <v>3558</v>
      </c>
      <c r="D4093" s="2" t="s">
        <v>14</v>
      </c>
      <c r="E4093" s="2" t="s">
        <v>193</v>
      </c>
      <c r="F4093" s="2">
        <v>9.821570044E9</v>
      </c>
    </row>
    <row r="4094" ht="15.75" customHeight="1">
      <c r="A4094" s="2" t="s">
        <v>3627</v>
      </c>
      <c r="B4094" s="2" t="s">
        <v>3628</v>
      </c>
      <c r="C4094" s="2" t="s">
        <v>3553</v>
      </c>
      <c r="D4094" s="2" t="s">
        <v>9</v>
      </c>
      <c r="E4094" s="2" t="s">
        <v>434</v>
      </c>
      <c r="F4094" s="2">
        <v>9.819892894E9</v>
      </c>
    </row>
    <row r="4095" ht="15.75" customHeight="1">
      <c r="A4095" s="2" t="s">
        <v>3629</v>
      </c>
      <c r="B4095" s="2" t="s">
        <v>3630</v>
      </c>
      <c r="C4095" s="2" t="s">
        <v>1818</v>
      </c>
      <c r="D4095" s="2" t="s">
        <v>56</v>
      </c>
      <c r="E4095" s="2" t="s">
        <v>193</v>
      </c>
      <c r="F4095" s="2">
        <v>9.867741187E9</v>
      </c>
    </row>
    <row r="4096" ht="15.75" customHeight="1">
      <c r="A4096" s="2" t="s">
        <v>3631</v>
      </c>
      <c r="B4096" s="2" t="s">
        <v>3632</v>
      </c>
      <c r="C4096" s="2" t="s">
        <v>3633</v>
      </c>
      <c r="D4096" s="2" t="s">
        <v>56</v>
      </c>
      <c r="E4096" s="2" t="s">
        <v>434</v>
      </c>
      <c r="F4096" s="2">
        <v>9.820145789E9</v>
      </c>
    </row>
    <row r="4097" ht="15.75" customHeight="1">
      <c r="A4097" s="2" t="s">
        <v>3634</v>
      </c>
      <c r="B4097" s="2" t="s">
        <v>3635</v>
      </c>
      <c r="C4097" s="2" t="s">
        <v>3550</v>
      </c>
      <c r="D4097" s="2" t="s">
        <v>26</v>
      </c>
      <c r="E4097" s="2" t="s">
        <v>193</v>
      </c>
      <c r="F4097" s="2">
        <v>9.820161397E9</v>
      </c>
    </row>
    <row r="4098" ht="15.75" customHeight="1">
      <c r="A4098" s="2" t="s">
        <v>3389</v>
      </c>
      <c r="B4098" s="2" t="s">
        <v>21</v>
      </c>
      <c r="C4098" s="2" t="s">
        <v>3550</v>
      </c>
      <c r="D4098" s="2" t="s">
        <v>44</v>
      </c>
      <c r="E4098" s="2" t="s">
        <v>434</v>
      </c>
      <c r="F4098" s="2">
        <v>9.08228541E9</v>
      </c>
    </row>
    <row r="4099" ht="15.75" customHeight="1">
      <c r="A4099" s="2" t="s">
        <v>1333</v>
      </c>
      <c r="B4099" s="2" t="s">
        <v>21</v>
      </c>
      <c r="C4099" s="2" t="s">
        <v>3550</v>
      </c>
      <c r="D4099" s="2" t="s">
        <v>44</v>
      </c>
      <c r="E4099" s="2" t="s">
        <v>193</v>
      </c>
      <c r="F4099" s="2">
        <v>9.869069078E9</v>
      </c>
    </row>
    <row r="4100" ht="15.75" customHeight="1">
      <c r="A4100" s="2" t="s">
        <v>3636</v>
      </c>
      <c r="B4100" s="2" t="s">
        <v>3637</v>
      </c>
      <c r="C4100" s="2" t="s">
        <v>3550</v>
      </c>
      <c r="D4100" s="2" t="s">
        <v>56</v>
      </c>
      <c r="E4100" s="2" t="s">
        <v>434</v>
      </c>
      <c r="F4100" s="2">
        <v>9.769925666E9</v>
      </c>
    </row>
    <row r="4101" ht="15.75" customHeight="1">
      <c r="A4101" s="2" t="s">
        <v>1623</v>
      </c>
      <c r="B4101" s="2" t="s">
        <v>3638</v>
      </c>
      <c r="C4101" s="2" t="s">
        <v>3558</v>
      </c>
      <c r="D4101" s="2" t="s">
        <v>44</v>
      </c>
      <c r="E4101" s="2" t="s">
        <v>193</v>
      </c>
      <c r="F4101" s="2">
        <v>9.820997297E9</v>
      </c>
    </row>
    <row r="4102" ht="15.75" customHeight="1">
      <c r="A4102" s="2" t="s">
        <v>2749</v>
      </c>
      <c r="B4102" s="2" t="s">
        <v>3639</v>
      </c>
      <c r="C4102" s="2" t="s">
        <v>3640</v>
      </c>
      <c r="D4102" s="2" t="s">
        <v>14</v>
      </c>
      <c r="E4102" s="2" t="s">
        <v>434</v>
      </c>
      <c r="F4102" s="2">
        <v>7.208207266E9</v>
      </c>
    </row>
    <row r="4103" ht="15.75" customHeight="1">
      <c r="A4103" s="2" t="s">
        <v>3641</v>
      </c>
      <c r="B4103" s="2" t="s">
        <v>21</v>
      </c>
      <c r="C4103" s="2" t="s">
        <v>3550</v>
      </c>
      <c r="D4103" s="2" t="s">
        <v>44</v>
      </c>
      <c r="E4103" s="2" t="s">
        <v>193</v>
      </c>
      <c r="F4103" s="2">
        <v>9.029661535E9</v>
      </c>
    </row>
    <row r="4104" ht="15.75" customHeight="1">
      <c r="A4104" s="2" t="s">
        <v>3642</v>
      </c>
      <c r="B4104" s="2" t="s">
        <v>3643</v>
      </c>
      <c r="C4104" s="2" t="s">
        <v>3550</v>
      </c>
      <c r="D4104" s="2" t="s">
        <v>44</v>
      </c>
      <c r="E4104" s="2" t="s">
        <v>434</v>
      </c>
      <c r="F4104" s="2">
        <v>9.819548573E9</v>
      </c>
    </row>
    <row r="4105" ht="15.75" customHeight="1">
      <c r="A4105" s="2" t="s">
        <v>3644</v>
      </c>
      <c r="B4105" s="2" t="s">
        <v>68</v>
      </c>
      <c r="C4105" s="2" t="s">
        <v>3558</v>
      </c>
      <c r="D4105" s="2" t="s">
        <v>14</v>
      </c>
      <c r="E4105" s="2" t="s">
        <v>193</v>
      </c>
      <c r="F4105" s="2">
        <v>9.22195962E9</v>
      </c>
    </row>
    <row r="4106" ht="15.75" customHeight="1">
      <c r="A4106" s="2" t="s">
        <v>3645</v>
      </c>
      <c r="B4106" s="2" t="s">
        <v>21</v>
      </c>
      <c r="C4106" s="2" t="s">
        <v>3646</v>
      </c>
      <c r="D4106" s="2" t="s">
        <v>14</v>
      </c>
      <c r="E4106" s="2" t="s">
        <v>434</v>
      </c>
      <c r="F4106" s="2">
        <v>9.820928776E9</v>
      </c>
    </row>
    <row r="4107" ht="15.75" customHeight="1">
      <c r="A4107" s="2" t="s">
        <v>3647</v>
      </c>
      <c r="B4107" s="2" t="s">
        <v>21</v>
      </c>
      <c r="C4107" s="2" t="s">
        <v>3648</v>
      </c>
      <c r="D4107" s="2" t="s">
        <v>56</v>
      </c>
      <c r="E4107" s="2" t="s">
        <v>193</v>
      </c>
      <c r="F4107" s="2">
        <v>9.021564323E9</v>
      </c>
    </row>
    <row r="4108" ht="15.75" customHeight="1">
      <c r="A4108" s="2" t="s">
        <v>3502</v>
      </c>
      <c r="B4108" s="2" t="s">
        <v>21</v>
      </c>
      <c r="C4108" s="2" t="s">
        <v>3649</v>
      </c>
      <c r="D4108" s="2" t="s">
        <v>14</v>
      </c>
      <c r="E4108" s="2" t="s">
        <v>434</v>
      </c>
      <c r="F4108" s="2">
        <v>9.930361454E9</v>
      </c>
    </row>
    <row r="4109" ht="15.75" customHeight="1">
      <c r="A4109" s="2" t="s">
        <v>163</v>
      </c>
      <c r="B4109" s="2" t="s">
        <v>21</v>
      </c>
      <c r="C4109" s="2" t="s">
        <v>3553</v>
      </c>
      <c r="D4109" s="2" t="s">
        <v>56</v>
      </c>
      <c r="E4109" s="2" t="s">
        <v>193</v>
      </c>
      <c r="F4109" s="2">
        <v>9.226110444E9</v>
      </c>
    </row>
    <row r="4110" ht="15.75" customHeight="1">
      <c r="A4110" s="2" t="s">
        <v>3569</v>
      </c>
      <c r="B4110" s="2" t="s">
        <v>21</v>
      </c>
      <c r="C4110" s="2" t="s">
        <v>3650</v>
      </c>
      <c r="D4110" s="2" t="s">
        <v>14</v>
      </c>
      <c r="E4110" s="2" t="s">
        <v>434</v>
      </c>
      <c r="F4110" s="2">
        <v>9.967405237E9</v>
      </c>
    </row>
    <row r="4111" ht="15.75" customHeight="1">
      <c r="A4111" s="2" t="s">
        <v>785</v>
      </c>
      <c r="B4111" s="2" t="s">
        <v>21</v>
      </c>
      <c r="C4111" s="2" t="s">
        <v>1818</v>
      </c>
      <c r="D4111" s="2" t="s">
        <v>56</v>
      </c>
      <c r="E4111" s="2" t="s">
        <v>193</v>
      </c>
      <c r="F4111" s="2">
        <v>9.702715826E9</v>
      </c>
    </row>
    <row r="4112" ht="15.75" customHeight="1">
      <c r="A4112" s="2" t="s">
        <v>3651</v>
      </c>
      <c r="B4112" s="2" t="s">
        <v>21</v>
      </c>
      <c r="C4112" s="2" t="s">
        <v>3553</v>
      </c>
      <c r="D4112" s="2" t="s">
        <v>56</v>
      </c>
      <c r="E4112" s="2" t="s">
        <v>434</v>
      </c>
      <c r="F4112" s="2">
        <v>9.322249152E9</v>
      </c>
    </row>
    <row r="4113" ht="15.75" customHeight="1">
      <c r="A4113" s="2" t="s">
        <v>3652</v>
      </c>
      <c r="B4113" s="2" t="s">
        <v>21</v>
      </c>
      <c r="C4113" s="2" t="s">
        <v>3553</v>
      </c>
      <c r="D4113" s="2" t="s">
        <v>26</v>
      </c>
      <c r="E4113" s="2" t="s">
        <v>193</v>
      </c>
      <c r="F4113" s="2">
        <v>9.810966107E9</v>
      </c>
    </row>
    <row r="4114" ht="15.75" customHeight="1">
      <c r="A4114" s="2" t="s">
        <v>3653</v>
      </c>
      <c r="B4114" s="2" t="s">
        <v>21</v>
      </c>
      <c r="C4114" s="2" t="s">
        <v>3553</v>
      </c>
      <c r="D4114" s="2" t="s">
        <v>26</v>
      </c>
      <c r="E4114" s="2" t="s">
        <v>434</v>
      </c>
      <c r="F4114" s="2">
        <v>9.820963828E9</v>
      </c>
    </row>
    <row r="4115" ht="15.75" customHeight="1">
      <c r="A4115" s="2" t="s">
        <v>104</v>
      </c>
      <c r="B4115" s="2" t="s">
        <v>21</v>
      </c>
      <c r="C4115" s="2" t="s">
        <v>3550</v>
      </c>
      <c r="D4115" s="2" t="s">
        <v>26</v>
      </c>
      <c r="E4115" s="2" t="s">
        <v>193</v>
      </c>
      <c r="F4115" s="2">
        <v>9.869229262E9</v>
      </c>
    </row>
    <row r="4116" ht="15.75" customHeight="1">
      <c r="A4116" s="2" t="s">
        <v>2594</v>
      </c>
      <c r="B4116" s="2" t="s">
        <v>21</v>
      </c>
      <c r="C4116" s="2" t="s">
        <v>3550</v>
      </c>
      <c r="D4116" s="2" t="s">
        <v>44</v>
      </c>
      <c r="E4116" s="2" t="s">
        <v>434</v>
      </c>
      <c r="F4116" s="2">
        <v>9.833170105E9</v>
      </c>
    </row>
    <row r="4117" ht="15.75" customHeight="1">
      <c r="A4117" s="2" t="s">
        <v>930</v>
      </c>
      <c r="B4117" s="2" t="s">
        <v>21</v>
      </c>
      <c r="C4117" s="2" t="s">
        <v>3553</v>
      </c>
      <c r="D4117" s="2" t="s">
        <v>44</v>
      </c>
      <c r="E4117" s="2" t="s">
        <v>193</v>
      </c>
      <c r="F4117" s="2">
        <v>9.820513377E9</v>
      </c>
    </row>
    <row r="4118" ht="15.75" customHeight="1">
      <c r="A4118" s="2" t="s">
        <v>3654</v>
      </c>
      <c r="B4118" s="2" t="s">
        <v>21</v>
      </c>
      <c r="C4118" s="2" t="s">
        <v>3553</v>
      </c>
      <c r="D4118" s="2" t="s">
        <v>14</v>
      </c>
      <c r="E4118" s="2" t="s">
        <v>434</v>
      </c>
      <c r="F4118" s="2">
        <v>9.821694581E9</v>
      </c>
    </row>
    <row r="4119" ht="15.75" customHeight="1">
      <c r="A4119" s="2" t="s">
        <v>2218</v>
      </c>
      <c r="B4119" s="2" t="s">
        <v>21</v>
      </c>
      <c r="C4119" s="2" t="s">
        <v>3640</v>
      </c>
      <c r="D4119" s="2" t="s">
        <v>14</v>
      </c>
      <c r="E4119" s="2" t="s">
        <v>193</v>
      </c>
      <c r="F4119" s="2">
        <v>9.819937819E9</v>
      </c>
    </row>
    <row r="4120" ht="15.75" customHeight="1">
      <c r="A4120" s="2" t="s">
        <v>3655</v>
      </c>
      <c r="B4120" s="2" t="s">
        <v>21</v>
      </c>
      <c r="C4120" s="2" t="s">
        <v>3550</v>
      </c>
      <c r="D4120" s="2" t="s">
        <v>102</v>
      </c>
      <c r="E4120" s="2" t="s">
        <v>434</v>
      </c>
      <c r="F4120" s="2">
        <v>9.02963907E9</v>
      </c>
    </row>
    <row r="4121" ht="15.75" customHeight="1">
      <c r="A4121" s="2" t="s">
        <v>33</v>
      </c>
      <c r="B4121" s="2" t="s">
        <v>21</v>
      </c>
      <c r="C4121" s="2" t="s">
        <v>3550</v>
      </c>
      <c r="D4121" s="2" t="s">
        <v>14</v>
      </c>
      <c r="E4121" s="2" t="s">
        <v>193</v>
      </c>
      <c r="F4121" s="2">
        <v>9.821142065E9</v>
      </c>
    </row>
    <row r="4122" ht="15.75" customHeight="1">
      <c r="A4122" s="2" t="s">
        <v>1563</v>
      </c>
      <c r="B4122" s="2" t="s">
        <v>21</v>
      </c>
      <c r="C4122" s="2" t="s">
        <v>3656</v>
      </c>
      <c r="D4122" s="2" t="s">
        <v>9</v>
      </c>
      <c r="E4122" s="2" t="s">
        <v>19</v>
      </c>
      <c r="F4122" s="2">
        <v>9.162757007E9</v>
      </c>
    </row>
    <row r="4123" ht="15.75" customHeight="1">
      <c r="A4123" s="2" t="s">
        <v>1255</v>
      </c>
      <c r="B4123" s="2" t="s">
        <v>922</v>
      </c>
      <c r="C4123" s="2" t="s">
        <v>76</v>
      </c>
      <c r="D4123" s="2" t="s">
        <v>9</v>
      </c>
      <c r="E4123" s="2" t="s">
        <v>23</v>
      </c>
      <c r="F4123" s="2">
        <v>7.488132977E9</v>
      </c>
    </row>
    <row r="4124" ht="15.75" customHeight="1">
      <c r="A4124" s="2" t="s">
        <v>940</v>
      </c>
      <c r="B4124" s="2" t="s">
        <v>119</v>
      </c>
      <c r="C4124" s="2" t="s">
        <v>2873</v>
      </c>
      <c r="D4124" s="2" t="s">
        <v>102</v>
      </c>
      <c r="E4124" s="2" t="s">
        <v>19</v>
      </c>
      <c r="F4124" s="2">
        <v>9.38237597E9</v>
      </c>
    </row>
    <row r="4125" ht="15.75" customHeight="1">
      <c r="A4125" s="2" t="s">
        <v>1103</v>
      </c>
      <c r="B4125" s="2" t="s">
        <v>2164</v>
      </c>
      <c r="C4125" s="2" t="s">
        <v>76</v>
      </c>
      <c r="D4125" s="2" t="s">
        <v>26</v>
      </c>
      <c r="E4125" s="2" t="s">
        <v>23</v>
      </c>
      <c r="F4125" s="2">
        <v>8.52154887E9</v>
      </c>
    </row>
    <row r="4126" ht="15.75" customHeight="1">
      <c r="A4126" s="2" t="s">
        <v>3657</v>
      </c>
      <c r="B4126" s="2" t="s">
        <v>3658</v>
      </c>
      <c r="C4126" s="2" t="s">
        <v>3558</v>
      </c>
      <c r="D4126" s="2" t="s">
        <v>56</v>
      </c>
      <c r="E4126" s="2" t="s">
        <v>193</v>
      </c>
      <c r="F4126" s="2">
        <v>9.820953859E9</v>
      </c>
    </row>
    <row r="4127" ht="15.75" customHeight="1">
      <c r="A4127" s="2" t="s">
        <v>545</v>
      </c>
      <c r="B4127" s="2" t="s">
        <v>1663</v>
      </c>
      <c r="C4127" s="2" t="s">
        <v>2873</v>
      </c>
      <c r="D4127" s="2" t="s">
        <v>26</v>
      </c>
      <c r="E4127" s="2" t="s">
        <v>19</v>
      </c>
      <c r="F4127" s="2">
        <v>9.477362951E9</v>
      </c>
    </row>
    <row r="4128" ht="15.75" customHeight="1">
      <c r="A4128" s="2" t="s">
        <v>121</v>
      </c>
      <c r="B4128" s="2" t="s">
        <v>922</v>
      </c>
      <c r="C4128" s="2" t="s">
        <v>76</v>
      </c>
      <c r="D4128" s="2" t="s">
        <v>9</v>
      </c>
      <c r="E4128" s="2" t="s">
        <v>23</v>
      </c>
      <c r="F4128" s="2">
        <v>6.203791559E9</v>
      </c>
    </row>
    <row r="4129" ht="15.75" customHeight="1">
      <c r="A4129" s="2" t="s">
        <v>107</v>
      </c>
      <c r="B4129" s="2" t="s">
        <v>119</v>
      </c>
      <c r="C4129" s="2" t="s">
        <v>3659</v>
      </c>
      <c r="D4129" s="2" t="s">
        <v>14</v>
      </c>
      <c r="E4129" s="2" t="s">
        <v>19</v>
      </c>
      <c r="F4129" s="2">
        <v>7.209622352E9</v>
      </c>
    </row>
    <row r="4130" ht="15.75" customHeight="1">
      <c r="A4130" s="2" t="s">
        <v>110</v>
      </c>
      <c r="B4130" s="2" t="s">
        <v>1954</v>
      </c>
      <c r="C4130" s="2" t="s">
        <v>2851</v>
      </c>
      <c r="D4130" s="2" t="s">
        <v>56</v>
      </c>
      <c r="E4130" s="2" t="s">
        <v>23</v>
      </c>
      <c r="F4130" s="2">
        <v>7.488268892E9</v>
      </c>
    </row>
    <row r="4131" ht="15.75" customHeight="1">
      <c r="A4131" s="2" t="s">
        <v>3660</v>
      </c>
      <c r="B4131" s="2" t="s">
        <v>52</v>
      </c>
      <c r="C4131" s="2" t="s">
        <v>1497</v>
      </c>
      <c r="D4131" s="2" t="s">
        <v>56</v>
      </c>
      <c r="E4131" s="2" t="s">
        <v>19</v>
      </c>
      <c r="F4131" s="2">
        <v>6.200268454E9</v>
      </c>
    </row>
    <row r="4132" ht="15.75" customHeight="1">
      <c r="A4132" s="2" t="s">
        <v>456</v>
      </c>
      <c r="B4132" s="2" t="s">
        <v>50</v>
      </c>
      <c r="C4132" s="2" t="s">
        <v>1841</v>
      </c>
      <c r="D4132" s="2" t="s">
        <v>9</v>
      </c>
      <c r="E4132" s="2" t="s">
        <v>19</v>
      </c>
      <c r="F4132" s="2">
        <v>9.83571501E9</v>
      </c>
    </row>
    <row r="4133" ht="15.75" customHeight="1">
      <c r="A4133" s="2" t="s">
        <v>1386</v>
      </c>
      <c r="B4133" s="2" t="s">
        <v>50</v>
      </c>
      <c r="C4133" s="2" t="s">
        <v>3661</v>
      </c>
      <c r="D4133" s="2" t="s">
        <v>26</v>
      </c>
      <c r="E4133" s="2" t="s">
        <v>23</v>
      </c>
      <c r="F4133" s="2">
        <v>7.667683958E9</v>
      </c>
    </row>
    <row r="4134" ht="15.75" customHeight="1">
      <c r="A4134" s="2" t="s">
        <v>3662</v>
      </c>
      <c r="B4134" s="2" t="s">
        <v>55</v>
      </c>
      <c r="C4134" s="2" t="s">
        <v>2691</v>
      </c>
      <c r="D4134" s="2" t="s">
        <v>29</v>
      </c>
      <c r="E4134" s="2" t="s">
        <v>19</v>
      </c>
      <c r="F4134" s="2">
        <v>6.207802423E9</v>
      </c>
    </row>
    <row r="4135" ht="15.75" customHeight="1">
      <c r="A4135" s="2" t="s">
        <v>3526</v>
      </c>
      <c r="B4135" s="2" t="s">
        <v>50</v>
      </c>
      <c r="C4135" s="2" t="s">
        <v>2873</v>
      </c>
      <c r="D4135" s="2" t="s">
        <v>56</v>
      </c>
      <c r="E4135" s="2" t="s">
        <v>19</v>
      </c>
      <c r="F4135" s="2">
        <v>6.299589235E9</v>
      </c>
    </row>
    <row r="4136" ht="15.75" customHeight="1">
      <c r="A4136" s="2" t="s">
        <v>3526</v>
      </c>
      <c r="B4136" s="2" t="s">
        <v>2164</v>
      </c>
      <c r="C4136" s="2" t="s">
        <v>3663</v>
      </c>
      <c r="D4136" s="2" t="s">
        <v>102</v>
      </c>
      <c r="E4136" s="2" t="s">
        <v>23</v>
      </c>
      <c r="F4136" s="2">
        <v>9.386364311E9</v>
      </c>
    </row>
    <row r="4137" ht="15.75" customHeight="1">
      <c r="A4137" s="2" t="s">
        <v>1482</v>
      </c>
      <c r="B4137" s="2" t="s">
        <v>1839</v>
      </c>
      <c r="C4137" s="2" t="s">
        <v>3663</v>
      </c>
      <c r="D4137" s="2" t="s">
        <v>102</v>
      </c>
      <c r="E4137" s="2" t="s">
        <v>19</v>
      </c>
      <c r="F4137" s="2">
        <v>9.939216144E9</v>
      </c>
    </row>
    <row r="4138" ht="15.75" customHeight="1">
      <c r="A4138" s="2" t="s">
        <v>96</v>
      </c>
      <c r="B4138" s="2" t="s">
        <v>3664</v>
      </c>
      <c r="C4138" s="2" t="s">
        <v>3663</v>
      </c>
      <c r="D4138" s="2" t="s">
        <v>26</v>
      </c>
      <c r="E4138" s="2" t="s">
        <v>23</v>
      </c>
      <c r="F4138" s="2">
        <v>8.340591775E9</v>
      </c>
    </row>
    <row r="4139" ht="15.75" customHeight="1">
      <c r="A4139" s="2" t="s">
        <v>3665</v>
      </c>
      <c r="B4139" s="2" t="s">
        <v>2228</v>
      </c>
      <c r="C4139" s="2" t="s">
        <v>3646</v>
      </c>
      <c r="D4139" s="2" t="s">
        <v>14</v>
      </c>
      <c r="E4139" s="2" t="s">
        <v>434</v>
      </c>
      <c r="F4139" s="2">
        <v>9.833916288E9</v>
      </c>
    </row>
    <row r="4140" ht="15.75" customHeight="1">
      <c r="A4140" s="2" t="s">
        <v>3666</v>
      </c>
      <c r="B4140" s="2" t="s">
        <v>21</v>
      </c>
      <c r="C4140" s="2" t="s">
        <v>3648</v>
      </c>
      <c r="D4140" s="2" t="s">
        <v>56</v>
      </c>
      <c r="E4140" s="2" t="s">
        <v>193</v>
      </c>
      <c r="F4140" s="2">
        <v>9.619441488E9</v>
      </c>
    </row>
    <row r="4141" ht="15.75" customHeight="1">
      <c r="A4141" s="2" t="s">
        <v>3304</v>
      </c>
      <c r="B4141" s="2" t="s">
        <v>1954</v>
      </c>
      <c r="C4141" s="2" t="s">
        <v>2873</v>
      </c>
      <c r="D4141" s="2" t="s">
        <v>56</v>
      </c>
      <c r="E4141" s="2" t="s">
        <v>19</v>
      </c>
      <c r="F4141" s="2">
        <v>9.905198413E9</v>
      </c>
    </row>
    <row r="4142" ht="15.75" customHeight="1">
      <c r="A4142" s="2" t="s">
        <v>3667</v>
      </c>
      <c r="B4142" s="2" t="s">
        <v>21</v>
      </c>
      <c r="C4142" s="2" t="s">
        <v>3649</v>
      </c>
      <c r="D4142" s="2" t="s">
        <v>14</v>
      </c>
      <c r="E4142" s="2" t="s">
        <v>434</v>
      </c>
      <c r="F4142" s="2">
        <v>9.619835559E9</v>
      </c>
    </row>
    <row r="4143" ht="15.75" customHeight="1">
      <c r="A4143" s="2" t="s">
        <v>1188</v>
      </c>
      <c r="B4143" s="2" t="s">
        <v>212</v>
      </c>
      <c r="C4143" s="2" t="s">
        <v>333</v>
      </c>
      <c r="D4143" s="2" t="s">
        <v>26</v>
      </c>
      <c r="E4143" s="2" t="s">
        <v>19</v>
      </c>
      <c r="F4143" s="2">
        <v>6.205654614E9</v>
      </c>
    </row>
    <row r="4144" ht="15.75" customHeight="1">
      <c r="A4144" s="2" t="s">
        <v>1654</v>
      </c>
      <c r="B4144" s="2" t="s">
        <v>746</v>
      </c>
      <c r="C4144" s="2" t="s">
        <v>235</v>
      </c>
      <c r="D4144" s="2" t="s">
        <v>26</v>
      </c>
      <c r="E4144" s="2" t="s">
        <v>19</v>
      </c>
      <c r="F4144" s="2">
        <v>9.155390064E9</v>
      </c>
    </row>
    <row r="4145" ht="15.75" customHeight="1">
      <c r="A4145" s="2" t="s">
        <v>1428</v>
      </c>
      <c r="B4145" s="2" t="s">
        <v>3668</v>
      </c>
      <c r="C4145" s="2" t="s">
        <v>1841</v>
      </c>
      <c r="D4145" s="2" t="s">
        <v>26</v>
      </c>
      <c r="E4145" s="2" t="s">
        <v>19</v>
      </c>
      <c r="F4145" s="2">
        <v>8.789202723E9</v>
      </c>
    </row>
    <row r="4146" ht="15.75" customHeight="1">
      <c r="A4146" s="2" t="s">
        <v>1015</v>
      </c>
      <c r="B4146" s="2" t="s">
        <v>55</v>
      </c>
      <c r="C4146" s="2" t="s">
        <v>1072</v>
      </c>
      <c r="D4146" s="2" t="s">
        <v>56</v>
      </c>
      <c r="E4146" s="2" t="s">
        <v>255</v>
      </c>
      <c r="F4146" s="2">
        <v>9.608213041E9</v>
      </c>
    </row>
    <row r="4147" ht="15.75" customHeight="1">
      <c r="A4147" s="2" t="s">
        <v>3669</v>
      </c>
      <c r="B4147" s="2" t="s">
        <v>21</v>
      </c>
      <c r="C4147" s="2" t="s">
        <v>3553</v>
      </c>
      <c r="D4147" s="2" t="s">
        <v>56</v>
      </c>
      <c r="E4147" s="2" t="s">
        <v>193</v>
      </c>
      <c r="F4147" s="2">
        <v>9.820428811E9</v>
      </c>
    </row>
    <row r="4148" ht="15.75" customHeight="1">
      <c r="A4148" s="2" t="s">
        <v>3670</v>
      </c>
      <c r="B4148" s="2" t="s">
        <v>21</v>
      </c>
      <c r="C4148" s="2" t="s">
        <v>3650</v>
      </c>
      <c r="D4148" s="2" t="s">
        <v>56</v>
      </c>
      <c r="E4148" s="2" t="s">
        <v>434</v>
      </c>
      <c r="F4148" s="2">
        <v>9.969203636E9</v>
      </c>
    </row>
    <row r="4149" ht="15.75" customHeight="1">
      <c r="A4149" s="2" t="s">
        <v>1255</v>
      </c>
      <c r="B4149" s="2" t="s">
        <v>50</v>
      </c>
      <c r="C4149" s="2" t="s">
        <v>3663</v>
      </c>
      <c r="D4149" s="2" t="s">
        <v>26</v>
      </c>
      <c r="E4149" s="2" t="s">
        <v>19</v>
      </c>
      <c r="F4149" s="2">
        <v>9.110934427E9</v>
      </c>
    </row>
    <row r="4150" ht="15.75" customHeight="1">
      <c r="A4150" s="2" t="s">
        <v>3671</v>
      </c>
      <c r="B4150" s="2" t="s">
        <v>21</v>
      </c>
      <c r="C4150" s="2" t="s">
        <v>1818</v>
      </c>
      <c r="D4150" s="2" t="s">
        <v>26</v>
      </c>
      <c r="E4150" s="2" t="s">
        <v>193</v>
      </c>
      <c r="F4150" s="2">
        <v>9.820329767E9</v>
      </c>
    </row>
    <row r="4151" ht="15.75" customHeight="1">
      <c r="A4151" s="2" t="s">
        <v>3672</v>
      </c>
      <c r="B4151" s="2" t="s">
        <v>63</v>
      </c>
      <c r="C4151" s="2" t="s">
        <v>3553</v>
      </c>
      <c r="D4151" s="2" t="s">
        <v>14</v>
      </c>
      <c r="E4151" s="2" t="s">
        <v>434</v>
      </c>
      <c r="F4151" s="2">
        <v>9.004282008E9</v>
      </c>
    </row>
    <row r="4152" ht="15.75" customHeight="1">
      <c r="A4152" s="2" t="s">
        <v>3673</v>
      </c>
      <c r="B4152" s="2" t="s">
        <v>63</v>
      </c>
      <c r="C4152" s="2" t="s">
        <v>3550</v>
      </c>
      <c r="D4152" s="2" t="s">
        <v>56</v>
      </c>
      <c r="E4152" s="2" t="s">
        <v>193</v>
      </c>
      <c r="F4152" s="2">
        <v>9.004282008E9</v>
      </c>
    </row>
    <row r="4153" ht="15.75" customHeight="1">
      <c r="A4153" s="2" t="s">
        <v>3674</v>
      </c>
      <c r="B4153" s="2" t="s">
        <v>63</v>
      </c>
      <c r="C4153" s="2" t="s">
        <v>3550</v>
      </c>
      <c r="D4153" s="2" t="s">
        <v>14</v>
      </c>
      <c r="E4153" s="2" t="s">
        <v>434</v>
      </c>
      <c r="F4153" s="2">
        <v>8.879854218E9</v>
      </c>
    </row>
    <row r="4154" ht="15.75" customHeight="1">
      <c r="A4154" s="2" t="s">
        <v>96</v>
      </c>
      <c r="B4154" s="2" t="s">
        <v>606</v>
      </c>
      <c r="C4154" s="2" t="s">
        <v>2873</v>
      </c>
      <c r="D4154" s="2" t="s">
        <v>56</v>
      </c>
      <c r="E4154" s="2" t="s">
        <v>19</v>
      </c>
      <c r="F4154" s="2">
        <v>6.203424949E9</v>
      </c>
    </row>
    <row r="4155" ht="15.75" customHeight="1">
      <c r="A4155" s="2" t="s">
        <v>3675</v>
      </c>
      <c r="B4155" s="2" t="s">
        <v>21</v>
      </c>
      <c r="C4155" s="2" t="s">
        <v>3553</v>
      </c>
      <c r="D4155" s="2" t="s">
        <v>14</v>
      </c>
      <c r="E4155" s="2" t="s">
        <v>193</v>
      </c>
      <c r="F4155" s="2">
        <v>9.820292703E9</v>
      </c>
    </row>
    <row r="4156" ht="15.75" customHeight="1">
      <c r="A4156" s="2" t="s">
        <v>3676</v>
      </c>
      <c r="B4156" s="2" t="s">
        <v>21</v>
      </c>
      <c r="C4156" s="2" t="s">
        <v>3553</v>
      </c>
      <c r="D4156" s="2" t="s">
        <v>14</v>
      </c>
      <c r="E4156" s="2" t="s">
        <v>434</v>
      </c>
      <c r="F4156" s="2">
        <v>9.324759197E9</v>
      </c>
    </row>
    <row r="4157" ht="15.75" customHeight="1">
      <c r="A4157" s="2" t="s">
        <v>3677</v>
      </c>
      <c r="B4157" s="2" t="s">
        <v>21</v>
      </c>
      <c r="C4157" s="2" t="s">
        <v>3640</v>
      </c>
      <c r="D4157" s="2" t="s">
        <v>14</v>
      </c>
      <c r="E4157" s="2" t="s">
        <v>193</v>
      </c>
      <c r="F4157" s="2">
        <v>9.825255536E9</v>
      </c>
    </row>
    <row r="4158" ht="15.75" customHeight="1">
      <c r="A4158" s="2" t="s">
        <v>3678</v>
      </c>
      <c r="B4158" s="2" t="s">
        <v>21</v>
      </c>
      <c r="C4158" s="2" t="s">
        <v>3550</v>
      </c>
      <c r="D4158" s="2" t="s">
        <v>14</v>
      </c>
      <c r="E4158" s="2" t="s">
        <v>434</v>
      </c>
      <c r="F4158" s="2">
        <v>9.819914133E9</v>
      </c>
    </row>
    <row r="4159" ht="15.75" customHeight="1">
      <c r="A4159" s="2" t="s">
        <v>1052</v>
      </c>
      <c r="B4159" s="2" t="s">
        <v>63</v>
      </c>
      <c r="C4159" s="2" t="s">
        <v>1237</v>
      </c>
      <c r="D4159" s="2" t="s">
        <v>9</v>
      </c>
      <c r="E4159" s="2" t="s">
        <v>19</v>
      </c>
      <c r="F4159" s="2">
        <v>7.667091393E9</v>
      </c>
    </row>
    <row r="4160" ht="15.75" customHeight="1">
      <c r="A4160" s="2" t="s">
        <v>3679</v>
      </c>
      <c r="B4160" s="2" t="s">
        <v>3680</v>
      </c>
      <c r="C4160" s="2" t="s">
        <v>3550</v>
      </c>
      <c r="D4160" s="2" t="s">
        <v>14</v>
      </c>
      <c r="E4160" s="2" t="s">
        <v>193</v>
      </c>
      <c r="F4160" s="2">
        <v>9.820766593E9</v>
      </c>
    </row>
    <row r="4161" ht="15.75" customHeight="1">
      <c r="A4161" s="2" t="s">
        <v>3681</v>
      </c>
      <c r="B4161" s="2" t="s">
        <v>2258</v>
      </c>
      <c r="C4161" s="2" t="s">
        <v>3553</v>
      </c>
      <c r="D4161" s="2" t="s">
        <v>56</v>
      </c>
      <c r="E4161" s="2" t="s">
        <v>434</v>
      </c>
      <c r="F4161" s="2">
        <v>9.820441377E9</v>
      </c>
    </row>
    <row r="4162" ht="15.75" customHeight="1">
      <c r="A4162" s="2" t="s">
        <v>446</v>
      </c>
      <c r="B4162" s="2" t="s">
        <v>21</v>
      </c>
      <c r="C4162" s="2" t="s">
        <v>3682</v>
      </c>
      <c r="D4162" s="2" t="s">
        <v>14</v>
      </c>
      <c r="E4162" s="2" t="s">
        <v>193</v>
      </c>
      <c r="F4162" s="2">
        <v>8.655218474E9</v>
      </c>
    </row>
    <row r="4163" ht="15.75" customHeight="1">
      <c r="A4163" s="2" t="s">
        <v>3683</v>
      </c>
      <c r="B4163" s="2" t="s">
        <v>3684</v>
      </c>
      <c r="C4163" s="2" t="s">
        <v>3550</v>
      </c>
      <c r="D4163" s="2" t="s">
        <v>29</v>
      </c>
      <c r="E4163" s="2" t="s">
        <v>434</v>
      </c>
      <c r="F4163" s="2">
        <v>9.820112654E9</v>
      </c>
    </row>
    <row r="4164" ht="15.75" customHeight="1">
      <c r="A4164" s="2" t="s">
        <v>1271</v>
      </c>
      <c r="B4164" s="2" t="s">
        <v>50</v>
      </c>
      <c r="C4164" s="2" t="s">
        <v>3663</v>
      </c>
      <c r="D4164" s="2" t="s">
        <v>26</v>
      </c>
      <c r="E4164" s="2" t="s">
        <v>19</v>
      </c>
      <c r="F4164" s="2">
        <v>7.99117077E9</v>
      </c>
    </row>
    <row r="4165" ht="15.75" customHeight="1">
      <c r="A4165" s="2" t="s">
        <v>3685</v>
      </c>
      <c r="B4165" s="2" t="s">
        <v>21</v>
      </c>
      <c r="C4165" s="2" t="s">
        <v>3550</v>
      </c>
      <c r="D4165" s="2" t="s">
        <v>14</v>
      </c>
      <c r="E4165" s="2" t="s">
        <v>193</v>
      </c>
      <c r="F4165" s="2">
        <v>9.820102848E9</v>
      </c>
    </row>
    <row r="4166" ht="15.75" customHeight="1">
      <c r="A4166" s="2" t="s">
        <v>3686</v>
      </c>
      <c r="B4166" s="2" t="s">
        <v>21</v>
      </c>
      <c r="C4166" s="2" t="s">
        <v>3550</v>
      </c>
      <c r="D4166" s="2" t="s">
        <v>14</v>
      </c>
      <c r="E4166" s="2" t="s">
        <v>434</v>
      </c>
      <c r="F4166" s="2">
        <v>9.969258555E9</v>
      </c>
    </row>
    <row r="4167" ht="15.75" customHeight="1">
      <c r="A4167" s="2" t="s">
        <v>161</v>
      </c>
      <c r="B4167" s="2" t="s">
        <v>3687</v>
      </c>
      <c r="C4167" s="2" t="s">
        <v>3550</v>
      </c>
      <c r="D4167" s="2" t="s">
        <v>14</v>
      </c>
      <c r="E4167" s="2" t="s">
        <v>193</v>
      </c>
      <c r="F4167" s="2">
        <v>8.767327966E9</v>
      </c>
    </row>
    <row r="4168" ht="15.75" customHeight="1">
      <c r="A4168" s="2" t="s">
        <v>1234</v>
      </c>
      <c r="B4168" s="2" t="s">
        <v>50</v>
      </c>
      <c r="C4168" s="2" t="s">
        <v>1906</v>
      </c>
      <c r="D4168" s="2" t="s">
        <v>26</v>
      </c>
      <c r="E4168" s="2" t="s">
        <v>19</v>
      </c>
      <c r="F4168" s="2">
        <v>6.201913922E9</v>
      </c>
    </row>
    <row r="4169" ht="15.75" customHeight="1">
      <c r="A4169" s="2" t="s">
        <v>3688</v>
      </c>
      <c r="B4169" s="2" t="s">
        <v>3689</v>
      </c>
      <c r="C4169" s="2" t="s">
        <v>3690</v>
      </c>
      <c r="D4169" s="2" t="s">
        <v>44</v>
      </c>
      <c r="E4169" s="2" t="s">
        <v>434</v>
      </c>
      <c r="F4169" s="2">
        <v>9.87005404E9</v>
      </c>
    </row>
    <row r="4170" ht="15.75" customHeight="1">
      <c r="A4170" s="2" t="s">
        <v>3691</v>
      </c>
      <c r="B4170" s="2" t="s">
        <v>21</v>
      </c>
      <c r="C4170" s="2" t="s">
        <v>905</v>
      </c>
      <c r="D4170" s="2" t="s">
        <v>29</v>
      </c>
      <c r="E4170" s="2" t="s">
        <v>193</v>
      </c>
      <c r="F4170" s="2">
        <v>9.322289462E9</v>
      </c>
    </row>
    <row r="4171" ht="15.75" customHeight="1">
      <c r="A4171" s="2" t="s">
        <v>396</v>
      </c>
      <c r="B4171" s="2" t="s">
        <v>21</v>
      </c>
      <c r="C4171" s="2" t="s">
        <v>3692</v>
      </c>
      <c r="D4171" s="2" t="s">
        <v>56</v>
      </c>
      <c r="E4171" s="2" t="s">
        <v>434</v>
      </c>
      <c r="F4171" s="2">
        <v>9.029932111E9</v>
      </c>
    </row>
    <row r="4172" ht="15.75" customHeight="1">
      <c r="A4172" s="2" t="s">
        <v>3693</v>
      </c>
      <c r="B4172" s="2" t="s">
        <v>3573</v>
      </c>
      <c r="C4172" s="2" t="s">
        <v>3692</v>
      </c>
      <c r="D4172" s="2" t="s">
        <v>14</v>
      </c>
      <c r="E4172" s="2" t="s">
        <v>193</v>
      </c>
      <c r="F4172" s="2">
        <v>9.029932111E9</v>
      </c>
    </row>
    <row r="4173" ht="15.75" customHeight="1">
      <c r="A4173" s="2" t="s">
        <v>377</v>
      </c>
      <c r="B4173" s="2" t="s">
        <v>21</v>
      </c>
      <c r="C4173" s="2" t="s">
        <v>3692</v>
      </c>
      <c r="D4173" s="2" t="s">
        <v>26</v>
      </c>
      <c r="E4173" s="2" t="s">
        <v>434</v>
      </c>
      <c r="F4173" s="2">
        <v>9.029932111E9</v>
      </c>
    </row>
    <row r="4174" ht="15.75" customHeight="1">
      <c r="A4174" s="2" t="s">
        <v>3694</v>
      </c>
      <c r="B4174" s="2" t="s">
        <v>21</v>
      </c>
      <c r="C4174" s="2" t="s">
        <v>3695</v>
      </c>
      <c r="D4174" s="2" t="s">
        <v>102</v>
      </c>
      <c r="E4174" s="2" t="s">
        <v>193</v>
      </c>
      <c r="F4174" s="2">
        <v>8.108219154E9</v>
      </c>
    </row>
    <row r="4175" ht="15.75" customHeight="1">
      <c r="A4175" s="2" t="s">
        <v>3696</v>
      </c>
      <c r="B4175" s="2" t="s">
        <v>21</v>
      </c>
      <c r="C4175" s="2" t="s">
        <v>3579</v>
      </c>
      <c r="D4175" s="2" t="s">
        <v>29</v>
      </c>
      <c r="E4175" s="2" t="s">
        <v>434</v>
      </c>
      <c r="F4175" s="2">
        <v>8.108219154E9</v>
      </c>
    </row>
    <row r="4176" ht="15.75" customHeight="1">
      <c r="A4176" s="2" t="s">
        <v>3697</v>
      </c>
      <c r="B4176" s="2" t="s">
        <v>38</v>
      </c>
      <c r="C4176" s="2" t="s">
        <v>3579</v>
      </c>
      <c r="D4176" s="2" t="s">
        <v>29</v>
      </c>
      <c r="E4176" s="2" t="s">
        <v>193</v>
      </c>
      <c r="F4176" s="2">
        <v>9.664271036E9</v>
      </c>
    </row>
    <row r="4177" ht="15.75" customHeight="1">
      <c r="A4177" s="2" t="s">
        <v>1435</v>
      </c>
      <c r="B4177" s="2" t="s">
        <v>68</v>
      </c>
      <c r="C4177" s="2" t="s">
        <v>3698</v>
      </c>
      <c r="D4177" s="2" t="s">
        <v>9</v>
      </c>
      <c r="E4177" s="2" t="s">
        <v>434</v>
      </c>
      <c r="F4177" s="2">
        <v>9.821192325E9</v>
      </c>
    </row>
    <row r="4178" ht="15.75" customHeight="1">
      <c r="A4178" s="2" t="s">
        <v>3699</v>
      </c>
      <c r="B4178" s="2" t="s">
        <v>3700</v>
      </c>
      <c r="C4178" s="2" t="s">
        <v>3550</v>
      </c>
      <c r="D4178" s="2" t="s">
        <v>14</v>
      </c>
      <c r="E4178" s="2" t="s">
        <v>193</v>
      </c>
      <c r="F4178" s="2">
        <v>8.655741067E9</v>
      </c>
    </row>
    <row r="4179" ht="15.75" customHeight="1">
      <c r="A4179" s="2" t="s">
        <v>3701</v>
      </c>
      <c r="B4179" s="2" t="s">
        <v>63</v>
      </c>
      <c r="C4179" s="2" t="s">
        <v>3550</v>
      </c>
      <c r="D4179" s="2" t="s">
        <v>14</v>
      </c>
      <c r="E4179" s="2" t="s">
        <v>434</v>
      </c>
      <c r="F4179" s="2">
        <v>9.833816949E9</v>
      </c>
    </row>
    <row r="4180" ht="15.75" customHeight="1">
      <c r="A4180" s="2" t="s">
        <v>1044</v>
      </c>
      <c r="B4180" s="2" t="s">
        <v>3702</v>
      </c>
      <c r="C4180" s="2" t="s">
        <v>3550</v>
      </c>
      <c r="D4180" s="2" t="s">
        <v>14</v>
      </c>
      <c r="E4180" s="2" t="s">
        <v>193</v>
      </c>
      <c r="F4180" s="2">
        <v>9.820277986E9</v>
      </c>
    </row>
    <row r="4181" ht="15.75" customHeight="1">
      <c r="A4181" s="2" t="s">
        <v>3703</v>
      </c>
      <c r="B4181" s="2" t="s">
        <v>508</v>
      </c>
      <c r="C4181" s="2" t="s">
        <v>3553</v>
      </c>
      <c r="D4181" s="2" t="s">
        <v>56</v>
      </c>
      <c r="E4181" s="2" t="s">
        <v>434</v>
      </c>
      <c r="F4181" s="2">
        <v>9.320019088E9</v>
      </c>
    </row>
    <row r="4182" ht="15.75" customHeight="1">
      <c r="A4182" s="2" t="s">
        <v>33</v>
      </c>
      <c r="B4182" s="2" t="s">
        <v>508</v>
      </c>
      <c r="C4182" s="2" t="s">
        <v>3553</v>
      </c>
      <c r="D4182" s="2" t="s">
        <v>29</v>
      </c>
      <c r="E4182" s="2" t="s">
        <v>434</v>
      </c>
      <c r="F4182" s="2">
        <v>9.320019088E9</v>
      </c>
    </row>
    <row r="4183" ht="15.75" customHeight="1">
      <c r="A4183" s="2" t="s">
        <v>3704</v>
      </c>
      <c r="B4183" s="2" t="s">
        <v>3638</v>
      </c>
      <c r="C4183" s="2" t="s">
        <v>3550</v>
      </c>
      <c r="D4183" s="2" t="s">
        <v>14</v>
      </c>
      <c r="E4183" s="2" t="s">
        <v>193</v>
      </c>
      <c r="F4183" s="2">
        <v>9.820028446E9</v>
      </c>
    </row>
    <row r="4184" ht="15.75" customHeight="1">
      <c r="A4184" s="2" t="s">
        <v>3705</v>
      </c>
      <c r="B4184" s="2" t="s">
        <v>800</v>
      </c>
      <c r="C4184" s="2" t="s">
        <v>3550</v>
      </c>
      <c r="D4184" s="2" t="s">
        <v>14</v>
      </c>
      <c r="E4184" s="2" t="s">
        <v>434</v>
      </c>
      <c r="F4184" s="2">
        <v>9.820696496E9</v>
      </c>
    </row>
    <row r="4185" ht="15.75" customHeight="1">
      <c r="A4185" s="2" t="s">
        <v>250</v>
      </c>
      <c r="B4185" s="2" t="s">
        <v>3706</v>
      </c>
      <c r="C4185" s="2" t="s">
        <v>3553</v>
      </c>
      <c r="D4185" s="2" t="s">
        <v>14</v>
      </c>
      <c r="E4185" s="2" t="s">
        <v>193</v>
      </c>
      <c r="F4185" s="2">
        <v>9.324093686E9</v>
      </c>
    </row>
    <row r="4186" ht="15.75" customHeight="1">
      <c r="A4186" s="2" t="s">
        <v>3707</v>
      </c>
      <c r="B4186" s="2" t="s">
        <v>3706</v>
      </c>
      <c r="C4186" s="2" t="s">
        <v>3553</v>
      </c>
      <c r="D4186" s="2" t="s">
        <v>14</v>
      </c>
      <c r="E4186" s="2" t="s">
        <v>434</v>
      </c>
      <c r="F4186" s="2">
        <v>9.824615268E9</v>
      </c>
    </row>
    <row r="4187" ht="15.75" customHeight="1">
      <c r="A4187" s="2" t="s">
        <v>3708</v>
      </c>
      <c r="B4187" s="2" t="s">
        <v>3709</v>
      </c>
      <c r="C4187" s="2" t="s">
        <v>3710</v>
      </c>
      <c r="D4187" s="2" t="s">
        <v>26</v>
      </c>
      <c r="E4187" s="2" t="s">
        <v>434</v>
      </c>
      <c r="F4187" s="2">
        <v>9.73657256E8</v>
      </c>
    </row>
    <row r="4188" ht="15.75" customHeight="1">
      <c r="A4188" s="2" t="s">
        <v>1915</v>
      </c>
      <c r="B4188" s="2" t="s">
        <v>119</v>
      </c>
      <c r="C4188" s="2" t="s">
        <v>235</v>
      </c>
      <c r="D4188" s="2" t="s">
        <v>26</v>
      </c>
      <c r="E4188" s="2" t="s">
        <v>19</v>
      </c>
      <c r="F4188" s="2">
        <v>8.271339748E9</v>
      </c>
    </row>
    <row r="4189" ht="15.75" customHeight="1">
      <c r="A4189" s="2" t="s">
        <v>1255</v>
      </c>
      <c r="B4189" s="2" t="s">
        <v>308</v>
      </c>
      <c r="C4189" s="2" t="s">
        <v>1355</v>
      </c>
      <c r="D4189" s="2" t="s">
        <v>26</v>
      </c>
      <c r="E4189" s="2" t="s">
        <v>19</v>
      </c>
      <c r="F4189" s="2">
        <v>9.953205681E9</v>
      </c>
    </row>
    <row r="4190" ht="15.75" customHeight="1">
      <c r="A4190" s="2" t="s">
        <v>1273</v>
      </c>
      <c r="B4190" s="2" t="s">
        <v>654</v>
      </c>
      <c r="C4190" s="2" t="s">
        <v>354</v>
      </c>
      <c r="D4190" s="2" t="s">
        <v>26</v>
      </c>
      <c r="E4190" s="2" t="s">
        <v>19</v>
      </c>
      <c r="F4190" s="2">
        <v>9.477558466E9</v>
      </c>
    </row>
    <row r="4191" ht="15.75" customHeight="1">
      <c r="A4191" s="2" t="s">
        <v>496</v>
      </c>
      <c r="B4191" s="2" t="s">
        <v>382</v>
      </c>
      <c r="C4191" s="2" t="s">
        <v>1256</v>
      </c>
      <c r="D4191" s="2" t="s">
        <v>26</v>
      </c>
      <c r="E4191" s="2" t="s">
        <v>19</v>
      </c>
      <c r="F4191" s="2">
        <v>9.477558466E9</v>
      </c>
    </row>
    <row r="4192" ht="15.75" customHeight="1">
      <c r="A4192" s="2" t="s">
        <v>96</v>
      </c>
      <c r="B4192" s="2" t="s">
        <v>507</v>
      </c>
      <c r="C4192" s="2" t="s">
        <v>354</v>
      </c>
      <c r="D4192" s="2" t="s">
        <v>26</v>
      </c>
      <c r="E4192" s="2" t="s">
        <v>19</v>
      </c>
      <c r="F4192" s="2">
        <v>9.709179098E9</v>
      </c>
    </row>
    <row r="4193" ht="15.75" customHeight="1">
      <c r="A4193" s="5"/>
      <c r="B4193" s="5"/>
      <c r="C4193" s="5"/>
      <c r="D4193" s="5"/>
      <c r="E4193" s="5"/>
      <c r="F4193" s="5"/>
    </row>
    <row r="4194" ht="15.75" customHeight="1">
      <c r="A4194" s="6" t="s">
        <v>3711</v>
      </c>
      <c r="B4194" s="6" t="s">
        <v>150</v>
      </c>
      <c r="C4194" s="6" t="s">
        <v>235</v>
      </c>
      <c r="D4194" s="6" t="s">
        <v>26</v>
      </c>
      <c r="E4194" s="6" t="s">
        <v>19</v>
      </c>
      <c r="F4194" s="6">
        <v>9.572581948E9</v>
      </c>
    </row>
    <row r="4195" ht="15.75" customHeight="1">
      <c r="A4195" s="6" t="s">
        <v>3712</v>
      </c>
      <c r="B4195" s="6" t="s">
        <v>50</v>
      </c>
      <c r="C4195" s="6" t="s">
        <v>246</v>
      </c>
      <c r="D4195" s="6" t="s">
        <v>102</v>
      </c>
      <c r="E4195" s="6" t="s">
        <v>19</v>
      </c>
      <c r="F4195" s="6">
        <v>8.852762819E9</v>
      </c>
    </row>
    <row r="4196" ht="15.75" customHeight="1">
      <c r="A4196" s="6" t="s">
        <v>3285</v>
      </c>
      <c r="B4196" s="6" t="s">
        <v>50</v>
      </c>
      <c r="C4196" s="6" t="s">
        <v>83</v>
      </c>
      <c r="D4196" s="6" t="s">
        <v>102</v>
      </c>
      <c r="E4196" s="6" t="s">
        <v>19</v>
      </c>
      <c r="F4196" s="6">
        <v>7.050491921E9</v>
      </c>
    </row>
    <row r="4197" ht="15.75" customHeight="1">
      <c r="A4197" s="6" t="s">
        <v>451</v>
      </c>
      <c r="B4197" s="6" t="s">
        <v>3713</v>
      </c>
      <c r="C4197" s="6" t="s">
        <v>1004</v>
      </c>
      <c r="D4197" s="6" t="s">
        <v>9</v>
      </c>
      <c r="E4197" s="6" t="s">
        <v>19</v>
      </c>
      <c r="F4197" s="6">
        <v>9.835149281E9</v>
      </c>
    </row>
    <row r="4198" ht="15.75" customHeight="1">
      <c r="A4198" s="6" t="s">
        <v>877</v>
      </c>
      <c r="B4198" s="6" t="s">
        <v>992</v>
      </c>
      <c r="C4198" s="6" t="s">
        <v>83</v>
      </c>
      <c r="D4198" s="6" t="s">
        <v>9</v>
      </c>
      <c r="E4198" s="6" t="s">
        <v>19</v>
      </c>
      <c r="F4198" s="6">
        <v>7.209951692E9</v>
      </c>
    </row>
    <row r="4199" ht="15.75" customHeight="1">
      <c r="A4199" s="6" t="s">
        <v>545</v>
      </c>
      <c r="B4199" s="6" t="s">
        <v>50</v>
      </c>
      <c r="C4199" s="6" t="s">
        <v>83</v>
      </c>
      <c r="D4199" s="6" t="s">
        <v>44</v>
      </c>
      <c r="E4199" s="6" t="s">
        <v>19</v>
      </c>
      <c r="F4199" s="6">
        <v>6.205126209E9</v>
      </c>
    </row>
    <row r="4200" ht="15.75" customHeight="1">
      <c r="A4200" s="6" t="s">
        <v>3714</v>
      </c>
      <c r="B4200" s="6" t="s">
        <v>52</v>
      </c>
      <c r="C4200" s="6" t="s">
        <v>3715</v>
      </c>
      <c r="D4200" s="6" t="s">
        <v>26</v>
      </c>
      <c r="E4200" s="6" t="s">
        <v>19</v>
      </c>
      <c r="F4200" s="6">
        <v>9.771569792E9</v>
      </c>
    </row>
    <row r="4201" ht="15.75" customHeight="1">
      <c r="A4201" s="6" t="s">
        <v>496</v>
      </c>
      <c r="B4201" s="6" t="s">
        <v>382</v>
      </c>
      <c r="C4201" s="6" t="s">
        <v>83</v>
      </c>
      <c r="D4201" s="6" t="s">
        <v>9</v>
      </c>
      <c r="E4201" s="6" t="s">
        <v>19</v>
      </c>
      <c r="F4201" s="6">
        <v>7.205554124E9</v>
      </c>
    </row>
    <row r="4202" ht="15.75" customHeight="1">
      <c r="A4202" s="6" t="s">
        <v>1084</v>
      </c>
      <c r="B4202" s="6" t="s">
        <v>992</v>
      </c>
      <c r="C4202" s="6" t="s">
        <v>83</v>
      </c>
      <c r="D4202" s="6" t="s">
        <v>44</v>
      </c>
      <c r="E4202" s="6" t="s">
        <v>19</v>
      </c>
      <c r="F4202" s="6">
        <v>9.945219924E9</v>
      </c>
    </row>
    <row r="4203" ht="15.75" customHeight="1">
      <c r="A4203" s="6" t="s">
        <v>3716</v>
      </c>
      <c r="B4203" s="6" t="s">
        <v>63</v>
      </c>
      <c r="C4203" s="6" t="s">
        <v>235</v>
      </c>
      <c r="D4203" s="6" t="s">
        <v>26</v>
      </c>
      <c r="E4203" s="6" t="s">
        <v>19</v>
      </c>
      <c r="F4203" s="6">
        <v>9.463408653E9</v>
      </c>
    </row>
    <row r="4204" ht="15.75" customHeight="1">
      <c r="A4204" s="6" t="s">
        <v>3281</v>
      </c>
      <c r="B4204" s="6" t="s">
        <v>119</v>
      </c>
      <c r="C4204" s="6" t="s">
        <v>3717</v>
      </c>
      <c r="D4204" s="6" t="s">
        <v>29</v>
      </c>
      <c r="E4204" s="6" t="s">
        <v>19</v>
      </c>
      <c r="F4204" s="6">
        <v>9.914294968E9</v>
      </c>
    </row>
    <row r="4205" ht="15.75" customHeight="1">
      <c r="A4205" s="6" t="s">
        <v>1097</v>
      </c>
      <c r="B4205" s="6" t="s">
        <v>88</v>
      </c>
      <c r="C4205" s="6" t="s">
        <v>246</v>
      </c>
      <c r="D4205" s="6" t="s">
        <v>26</v>
      </c>
      <c r="E4205" s="6" t="s">
        <v>19</v>
      </c>
      <c r="F4205" s="6">
        <v>8.409835573E9</v>
      </c>
    </row>
    <row r="4206" ht="15.75" customHeight="1">
      <c r="A4206" s="6" t="s">
        <v>927</v>
      </c>
      <c r="B4206" s="6" t="s">
        <v>55</v>
      </c>
      <c r="C4206" s="6" t="s">
        <v>354</v>
      </c>
      <c r="D4206" s="6" t="s">
        <v>26</v>
      </c>
      <c r="E4206" s="6" t="s">
        <v>19</v>
      </c>
      <c r="F4206" s="6">
        <v>6.201263016E9</v>
      </c>
    </row>
    <row r="4207" ht="15.75" customHeight="1">
      <c r="A4207" s="6" t="s">
        <v>3718</v>
      </c>
      <c r="B4207" s="6" t="s">
        <v>91</v>
      </c>
      <c r="C4207" s="6" t="s">
        <v>83</v>
      </c>
      <c r="D4207" s="6" t="s">
        <v>29</v>
      </c>
      <c r="E4207" s="6" t="s">
        <v>19</v>
      </c>
      <c r="F4207" s="6">
        <v>6.207352219E9</v>
      </c>
    </row>
    <row r="4208" ht="15.75" customHeight="1">
      <c r="A4208" s="6" t="s">
        <v>3719</v>
      </c>
      <c r="B4208" s="6" t="s">
        <v>63</v>
      </c>
      <c r="C4208" s="6" t="s">
        <v>310</v>
      </c>
      <c r="D4208" s="6" t="s">
        <v>44</v>
      </c>
      <c r="E4208" s="6" t="s">
        <v>19</v>
      </c>
      <c r="F4208" s="6">
        <v>8.509161692E9</v>
      </c>
    </row>
    <row r="4209" ht="15.75" customHeight="1">
      <c r="A4209" s="6" t="s">
        <v>3720</v>
      </c>
      <c r="B4209" s="6" t="s">
        <v>65</v>
      </c>
      <c r="C4209" s="6" t="s">
        <v>1375</v>
      </c>
      <c r="D4209" s="6" t="s">
        <v>26</v>
      </c>
      <c r="E4209" s="6" t="s">
        <v>19</v>
      </c>
      <c r="F4209" s="6">
        <v>8.541925787E9</v>
      </c>
    </row>
    <row r="4210" ht="15.75" customHeight="1">
      <c r="A4210" s="6" t="s">
        <v>175</v>
      </c>
      <c r="B4210" s="6" t="s">
        <v>52</v>
      </c>
      <c r="C4210" s="6" t="s">
        <v>210</v>
      </c>
      <c r="D4210" s="6" t="s">
        <v>14</v>
      </c>
      <c r="E4210" s="6" t="s">
        <v>19</v>
      </c>
      <c r="F4210" s="6">
        <v>9.477733712E9</v>
      </c>
    </row>
    <row r="4211" ht="15.75" customHeight="1">
      <c r="A4211" s="6" t="s">
        <v>2582</v>
      </c>
      <c r="B4211" s="6" t="s">
        <v>520</v>
      </c>
      <c r="C4211" s="6" t="s">
        <v>83</v>
      </c>
      <c r="D4211" s="6" t="s">
        <v>14</v>
      </c>
      <c r="E4211" s="6" t="s">
        <v>19</v>
      </c>
      <c r="F4211" s="6">
        <v>7.009403557E9</v>
      </c>
    </row>
    <row r="4212" ht="15.75" customHeight="1">
      <c r="A4212" s="6" t="s">
        <v>1469</v>
      </c>
      <c r="B4212" s="6" t="s">
        <v>2947</v>
      </c>
      <c r="C4212" s="6" t="s">
        <v>235</v>
      </c>
      <c r="D4212" s="6" t="s">
        <v>26</v>
      </c>
      <c r="E4212" s="6" t="s">
        <v>19</v>
      </c>
      <c r="F4212" s="6">
        <v>8.051162957E9</v>
      </c>
    </row>
    <row r="4213" ht="15.75" customHeight="1">
      <c r="A4213" s="6" t="s">
        <v>3721</v>
      </c>
      <c r="B4213" s="6" t="s">
        <v>119</v>
      </c>
      <c r="C4213" s="6" t="s">
        <v>83</v>
      </c>
      <c r="D4213" s="6" t="s">
        <v>14</v>
      </c>
      <c r="E4213" s="6" t="s">
        <v>19</v>
      </c>
      <c r="F4213" s="6">
        <v>8.475027226E9</v>
      </c>
    </row>
    <row r="4214" ht="15.75" customHeight="1">
      <c r="A4214" s="6" t="s">
        <v>3722</v>
      </c>
      <c r="B4214" s="6" t="s">
        <v>3281</v>
      </c>
      <c r="C4214" s="6" t="s">
        <v>246</v>
      </c>
      <c r="D4214" s="6" t="s">
        <v>14</v>
      </c>
      <c r="E4214" s="6" t="s">
        <v>19</v>
      </c>
      <c r="F4214" s="6">
        <v>8.414957786E9</v>
      </c>
    </row>
    <row r="4215" ht="15.75" customHeight="1">
      <c r="A4215" s="6" t="s">
        <v>3723</v>
      </c>
      <c r="B4215" s="6" t="s">
        <v>1173</v>
      </c>
      <c r="C4215" s="6" t="s">
        <v>235</v>
      </c>
      <c r="D4215" s="6" t="s">
        <v>9</v>
      </c>
      <c r="E4215" s="6" t="s">
        <v>19</v>
      </c>
      <c r="F4215" s="6">
        <v>9.934159479E9</v>
      </c>
    </row>
    <row r="4216" ht="15.75" customHeight="1">
      <c r="A4216" s="6" t="s">
        <v>3724</v>
      </c>
      <c r="B4216" s="6" t="s">
        <v>606</v>
      </c>
      <c r="C4216" s="6" t="s">
        <v>83</v>
      </c>
      <c r="D4216" s="6" t="s">
        <v>14</v>
      </c>
      <c r="E4216" s="6" t="s">
        <v>19</v>
      </c>
      <c r="F4216" s="6">
        <v>9.747761846E9</v>
      </c>
    </row>
    <row r="4217" ht="15.75" customHeight="1">
      <c r="A4217" s="6" t="s">
        <v>3725</v>
      </c>
      <c r="B4217" s="6" t="s">
        <v>3599</v>
      </c>
      <c r="C4217" s="6" t="s">
        <v>3640</v>
      </c>
      <c r="D4217" s="6" t="s">
        <v>14</v>
      </c>
      <c r="E4217" s="6" t="s">
        <v>434</v>
      </c>
      <c r="F4217" s="6">
        <v>9.8201736433E10</v>
      </c>
    </row>
    <row r="4218" ht="15.75" customHeight="1">
      <c r="A4218" s="6" t="s">
        <v>3726</v>
      </c>
      <c r="B4218" s="6" t="s">
        <v>212</v>
      </c>
      <c r="C4218" s="6" t="s">
        <v>58</v>
      </c>
      <c r="D4218" s="6" t="s">
        <v>14</v>
      </c>
      <c r="E4218" s="6" t="s">
        <v>19</v>
      </c>
      <c r="F4218" s="6">
        <v>8.084384811E9</v>
      </c>
    </row>
    <row r="4219" ht="15.75" customHeight="1">
      <c r="A4219" s="6" t="s">
        <v>727</v>
      </c>
      <c r="B4219" s="6" t="s">
        <v>68</v>
      </c>
      <c r="C4219" s="6" t="s">
        <v>3550</v>
      </c>
      <c r="D4219" s="6" t="s">
        <v>14</v>
      </c>
      <c r="E4219" s="6" t="s">
        <v>193</v>
      </c>
      <c r="F4219" s="6">
        <v>9.969668251E9</v>
      </c>
    </row>
    <row r="4220" ht="15.75" customHeight="1">
      <c r="A4220" s="6" t="s">
        <v>182</v>
      </c>
      <c r="B4220" s="6" t="s">
        <v>3727</v>
      </c>
      <c r="C4220" s="6" t="s">
        <v>3550</v>
      </c>
      <c r="D4220" s="6" t="s">
        <v>44</v>
      </c>
      <c r="E4220" s="6" t="s">
        <v>434</v>
      </c>
      <c r="F4220" s="6">
        <v>9.820349991E10</v>
      </c>
    </row>
    <row r="4221" ht="15.75" customHeight="1">
      <c r="A4221" s="6" t="s">
        <v>3728</v>
      </c>
      <c r="B4221" s="6" t="s">
        <v>212</v>
      </c>
      <c r="C4221" s="6" t="s">
        <v>655</v>
      </c>
      <c r="D4221" s="6" t="s">
        <v>14</v>
      </c>
      <c r="E4221" s="6" t="s">
        <v>19</v>
      </c>
      <c r="F4221" s="6">
        <v>9.835120534E9</v>
      </c>
    </row>
    <row r="4222" ht="15.75" customHeight="1">
      <c r="A4222" s="6" t="s">
        <v>3729</v>
      </c>
      <c r="B4222" s="6" t="s">
        <v>68</v>
      </c>
      <c r="C4222" s="6" t="s">
        <v>3650</v>
      </c>
      <c r="D4222" s="6" t="s">
        <v>56</v>
      </c>
      <c r="E4222" s="6" t="s">
        <v>193</v>
      </c>
      <c r="F4222" s="6">
        <v>9.833934903E9</v>
      </c>
    </row>
    <row r="4223" ht="15.75" customHeight="1">
      <c r="A4223" s="6" t="s">
        <v>3730</v>
      </c>
      <c r="B4223" s="6" t="s">
        <v>21</v>
      </c>
      <c r="C4223" s="6" t="s">
        <v>3650</v>
      </c>
      <c r="D4223" s="6" t="s">
        <v>14</v>
      </c>
      <c r="E4223" s="6" t="s">
        <v>434</v>
      </c>
      <c r="F4223" s="6">
        <v>9.820098211E9</v>
      </c>
    </row>
    <row r="4224" ht="15.75" customHeight="1">
      <c r="A4224" s="6" t="s">
        <v>2188</v>
      </c>
      <c r="B4224" s="6" t="s">
        <v>63</v>
      </c>
      <c r="C4224" s="6" t="s">
        <v>330</v>
      </c>
      <c r="D4224" s="6" t="s">
        <v>14</v>
      </c>
      <c r="E4224" s="6" t="s">
        <v>19</v>
      </c>
      <c r="F4224" s="6">
        <v>6.299572114E9</v>
      </c>
    </row>
    <row r="4225" ht="15.75" customHeight="1">
      <c r="A4225" s="6" t="s">
        <v>3731</v>
      </c>
      <c r="B4225" s="6" t="s">
        <v>21</v>
      </c>
      <c r="C4225" s="6" t="s">
        <v>3550</v>
      </c>
      <c r="D4225" s="6" t="s">
        <v>56</v>
      </c>
      <c r="E4225" s="6" t="s">
        <v>434</v>
      </c>
      <c r="F4225" s="6">
        <v>9.833899494E9</v>
      </c>
    </row>
    <row r="4226" ht="15.75" customHeight="1">
      <c r="A4226" s="6" t="s">
        <v>3732</v>
      </c>
      <c r="B4226" s="6" t="s">
        <v>3733</v>
      </c>
      <c r="C4226" s="6" t="s">
        <v>3682</v>
      </c>
      <c r="D4226" s="6" t="s">
        <v>14</v>
      </c>
      <c r="E4226" s="6" t="s">
        <v>193</v>
      </c>
      <c r="F4226" s="6">
        <v>8.655218474E9</v>
      </c>
    </row>
    <row r="4227" ht="15.75" customHeight="1">
      <c r="A4227" s="6" t="s">
        <v>1920</v>
      </c>
      <c r="B4227" s="6" t="s">
        <v>63</v>
      </c>
      <c r="C4227" s="6" t="s">
        <v>226</v>
      </c>
      <c r="D4227" s="6" t="s">
        <v>29</v>
      </c>
      <c r="E4227" s="6" t="s">
        <v>19</v>
      </c>
      <c r="F4227" s="6">
        <v>6.236299474E9</v>
      </c>
    </row>
    <row r="4228" ht="15.75" customHeight="1">
      <c r="A4228" s="6" t="s">
        <v>3734</v>
      </c>
      <c r="B4228" s="6" t="s">
        <v>3733</v>
      </c>
      <c r="C4228" s="6" t="s">
        <v>3682</v>
      </c>
      <c r="D4228" s="6" t="s">
        <v>44</v>
      </c>
      <c r="E4228" s="6" t="s">
        <v>434</v>
      </c>
      <c r="F4228" s="6">
        <v>8.655218474E9</v>
      </c>
    </row>
    <row r="4229" ht="15.75" customHeight="1">
      <c r="A4229" s="6" t="s">
        <v>3735</v>
      </c>
      <c r="B4229" s="6" t="s">
        <v>2612</v>
      </c>
      <c r="C4229" s="6" t="s">
        <v>3550</v>
      </c>
      <c r="D4229" s="6" t="s">
        <v>56</v>
      </c>
      <c r="E4229" s="6" t="s">
        <v>193</v>
      </c>
      <c r="F4229" s="6">
        <v>9.867503315E9</v>
      </c>
    </row>
    <row r="4230" ht="15.75" customHeight="1">
      <c r="A4230" s="6" t="s">
        <v>189</v>
      </c>
      <c r="B4230" s="6" t="s">
        <v>654</v>
      </c>
      <c r="C4230" s="6" t="s">
        <v>3550</v>
      </c>
      <c r="D4230" s="6" t="s">
        <v>14</v>
      </c>
      <c r="E4230" s="6" t="s">
        <v>434</v>
      </c>
      <c r="F4230" s="6">
        <v>9.920049279E9</v>
      </c>
    </row>
    <row r="4231" ht="15.75" customHeight="1">
      <c r="A4231" s="6" t="s">
        <v>2255</v>
      </c>
      <c r="B4231" s="6" t="s">
        <v>75</v>
      </c>
      <c r="C4231" s="6" t="s">
        <v>2958</v>
      </c>
      <c r="D4231" s="6" t="s">
        <v>56</v>
      </c>
      <c r="E4231" s="6" t="s">
        <v>19</v>
      </c>
      <c r="F4231" s="6">
        <v>9.835151443E9</v>
      </c>
    </row>
    <row r="4232" ht="15.75" customHeight="1">
      <c r="A4232" s="6" t="s">
        <v>3355</v>
      </c>
      <c r="B4232" s="6" t="s">
        <v>3736</v>
      </c>
      <c r="C4232" s="6" t="s">
        <v>3550</v>
      </c>
      <c r="D4232" s="6" t="s">
        <v>14</v>
      </c>
      <c r="E4232" s="6" t="s">
        <v>193</v>
      </c>
      <c r="F4232" s="6">
        <v>9.322666903E9</v>
      </c>
    </row>
    <row r="4233" ht="15.75" customHeight="1">
      <c r="A4233" s="6" t="s">
        <v>3737</v>
      </c>
      <c r="B4233" s="6" t="s">
        <v>3738</v>
      </c>
      <c r="C4233" s="6" t="s">
        <v>3550</v>
      </c>
      <c r="D4233" s="6" t="s">
        <v>14</v>
      </c>
      <c r="E4233" s="6" t="s">
        <v>434</v>
      </c>
      <c r="F4233" s="6">
        <v>9.773394524E9</v>
      </c>
    </row>
    <row r="4234" ht="15.75" customHeight="1">
      <c r="A4234" s="6" t="s">
        <v>3739</v>
      </c>
      <c r="B4234" s="6" t="s">
        <v>63</v>
      </c>
      <c r="C4234" s="6" t="s">
        <v>330</v>
      </c>
      <c r="D4234" s="6" t="s">
        <v>56</v>
      </c>
      <c r="E4234" s="6" t="s">
        <v>19</v>
      </c>
      <c r="F4234" s="6">
        <v>6.203678223E9</v>
      </c>
    </row>
    <row r="4235" ht="15.75" customHeight="1">
      <c r="A4235" s="6" t="s">
        <v>3740</v>
      </c>
      <c r="B4235" s="6" t="s">
        <v>239</v>
      </c>
      <c r="C4235" s="6" t="s">
        <v>3550</v>
      </c>
      <c r="D4235" s="6" t="s">
        <v>14</v>
      </c>
      <c r="E4235" s="6" t="s">
        <v>193</v>
      </c>
      <c r="F4235" s="6">
        <v>9.821207919E9</v>
      </c>
    </row>
    <row r="4236" ht="15.75" customHeight="1">
      <c r="A4236" s="6" t="s">
        <v>283</v>
      </c>
      <c r="B4236" s="6" t="s">
        <v>63</v>
      </c>
      <c r="C4236" s="6" t="s">
        <v>510</v>
      </c>
      <c r="D4236" s="6" t="s">
        <v>14</v>
      </c>
      <c r="E4236" s="6" t="s">
        <v>19</v>
      </c>
      <c r="F4236" s="6">
        <v>6.204347855E9</v>
      </c>
    </row>
    <row r="4237" ht="15.75" customHeight="1">
      <c r="A4237" s="6" t="s">
        <v>3186</v>
      </c>
      <c r="B4237" s="6" t="s">
        <v>3741</v>
      </c>
      <c r="C4237" s="6" t="s">
        <v>3550</v>
      </c>
      <c r="D4237" s="6" t="s">
        <v>29</v>
      </c>
      <c r="E4237" s="6" t="s">
        <v>434</v>
      </c>
      <c r="F4237" s="6">
        <v>9.820512695E9</v>
      </c>
    </row>
    <row r="4238" ht="15.75" customHeight="1">
      <c r="A4238" s="6" t="s">
        <v>3742</v>
      </c>
      <c r="B4238" s="6" t="s">
        <v>55</v>
      </c>
      <c r="C4238" s="6" t="s">
        <v>330</v>
      </c>
      <c r="D4238" s="6" t="s">
        <v>26</v>
      </c>
      <c r="E4238" s="6" t="s">
        <v>19</v>
      </c>
      <c r="F4238" s="6">
        <v>7.54402875E9</v>
      </c>
    </row>
    <row r="4239" ht="15.75" customHeight="1">
      <c r="A4239" s="6" t="s">
        <v>3743</v>
      </c>
      <c r="B4239" s="6" t="s">
        <v>3744</v>
      </c>
      <c r="C4239" s="6" t="s">
        <v>3550</v>
      </c>
      <c r="D4239" s="6" t="s">
        <v>14</v>
      </c>
      <c r="E4239" s="6" t="s">
        <v>434</v>
      </c>
      <c r="F4239" s="6">
        <v>9.821272025E9</v>
      </c>
    </row>
    <row r="4240" ht="15.75" customHeight="1">
      <c r="A4240" s="6" t="s">
        <v>2894</v>
      </c>
      <c r="B4240" s="6" t="s">
        <v>50</v>
      </c>
      <c r="C4240" s="6" t="s">
        <v>3745</v>
      </c>
      <c r="D4240" s="6" t="s">
        <v>26</v>
      </c>
      <c r="E4240" s="6" t="s">
        <v>19</v>
      </c>
      <c r="F4240" s="6">
        <v>6.203456834E9</v>
      </c>
    </row>
    <row r="4241" ht="15.75" customHeight="1">
      <c r="A4241" s="6" t="s">
        <v>3746</v>
      </c>
      <c r="B4241" s="6" t="s">
        <v>3747</v>
      </c>
      <c r="C4241" s="6" t="s">
        <v>3550</v>
      </c>
      <c r="D4241" s="6" t="s">
        <v>14</v>
      </c>
      <c r="E4241" s="6" t="s">
        <v>434</v>
      </c>
      <c r="F4241" s="6">
        <v>9.819359669E9</v>
      </c>
    </row>
    <row r="4242" ht="15.75" customHeight="1">
      <c r="A4242" s="6" t="s">
        <v>272</v>
      </c>
      <c r="B4242" s="6" t="s">
        <v>3748</v>
      </c>
      <c r="C4242" s="6" t="s">
        <v>3749</v>
      </c>
      <c r="D4242" s="6" t="s">
        <v>26</v>
      </c>
      <c r="E4242" s="6" t="s">
        <v>193</v>
      </c>
      <c r="F4242" s="6">
        <v>9.820106939E9</v>
      </c>
    </row>
    <row r="4243" ht="15.75" customHeight="1">
      <c r="A4243" s="6" t="s">
        <v>3750</v>
      </c>
      <c r="B4243" s="6" t="s">
        <v>654</v>
      </c>
      <c r="C4243" s="6" t="s">
        <v>3550</v>
      </c>
      <c r="D4243" s="6" t="s">
        <v>14</v>
      </c>
      <c r="E4243" s="6" t="s">
        <v>434</v>
      </c>
      <c r="F4243" s="6">
        <v>9.833267783E9</v>
      </c>
    </row>
    <row r="4244" ht="15.75" customHeight="1">
      <c r="A4244" s="6" t="s">
        <v>3751</v>
      </c>
      <c r="B4244" s="6" t="s">
        <v>55</v>
      </c>
      <c r="C4244" s="6" t="s">
        <v>277</v>
      </c>
      <c r="D4244" s="6" t="s">
        <v>29</v>
      </c>
      <c r="E4244" s="6" t="s">
        <v>19</v>
      </c>
      <c r="F4244" s="6">
        <v>8.734545678E9</v>
      </c>
    </row>
    <row r="4245" ht="15.75" customHeight="1">
      <c r="A4245" s="6" t="s">
        <v>1099</v>
      </c>
      <c r="B4245" s="6" t="s">
        <v>3752</v>
      </c>
      <c r="C4245" s="6" t="s">
        <v>3550</v>
      </c>
      <c r="D4245" s="6" t="s">
        <v>56</v>
      </c>
      <c r="E4245" s="6" t="s">
        <v>434</v>
      </c>
      <c r="F4245" s="6">
        <v>9.819061351E9</v>
      </c>
    </row>
    <row r="4246" ht="15.75" customHeight="1">
      <c r="A4246" s="6" t="s">
        <v>3753</v>
      </c>
      <c r="B4246" s="6" t="s">
        <v>55</v>
      </c>
      <c r="C4246" s="6" t="s">
        <v>576</v>
      </c>
      <c r="D4246" s="6" t="s">
        <v>9</v>
      </c>
      <c r="E4246" s="6" t="s">
        <v>19</v>
      </c>
      <c r="F4246" s="6">
        <v>9.939839118E9</v>
      </c>
    </row>
    <row r="4247" ht="15.75" customHeight="1">
      <c r="A4247" s="6" t="s">
        <v>3754</v>
      </c>
      <c r="B4247" s="6" t="s">
        <v>3755</v>
      </c>
      <c r="C4247" s="6" t="s">
        <v>3550</v>
      </c>
      <c r="D4247" s="6" t="s">
        <v>14</v>
      </c>
      <c r="E4247" s="6" t="s">
        <v>434</v>
      </c>
      <c r="F4247" s="6">
        <v>9.867257202E9</v>
      </c>
    </row>
    <row r="4248" ht="15.75" customHeight="1">
      <c r="A4248" s="6" t="s">
        <v>602</v>
      </c>
      <c r="B4248" s="6" t="s">
        <v>3756</v>
      </c>
      <c r="C4248" s="6" t="s">
        <v>3550</v>
      </c>
      <c r="D4248" s="6" t="s">
        <v>44</v>
      </c>
      <c r="E4248" s="6" t="s">
        <v>434</v>
      </c>
      <c r="F4248" s="6">
        <v>9.81953123E9</v>
      </c>
    </row>
    <row r="4249" ht="15.75" customHeight="1">
      <c r="A4249" s="6" t="s">
        <v>3757</v>
      </c>
      <c r="B4249" s="6" t="s">
        <v>119</v>
      </c>
      <c r="C4249" s="6" t="s">
        <v>58</v>
      </c>
      <c r="D4249" s="6" t="s">
        <v>26</v>
      </c>
      <c r="E4249" s="6" t="s">
        <v>19</v>
      </c>
      <c r="F4249" s="6">
        <v>9.709144183E9</v>
      </c>
    </row>
    <row r="4250" ht="15.75" customHeight="1">
      <c r="A4250" s="6" t="s">
        <v>3758</v>
      </c>
      <c r="B4250" s="6" t="s">
        <v>3759</v>
      </c>
      <c r="C4250" s="6" t="s">
        <v>3550</v>
      </c>
      <c r="D4250" s="6" t="s">
        <v>56</v>
      </c>
      <c r="E4250" s="6" t="s">
        <v>434</v>
      </c>
      <c r="F4250" s="6">
        <v>9.920829319E9</v>
      </c>
    </row>
    <row r="4251" ht="15.75" customHeight="1">
      <c r="A4251" s="6" t="s">
        <v>3760</v>
      </c>
      <c r="B4251" s="6" t="s">
        <v>3761</v>
      </c>
      <c r="C4251" s="6" t="s">
        <v>3592</v>
      </c>
      <c r="D4251" s="6" t="s">
        <v>14</v>
      </c>
      <c r="E4251" s="6" t="s">
        <v>434</v>
      </c>
      <c r="F4251" s="6">
        <v>9.820776212E9</v>
      </c>
    </row>
    <row r="4252" ht="15.75" customHeight="1">
      <c r="A4252" s="6" t="s">
        <v>1623</v>
      </c>
      <c r="B4252" s="6" t="s">
        <v>212</v>
      </c>
      <c r="C4252" s="6" t="s">
        <v>226</v>
      </c>
      <c r="D4252" s="6" t="s">
        <v>9</v>
      </c>
      <c r="E4252" s="6" t="s">
        <v>19</v>
      </c>
      <c r="F4252" s="6">
        <v>9.875271901E9</v>
      </c>
    </row>
    <row r="4253" ht="15.75" customHeight="1">
      <c r="A4253" s="6" t="s">
        <v>3762</v>
      </c>
      <c r="B4253" s="6" t="s">
        <v>68</v>
      </c>
      <c r="C4253" s="6" t="s">
        <v>3553</v>
      </c>
      <c r="D4253" s="6" t="s">
        <v>14</v>
      </c>
      <c r="E4253" s="6" t="s">
        <v>434</v>
      </c>
      <c r="F4253" s="6">
        <v>9.02963907E9</v>
      </c>
    </row>
    <row r="4254" ht="15.75" customHeight="1">
      <c r="A4254" s="6" t="s">
        <v>1928</v>
      </c>
      <c r="B4254" s="6" t="s">
        <v>212</v>
      </c>
      <c r="C4254" s="6" t="s">
        <v>226</v>
      </c>
      <c r="D4254" s="6" t="s">
        <v>9</v>
      </c>
      <c r="E4254" s="6" t="s">
        <v>19</v>
      </c>
      <c r="F4254" s="6">
        <v>9.90529615E9</v>
      </c>
    </row>
    <row r="4255" ht="15.75" customHeight="1">
      <c r="A4255" s="6" t="s">
        <v>1079</v>
      </c>
      <c r="B4255" s="6" t="s">
        <v>3763</v>
      </c>
      <c r="C4255" s="6" t="s">
        <v>3550</v>
      </c>
      <c r="D4255" s="6" t="s">
        <v>56</v>
      </c>
      <c r="E4255" s="6" t="s">
        <v>434</v>
      </c>
      <c r="F4255" s="6">
        <v>9.769710337E9</v>
      </c>
    </row>
    <row r="4256" ht="15.75" customHeight="1">
      <c r="A4256" s="6" t="s">
        <v>1482</v>
      </c>
      <c r="B4256" s="6" t="s">
        <v>50</v>
      </c>
      <c r="C4256" s="6" t="s">
        <v>3764</v>
      </c>
      <c r="D4256" s="6" t="s">
        <v>14</v>
      </c>
      <c r="E4256" s="6" t="s">
        <v>19</v>
      </c>
      <c r="F4256" s="6">
        <v>8.434010551E9</v>
      </c>
    </row>
    <row r="4257" ht="15.75" customHeight="1">
      <c r="A4257" s="6" t="s">
        <v>2732</v>
      </c>
      <c r="B4257" s="6" t="s">
        <v>3765</v>
      </c>
      <c r="C4257" s="6" t="s">
        <v>3550</v>
      </c>
      <c r="D4257" s="6" t="s">
        <v>56</v>
      </c>
      <c r="E4257" s="6" t="s">
        <v>434</v>
      </c>
      <c r="F4257" s="6">
        <v>9.821815656E9</v>
      </c>
    </row>
    <row r="4258" ht="15.75" customHeight="1">
      <c r="A4258" s="6" t="s">
        <v>3766</v>
      </c>
      <c r="B4258" s="6" t="s">
        <v>3767</v>
      </c>
      <c r="C4258" s="6" t="s">
        <v>3698</v>
      </c>
      <c r="D4258" s="6" t="s">
        <v>56</v>
      </c>
      <c r="E4258" s="6" t="s">
        <v>434</v>
      </c>
      <c r="F4258" s="6">
        <v>9.769041212E9</v>
      </c>
    </row>
    <row r="4259" ht="15.75" customHeight="1">
      <c r="A4259" s="6" t="s">
        <v>577</v>
      </c>
      <c r="B4259" s="6" t="s">
        <v>3768</v>
      </c>
      <c r="C4259" s="6" t="s">
        <v>235</v>
      </c>
      <c r="D4259" s="6" t="s">
        <v>9</v>
      </c>
      <c r="E4259" s="6" t="s">
        <v>19</v>
      </c>
      <c r="F4259" s="6">
        <v>9.661180613E9</v>
      </c>
    </row>
    <row r="4260" ht="15.75" customHeight="1">
      <c r="A4260" s="6" t="s">
        <v>3426</v>
      </c>
      <c r="B4260" s="6" t="s">
        <v>3769</v>
      </c>
      <c r="C4260" s="6" t="s">
        <v>3135</v>
      </c>
      <c r="D4260" s="6" t="s">
        <v>26</v>
      </c>
      <c r="E4260" s="6" t="s">
        <v>3395</v>
      </c>
      <c r="F4260" s="6">
        <v>9.354757E9</v>
      </c>
    </row>
    <row r="4261" ht="15.75" customHeight="1">
      <c r="A4261" s="6" t="s">
        <v>3770</v>
      </c>
      <c r="B4261" s="6" t="s">
        <v>212</v>
      </c>
      <c r="C4261" s="6" t="s">
        <v>246</v>
      </c>
      <c r="D4261" s="6" t="s">
        <v>14</v>
      </c>
      <c r="E4261" s="6" t="s">
        <v>19</v>
      </c>
      <c r="F4261" s="6">
        <v>9.334870108E9</v>
      </c>
    </row>
    <row r="4262" ht="15.75" customHeight="1">
      <c r="A4262" s="6" t="s">
        <v>3771</v>
      </c>
      <c r="B4262" s="6" t="s">
        <v>3126</v>
      </c>
      <c r="C4262" s="6" t="s">
        <v>3772</v>
      </c>
      <c r="D4262" s="6" t="s">
        <v>44</v>
      </c>
      <c r="E4262" s="6" t="s">
        <v>3395</v>
      </c>
      <c r="F4262" s="6">
        <v>9.099958047E9</v>
      </c>
    </row>
    <row r="4263" ht="15.75" customHeight="1">
      <c r="A4263" s="6" t="s">
        <v>3773</v>
      </c>
      <c r="B4263" s="6" t="s">
        <v>3774</v>
      </c>
      <c r="C4263" s="6" t="s">
        <v>3550</v>
      </c>
      <c r="D4263" s="6" t="s">
        <v>14</v>
      </c>
      <c r="E4263" s="6" t="s">
        <v>434</v>
      </c>
      <c r="F4263" s="6">
        <v>8.082477927E9</v>
      </c>
    </row>
    <row r="4264" ht="15.75" customHeight="1">
      <c r="A4264" s="6" t="s">
        <v>3775</v>
      </c>
      <c r="B4264" s="6" t="s">
        <v>3776</v>
      </c>
      <c r="C4264" s="6" t="s">
        <v>3146</v>
      </c>
      <c r="D4264" s="6" t="s">
        <v>9</v>
      </c>
      <c r="E4264" s="6" t="s">
        <v>3395</v>
      </c>
      <c r="F4264" s="6">
        <v>9.099931133E9</v>
      </c>
    </row>
    <row r="4265" ht="15.75" customHeight="1">
      <c r="A4265" s="6" t="s">
        <v>3777</v>
      </c>
      <c r="B4265" s="6" t="s">
        <v>1932</v>
      </c>
      <c r="C4265" s="6" t="s">
        <v>3550</v>
      </c>
      <c r="D4265" s="6" t="s">
        <v>102</v>
      </c>
      <c r="E4265" s="6" t="s">
        <v>434</v>
      </c>
      <c r="F4265" s="6">
        <v>9.867048294E9</v>
      </c>
    </row>
    <row r="4266" ht="15.75" customHeight="1">
      <c r="A4266" s="6" t="s">
        <v>3778</v>
      </c>
      <c r="B4266" s="6" t="s">
        <v>75</v>
      </c>
      <c r="C4266" s="6" t="s">
        <v>580</v>
      </c>
      <c r="D4266" s="6" t="s">
        <v>9</v>
      </c>
      <c r="E4266" s="6" t="s">
        <v>19</v>
      </c>
      <c r="F4266" s="6">
        <v>9.534001496E9</v>
      </c>
    </row>
    <row r="4267" ht="15.75" customHeight="1">
      <c r="A4267" s="6" t="s">
        <v>3779</v>
      </c>
      <c r="B4267" s="6" t="s">
        <v>3780</v>
      </c>
      <c r="C4267" s="6" t="s">
        <v>3781</v>
      </c>
      <c r="D4267" s="6" t="s">
        <v>9</v>
      </c>
      <c r="E4267" s="6" t="s">
        <v>3395</v>
      </c>
      <c r="F4267" s="6">
        <v>9.099048254E9</v>
      </c>
    </row>
    <row r="4268" ht="15.75" customHeight="1">
      <c r="A4268" s="6" t="s">
        <v>3329</v>
      </c>
      <c r="B4268" s="6" t="s">
        <v>1732</v>
      </c>
      <c r="C4268" s="6" t="s">
        <v>729</v>
      </c>
      <c r="D4268" s="6" t="s">
        <v>44</v>
      </c>
      <c r="E4268" s="6" t="s">
        <v>19</v>
      </c>
      <c r="F4268" s="6">
        <v>9.386982544E9</v>
      </c>
    </row>
    <row r="4269" ht="15.75" customHeight="1">
      <c r="A4269" s="6" t="s">
        <v>1819</v>
      </c>
      <c r="B4269" s="6" t="s">
        <v>518</v>
      </c>
      <c r="C4269" s="6" t="s">
        <v>3782</v>
      </c>
      <c r="D4269" s="6" t="s">
        <v>14</v>
      </c>
      <c r="E4269" s="6" t="s">
        <v>3783</v>
      </c>
      <c r="F4269" s="6">
        <v>8.899647263E9</v>
      </c>
    </row>
    <row r="4270" ht="15.75" customHeight="1">
      <c r="A4270" s="6" t="s">
        <v>227</v>
      </c>
      <c r="B4270" s="6" t="s">
        <v>63</v>
      </c>
      <c r="C4270" s="6" t="s">
        <v>330</v>
      </c>
      <c r="D4270" s="6" t="s">
        <v>44</v>
      </c>
      <c r="E4270" s="6" t="s">
        <v>19</v>
      </c>
      <c r="F4270" s="6">
        <v>7.903967915E9</v>
      </c>
    </row>
    <row r="4271" ht="15.75" customHeight="1">
      <c r="A4271" s="6" t="s">
        <v>906</v>
      </c>
      <c r="B4271" s="6" t="s">
        <v>50</v>
      </c>
      <c r="C4271" s="6" t="s">
        <v>226</v>
      </c>
      <c r="D4271" s="6" t="s">
        <v>9</v>
      </c>
      <c r="E4271" s="6" t="s">
        <v>19</v>
      </c>
      <c r="F4271" s="6">
        <v>9.693111818E9</v>
      </c>
    </row>
    <row r="4272" ht="15.75" customHeight="1">
      <c r="A4272" s="6" t="s">
        <v>98</v>
      </c>
      <c r="B4272" s="6" t="s">
        <v>63</v>
      </c>
      <c r="C4272" s="6" t="s">
        <v>83</v>
      </c>
      <c r="D4272" s="6" t="s">
        <v>56</v>
      </c>
      <c r="E4272" s="6" t="s">
        <v>19</v>
      </c>
      <c r="F4272" s="6">
        <v>9.835296809E9</v>
      </c>
    </row>
    <row r="4273" ht="15.75" customHeight="1">
      <c r="A4273" s="6" t="s">
        <v>2224</v>
      </c>
      <c r="B4273" s="6" t="s">
        <v>63</v>
      </c>
      <c r="C4273" s="6" t="s">
        <v>83</v>
      </c>
      <c r="D4273" s="6" t="s">
        <v>44</v>
      </c>
      <c r="E4273" s="6" t="s">
        <v>19</v>
      </c>
      <c r="F4273" s="6">
        <v>9.234961422E9</v>
      </c>
    </row>
    <row r="4274" ht="15.75" customHeight="1">
      <c r="A4274" s="6" t="s">
        <v>853</v>
      </c>
      <c r="B4274" s="6" t="s">
        <v>52</v>
      </c>
      <c r="C4274" s="6" t="s">
        <v>226</v>
      </c>
      <c r="D4274" s="6" t="s">
        <v>29</v>
      </c>
      <c r="E4274" s="6" t="s">
        <v>19</v>
      </c>
      <c r="F4274" s="6">
        <v>9.83579965E9</v>
      </c>
    </row>
    <row r="4275" ht="15.75" customHeight="1">
      <c r="A4275" s="6" t="s">
        <v>1963</v>
      </c>
      <c r="B4275" s="6" t="s">
        <v>125</v>
      </c>
      <c r="C4275" s="6" t="s">
        <v>133</v>
      </c>
      <c r="D4275" s="6" t="s">
        <v>44</v>
      </c>
      <c r="E4275" s="6" t="s">
        <v>19</v>
      </c>
      <c r="F4275" s="6">
        <v>8.207331924E9</v>
      </c>
    </row>
    <row r="4276" ht="15.75" customHeight="1">
      <c r="A4276" s="6" t="s">
        <v>829</v>
      </c>
      <c r="B4276" s="6" t="s">
        <v>55</v>
      </c>
      <c r="C4276" s="6" t="s">
        <v>3784</v>
      </c>
      <c r="D4276" s="6" t="s">
        <v>26</v>
      </c>
      <c r="E4276" s="6" t="s">
        <v>19</v>
      </c>
      <c r="F4276" s="6">
        <v>9.431326588E9</v>
      </c>
    </row>
    <row r="4277" ht="15.75" customHeight="1">
      <c r="A4277" s="6" t="s">
        <v>944</v>
      </c>
      <c r="B4277" s="6" t="s">
        <v>50</v>
      </c>
      <c r="C4277" s="6" t="s">
        <v>3785</v>
      </c>
      <c r="D4277" s="6" t="s">
        <v>9</v>
      </c>
      <c r="E4277" s="6" t="s">
        <v>19</v>
      </c>
      <c r="F4277" s="6">
        <v>9.798183623E9</v>
      </c>
    </row>
    <row r="4278" ht="15.75" customHeight="1">
      <c r="A4278" s="6" t="s">
        <v>3354</v>
      </c>
      <c r="B4278" s="6" t="s">
        <v>2170</v>
      </c>
      <c r="C4278" s="6" t="s">
        <v>3786</v>
      </c>
      <c r="D4278" s="6" t="s">
        <v>9</v>
      </c>
      <c r="E4278" s="6" t="s">
        <v>19</v>
      </c>
      <c r="F4278" s="6">
        <v>9.308932684E9</v>
      </c>
    </row>
    <row r="4279" ht="15.75" customHeight="1">
      <c r="A4279" s="6" t="s">
        <v>1146</v>
      </c>
      <c r="B4279" s="6" t="s">
        <v>75</v>
      </c>
      <c r="C4279" s="6" t="s">
        <v>1476</v>
      </c>
      <c r="D4279" s="6" t="s">
        <v>26</v>
      </c>
      <c r="E4279" s="6" t="s">
        <v>19</v>
      </c>
      <c r="F4279" s="6">
        <v>9.468514652E9</v>
      </c>
    </row>
    <row r="4280" ht="15.75" customHeight="1">
      <c r="A4280" s="6" t="s">
        <v>680</v>
      </c>
      <c r="B4280" s="6" t="s">
        <v>125</v>
      </c>
      <c r="C4280" s="6" t="s">
        <v>2907</v>
      </c>
      <c r="D4280" s="6" t="s">
        <v>26</v>
      </c>
      <c r="E4280" s="6" t="s">
        <v>19</v>
      </c>
      <c r="F4280" s="6">
        <v>9.576674668E9</v>
      </c>
    </row>
    <row r="4281" ht="15.75" customHeight="1">
      <c r="A4281" s="6" t="s">
        <v>3787</v>
      </c>
      <c r="B4281" s="6" t="s">
        <v>3788</v>
      </c>
      <c r="C4281" s="6" t="s">
        <v>576</v>
      </c>
      <c r="D4281" s="6" t="s">
        <v>56</v>
      </c>
      <c r="E4281" s="6" t="s">
        <v>282</v>
      </c>
      <c r="F4281" s="6">
        <v>9.327019512E9</v>
      </c>
    </row>
    <row r="4282" ht="15.75" customHeight="1">
      <c r="A4282" s="6" t="s">
        <v>1278</v>
      </c>
      <c r="B4282" s="6" t="s">
        <v>125</v>
      </c>
      <c r="C4282" s="6" t="s">
        <v>676</v>
      </c>
      <c r="D4282" s="6" t="s">
        <v>29</v>
      </c>
      <c r="E4282" s="6" t="s">
        <v>19</v>
      </c>
      <c r="F4282" s="6">
        <v>9.79817524E9</v>
      </c>
    </row>
    <row r="4283" ht="15.75" customHeight="1">
      <c r="A4283" s="6" t="s">
        <v>3789</v>
      </c>
      <c r="B4283" s="6" t="s">
        <v>119</v>
      </c>
      <c r="C4283" s="6" t="s">
        <v>3790</v>
      </c>
      <c r="D4283" s="6" t="s">
        <v>56</v>
      </c>
      <c r="E4283" s="6" t="s">
        <v>19</v>
      </c>
      <c r="F4283" s="6">
        <v>7.992196025E9</v>
      </c>
    </row>
    <row r="4284" ht="15.75" customHeight="1">
      <c r="A4284" s="6" t="s">
        <v>3791</v>
      </c>
      <c r="B4284" s="6" t="s">
        <v>3792</v>
      </c>
      <c r="C4284" s="6" t="s">
        <v>3793</v>
      </c>
      <c r="D4284" s="6" t="s">
        <v>29</v>
      </c>
      <c r="E4284" s="6" t="s">
        <v>282</v>
      </c>
      <c r="F4284" s="6">
        <v>9.82502903E9</v>
      </c>
    </row>
    <row r="4285" ht="15.75" customHeight="1">
      <c r="A4285" s="6" t="s">
        <v>96</v>
      </c>
      <c r="B4285" s="6" t="s">
        <v>50</v>
      </c>
      <c r="C4285" s="6" t="s">
        <v>330</v>
      </c>
      <c r="D4285" s="6" t="s">
        <v>26</v>
      </c>
      <c r="E4285" s="6" t="s">
        <v>19</v>
      </c>
      <c r="F4285" s="6">
        <v>8.002734458E9</v>
      </c>
    </row>
    <row r="4286" ht="15.75" customHeight="1">
      <c r="A4286" s="6" t="s">
        <v>3794</v>
      </c>
      <c r="B4286" s="6" t="s">
        <v>251</v>
      </c>
      <c r="C4286" s="6" t="s">
        <v>3795</v>
      </c>
      <c r="D4286" s="6" t="s">
        <v>29</v>
      </c>
      <c r="E4286" s="6" t="s">
        <v>282</v>
      </c>
      <c r="F4286" s="6">
        <v>9.099741414E9</v>
      </c>
    </row>
    <row r="4287" ht="15.75" customHeight="1">
      <c r="A4287" s="6" t="s">
        <v>2934</v>
      </c>
      <c r="B4287" s="6" t="s">
        <v>55</v>
      </c>
      <c r="C4287" s="6" t="s">
        <v>181</v>
      </c>
      <c r="D4287" s="6" t="s">
        <v>9</v>
      </c>
      <c r="E4287" s="6" t="s">
        <v>19</v>
      </c>
      <c r="F4287" s="6">
        <v>9.570192524E9</v>
      </c>
    </row>
    <row r="4288" ht="15.75" customHeight="1">
      <c r="A4288" s="6" t="s">
        <v>3796</v>
      </c>
      <c r="B4288" s="6" t="s">
        <v>50</v>
      </c>
      <c r="C4288" s="6" t="s">
        <v>3784</v>
      </c>
      <c r="D4288" s="6" t="s">
        <v>14</v>
      </c>
      <c r="E4288" s="6" t="s">
        <v>19</v>
      </c>
      <c r="F4288" s="6">
        <v>7.903957935E9</v>
      </c>
    </row>
    <row r="4289" ht="15.75" customHeight="1">
      <c r="A4289" s="6" t="s">
        <v>3797</v>
      </c>
      <c r="B4289" s="6" t="s">
        <v>3798</v>
      </c>
      <c r="C4289" s="6" t="s">
        <v>576</v>
      </c>
      <c r="D4289" s="6" t="s">
        <v>9</v>
      </c>
      <c r="E4289" s="6" t="s">
        <v>282</v>
      </c>
      <c r="F4289" s="6">
        <v>9.924494007E9</v>
      </c>
    </row>
    <row r="4290" ht="15.75" customHeight="1">
      <c r="A4290" s="6" t="s">
        <v>507</v>
      </c>
      <c r="B4290" s="6" t="s">
        <v>50</v>
      </c>
      <c r="C4290" s="6" t="s">
        <v>3799</v>
      </c>
      <c r="D4290" s="6" t="s">
        <v>9</v>
      </c>
      <c r="E4290" s="6" t="s">
        <v>19</v>
      </c>
      <c r="F4290" s="6">
        <v>9.386660115E9</v>
      </c>
    </row>
    <row r="4291" ht="15.75" customHeight="1">
      <c r="A4291" s="6" t="s">
        <v>3800</v>
      </c>
      <c r="B4291" s="6" t="s">
        <v>3801</v>
      </c>
      <c r="C4291" s="6" t="s">
        <v>576</v>
      </c>
      <c r="D4291" s="6" t="s">
        <v>14</v>
      </c>
      <c r="E4291" s="6" t="s">
        <v>282</v>
      </c>
      <c r="F4291" s="6">
        <v>9.328085418E9</v>
      </c>
    </row>
    <row r="4292" ht="15.75" customHeight="1">
      <c r="A4292" s="6" t="s">
        <v>1241</v>
      </c>
      <c r="B4292" s="6" t="s">
        <v>50</v>
      </c>
      <c r="C4292" s="6" t="s">
        <v>181</v>
      </c>
      <c r="D4292" s="6" t="s">
        <v>26</v>
      </c>
      <c r="E4292" s="6" t="s">
        <v>19</v>
      </c>
      <c r="F4292" s="6">
        <v>7.671167121E9</v>
      </c>
    </row>
    <row r="4293" ht="15.75" customHeight="1">
      <c r="A4293" s="6" t="s">
        <v>2595</v>
      </c>
      <c r="B4293" s="6" t="s">
        <v>65</v>
      </c>
      <c r="C4293" s="6" t="s">
        <v>2739</v>
      </c>
      <c r="D4293" s="6" t="s">
        <v>14</v>
      </c>
      <c r="E4293" s="6" t="s">
        <v>282</v>
      </c>
      <c r="F4293" s="6">
        <v>9.377796343E9</v>
      </c>
    </row>
    <row r="4294" ht="15.75" customHeight="1">
      <c r="A4294" s="6" t="s">
        <v>159</v>
      </c>
      <c r="B4294" s="6" t="s">
        <v>50</v>
      </c>
      <c r="C4294" s="6" t="s">
        <v>2097</v>
      </c>
      <c r="D4294" s="6" t="s">
        <v>44</v>
      </c>
      <c r="E4294" s="6" t="s">
        <v>19</v>
      </c>
      <c r="F4294" s="6">
        <v>9.835748312E9</v>
      </c>
    </row>
    <row r="4295" ht="15.75" customHeight="1">
      <c r="A4295" s="6" t="s">
        <v>1654</v>
      </c>
      <c r="B4295" s="6" t="s">
        <v>50</v>
      </c>
      <c r="C4295" s="6" t="s">
        <v>3802</v>
      </c>
      <c r="D4295" s="6" t="s">
        <v>56</v>
      </c>
      <c r="E4295" s="6" t="s">
        <v>19</v>
      </c>
      <c r="F4295" s="6">
        <v>9.334067573E9</v>
      </c>
    </row>
    <row r="4296" ht="15.75" customHeight="1">
      <c r="A4296" s="6" t="s">
        <v>1164</v>
      </c>
      <c r="B4296" s="6" t="s">
        <v>50</v>
      </c>
      <c r="C4296" s="6" t="s">
        <v>1476</v>
      </c>
      <c r="D4296" s="6" t="s">
        <v>29</v>
      </c>
      <c r="E4296" s="6" t="s">
        <v>19</v>
      </c>
      <c r="F4296" s="6">
        <v>9.159395363E9</v>
      </c>
    </row>
    <row r="4297" ht="15.75" customHeight="1">
      <c r="A4297" s="6" t="s">
        <v>3803</v>
      </c>
      <c r="B4297" s="6" t="s">
        <v>3804</v>
      </c>
      <c r="C4297" s="6" t="s">
        <v>3793</v>
      </c>
      <c r="D4297" s="6" t="s">
        <v>44</v>
      </c>
      <c r="E4297" s="6" t="s">
        <v>282</v>
      </c>
      <c r="F4297" s="6">
        <v>9.925221124E9</v>
      </c>
    </row>
    <row r="4298" ht="15.75" customHeight="1">
      <c r="A4298" s="6" t="s">
        <v>186</v>
      </c>
      <c r="B4298" s="6" t="s">
        <v>873</v>
      </c>
      <c r="C4298" s="6" t="s">
        <v>1476</v>
      </c>
      <c r="D4298" s="6" t="s">
        <v>56</v>
      </c>
      <c r="E4298" s="6" t="s">
        <v>19</v>
      </c>
      <c r="F4298" s="6">
        <v>6.202173054E9</v>
      </c>
    </row>
    <row r="4299" ht="15.75" customHeight="1">
      <c r="A4299" s="6" t="s">
        <v>125</v>
      </c>
      <c r="B4299" s="6" t="s">
        <v>55</v>
      </c>
      <c r="C4299" s="6" t="s">
        <v>616</v>
      </c>
      <c r="D4299" s="6" t="s">
        <v>26</v>
      </c>
      <c r="E4299" s="6" t="s">
        <v>19</v>
      </c>
      <c r="F4299" s="6">
        <v>8.27166616E9</v>
      </c>
    </row>
    <row r="4300" ht="15.75" customHeight="1">
      <c r="A4300" s="6" t="s">
        <v>3805</v>
      </c>
      <c r="B4300" s="6" t="s">
        <v>3806</v>
      </c>
      <c r="C4300" s="6" t="s">
        <v>3793</v>
      </c>
      <c r="D4300" s="6" t="s">
        <v>44</v>
      </c>
      <c r="E4300" s="6" t="s">
        <v>282</v>
      </c>
      <c r="F4300" s="6">
        <v>9.879610833E9</v>
      </c>
    </row>
    <row r="4301" ht="15.75" customHeight="1">
      <c r="A4301" s="6" t="s">
        <v>2206</v>
      </c>
      <c r="B4301" s="6" t="s">
        <v>1164</v>
      </c>
      <c r="C4301" s="6" t="s">
        <v>729</v>
      </c>
      <c r="D4301" s="6" t="s">
        <v>56</v>
      </c>
      <c r="E4301" s="6" t="s">
        <v>19</v>
      </c>
      <c r="F4301" s="6">
        <v>6.20040855E9</v>
      </c>
    </row>
    <row r="4302" ht="15.75" customHeight="1">
      <c r="A4302" s="6" t="s">
        <v>3807</v>
      </c>
      <c r="B4302" s="6" t="s">
        <v>675</v>
      </c>
      <c r="C4302" s="6" t="s">
        <v>3808</v>
      </c>
      <c r="D4302" s="6" t="s">
        <v>14</v>
      </c>
      <c r="E4302" s="6" t="s">
        <v>282</v>
      </c>
      <c r="F4302" s="6">
        <v>9.97881078E9</v>
      </c>
    </row>
    <row r="4303" ht="15.75" customHeight="1">
      <c r="A4303" s="6" t="s">
        <v>1043</v>
      </c>
      <c r="B4303" s="6" t="s">
        <v>654</v>
      </c>
      <c r="C4303" s="6" t="s">
        <v>616</v>
      </c>
      <c r="D4303" s="6" t="s">
        <v>102</v>
      </c>
      <c r="E4303" s="6" t="s">
        <v>19</v>
      </c>
      <c r="F4303" s="6">
        <v>7.009185148E9</v>
      </c>
    </row>
    <row r="4304" ht="15.75" customHeight="1">
      <c r="A4304" s="6" t="s">
        <v>3809</v>
      </c>
      <c r="B4304" s="6" t="s">
        <v>3810</v>
      </c>
      <c r="C4304" s="6" t="s">
        <v>3793</v>
      </c>
      <c r="D4304" s="6" t="s">
        <v>44</v>
      </c>
      <c r="E4304" s="6" t="s">
        <v>282</v>
      </c>
      <c r="F4304" s="6">
        <v>9.825528765E9</v>
      </c>
    </row>
    <row r="4305" ht="15.75" customHeight="1">
      <c r="A4305" s="6" t="s">
        <v>299</v>
      </c>
      <c r="B4305" s="6" t="s">
        <v>675</v>
      </c>
      <c r="C4305" s="6" t="s">
        <v>3795</v>
      </c>
      <c r="D4305" s="6" t="s">
        <v>29</v>
      </c>
      <c r="E4305" s="6" t="s">
        <v>282</v>
      </c>
      <c r="F4305" s="6">
        <v>9.601252801E9</v>
      </c>
    </row>
    <row r="4306" ht="15.75" customHeight="1">
      <c r="A4306" s="6" t="s">
        <v>40</v>
      </c>
      <c r="B4306" s="6" t="s">
        <v>722</v>
      </c>
      <c r="C4306" s="6" t="s">
        <v>3224</v>
      </c>
      <c r="D4306" s="6" t="s">
        <v>9</v>
      </c>
      <c r="E4306" s="6" t="s">
        <v>2115</v>
      </c>
      <c r="F4306" s="6">
        <v>7.439708394E9</v>
      </c>
    </row>
    <row r="4307" ht="15.75" customHeight="1">
      <c r="A4307" s="6" t="s">
        <v>3653</v>
      </c>
      <c r="B4307" s="6" t="s">
        <v>3811</v>
      </c>
      <c r="C4307" s="6" t="s">
        <v>3812</v>
      </c>
      <c r="D4307" s="6" t="s">
        <v>44</v>
      </c>
      <c r="E4307" s="6" t="s">
        <v>282</v>
      </c>
      <c r="F4307" s="6">
        <v>9.824448644E9</v>
      </c>
    </row>
    <row r="4308" ht="15.75" customHeight="1">
      <c r="A4308" s="6" t="s">
        <v>1218</v>
      </c>
      <c r="B4308" s="6" t="s">
        <v>654</v>
      </c>
      <c r="C4308" s="6" t="s">
        <v>3813</v>
      </c>
      <c r="D4308" s="6" t="s">
        <v>14</v>
      </c>
      <c r="E4308" s="6" t="s">
        <v>2115</v>
      </c>
      <c r="F4308" s="6">
        <v>9.163424995E9</v>
      </c>
    </row>
    <row r="4309" ht="15.75" customHeight="1">
      <c r="A4309" s="6" t="s">
        <v>1380</v>
      </c>
      <c r="B4309" s="6" t="s">
        <v>654</v>
      </c>
      <c r="C4309" s="6" t="s">
        <v>3813</v>
      </c>
      <c r="D4309" s="6" t="s">
        <v>44</v>
      </c>
      <c r="E4309" s="6" t="s">
        <v>2115</v>
      </c>
      <c r="F4309" s="6">
        <v>9.748322212E9</v>
      </c>
    </row>
    <row r="4310" ht="15.75" customHeight="1">
      <c r="A4310" s="6" t="s">
        <v>406</v>
      </c>
      <c r="B4310" s="6" t="s">
        <v>21</v>
      </c>
      <c r="C4310" s="6" t="s">
        <v>453</v>
      </c>
      <c r="D4310" s="6" t="s">
        <v>56</v>
      </c>
      <c r="E4310" s="6" t="s">
        <v>23</v>
      </c>
      <c r="F4310" s="6">
        <v>9.109557806E9</v>
      </c>
    </row>
    <row r="4311" ht="15.75" customHeight="1">
      <c r="A4311" s="6" t="s">
        <v>3814</v>
      </c>
      <c r="B4311" s="6" t="s">
        <v>3815</v>
      </c>
      <c r="C4311" s="6" t="s">
        <v>3812</v>
      </c>
      <c r="D4311" s="6" t="s">
        <v>44</v>
      </c>
      <c r="E4311" s="6" t="s">
        <v>282</v>
      </c>
      <c r="F4311" s="6">
        <v>9.09901056E9</v>
      </c>
    </row>
    <row r="4312" ht="15.75" customHeight="1">
      <c r="A4312" s="6" t="s">
        <v>1260</v>
      </c>
      <c r="B4312" s="6" t="s">
        <v>693</v>
      </c>
      <c r="C4312" s="6" t="s">
        <v>3816</v>
      </c>
      <c r="D4312" s="6" t="s">
        <v>9</v>
      </c>
      <c r="E4312" s="6" t="s">
        <v>282</v>
      </c>
      <c r="F4312" s="6">
        <v>9.428753437E9</v>
      </c>
    </row>
    <row r="4313" ht="15.75" customHeight="1">
      <c r="A4313" s="6" t="s">
        <v>2743</v>
      </c>
      <c r="B4313" s="6" t="s">
        <v>78</v>
      </c>
      <c r="C4313" s="6" t="s">
        <v>3445</v>
      </c>
      <c r="D4313" s="6" t="s">
        <v>29</v>
      </c>
      <c r="E4313" s="6" t="s">
        <v>282</v>
      </c>
      <c r="F4313" s="6">
        <v>7.990948334E9</v>
      </c>
    </row>
    <row r="4314" ht="15.75" customHeight="1">
      <c r="A4314" s="6" t="s">
        <v>3817</v>
      </c>
      <c r="B4314" s="6" t="s">
        <v>78</v>
      </c>
      <c r="C4314" s="6" t="s">
        <v>3816</v>
      </c>
      <c r="D4314" s="6" t="s">
        <v>56</v>
      </c>
      <c r="E4314" s="6" t="s">
        <v>282</v>
      </c>
      <c r="F4314" s="6">
        <v>9.998059375E9</v>
      </c>
    </row>
    <row r="4315" ht="15.75" customHeight="1">
      <c r="A4315" s="6" t="s">
        <v>2725</v>
      </c>
      <c r="B4315" s="6" t="s">
        <v>3818</v>
      </c>
      <c r="C4315" s="6" t="s">
        <v>3812</v>
      </c>
      <c r="D4315" s="6" t="s">
        <v>14</v>
      </c>
      <c r="E4315" s="6" t="s">
        <v>282</v>
      </c>
      <c r="F4315" s="6">
        <v>8.511447406E9</v>
      </c>
    </row>
    <row r="4316" ht="15.75" customHeight="1">
      <c r="A4316" s="6" t="s">
        <v>3819</v>
      </c>
      <c r="B4316" s="6" t="s">
        <v>21</v>
      </c>
      <c r="C4316" s="6" t="s">
        <v>3820</v>
      </c>
      <c r="D4316" s="6" t="s">
        <v>56</v>
      </c>
      <c r="E4316" s="6" t="s">
        <v>282</v>
      </c>
      <c r="F4316" s="6">
        <v>9.099587545E9</v>
      </c>
    </row>
    <row r="4317" ht="15.75" customHeight="1">
      <c r="A4317" s="6" t="s">
        <v>3821</v>
      </c>
      <c r="B4317" s="6" t="s">
        <v>78</v>
      </c>
      <c r="C4317" s="6" t="s">
        <v>3822</v>
      </c>
      <c r="D4317" s="6" t="s">
        <v>29</v>
      </c>
      <c r="E4317" s="6" t="s">
        <v>282</v>
      </c>
      <c r="F4317" s="6">
        <v>9.909598306E9</v>
      </c>
    </row>
    <row r="4318" ht="15.75" customHeight="1">
      <c r="A4318" s="6" t="s">
        <v>3823</v>
      </c>
      <c r="B4318" s="6" t="s">
        <v>882</v>
      </c>
      <c r="C4318" s="6" t="s">
        <v>576</v>
      </c>
      <c r="D4318" s="6" t="s">
        <v>14</v>
      </c>
      <c r="E4318" s="6" t="s">
        <v>282</v>
      </c>
      <c r="F4318" s="6">
        <v>8.128040052E9</v>
      </c>
    </row>
    <row r="4319" ht="15.75" customHeight="1">
      <c r="A4319" s="6" t="s">
        <v>1260</v>
      </c>
      <c r="B4319" s="6" t="s">
        <v>3824</v>
      </c>
      <c r="C4319" s="6" t="s">
        <v>3825</v>
      </c>
      <c r="D4319" s="6" t="s">
        <v>9</v>
      </c>
      <c r="E4319" s="6" t="s">
        <v>282</v>
      </c>
      <c r="F4319" s="6">
        <v>9.979589707E9</v>
      </c>
    </row>
    <row r="4320" ht="15.75" customHeight="1">
      <c r="A4320" s="6" t="s">
        <v>1248</v>
      </c>
      <c r="B4320" s="6" t="s">
        <v>78</v>
      </c>
      <c r="C4320" s="6" t="s">
        <v>3826</v>
      </c>
      <c r="D4320" s="6" t="s">
        <v>44</v>
      </c>
      <c r="E4320" s="6" t="s">
        <v>282</v>
      </c>
      <c r="F4320" s="6">
        <v>9.904927367E9</v>
      </c>
    </row>
    <row r="4321" ht="15.75" customHeight="1">
      <c r="A4321" s="6" t="s">
        <v>3827</v>
      </c>
      <c r="B4321" s="6" t="s">
        <v>675</v>
      </c>
      <c r="C4321" s="6" t="s">
        <v>3828</v>
      </c>
      <c r="D4321" s="6" t="s">
        <v>14</v>
      </c>
      <c r="E4321" s="6" t="s">
        <v>282</v>
      </c>
      <c r="F4321" s="6">
        <v>9.88858673E8</v>
      </c>
    </row>
    <row r="4322" ht="15.75" customHeight="1">
      <c r="A4322" s="6" t="s">
        <v>2286</v>
      </c>
      <c r="B4322" s="6" t="s">
        <v>368</v>
      </c>
      <c r="C4322" s="6" t="s">
        <v>1943</v>
      </c>
      <c r="D4322" s="6" t="s">
        <v>44</v>
      </c>
      <c r="E4322" s="6" t="s">
        <v>282</v>
      </c>
      <c r="F4322" s="6">
        <v>8.160850093E9</v>
      </c>
    </row>
    <row r="4323" ht="15.75" customHeight="1">
      <c r="A4323" s="6" t="s">
        <v>1623</v>
      </c>
      <c r="B4323" s="6" t="s">
        <v>3829</v>
      </c>
      <c r="C4323" s="6" t="s">
        <v>3830</v>
      </c>
      <c r="D4323" s="6" t="s">
        <v>9</v>
      </c>
      <c r="E4323" s="6" t="s">
        <v>282</v>
      </c>
      <c r="F4323" s="6">
        <v>9.712115151E9</v>
      </c>
    </row>
    <row r="4324" ht="15.75" customHeight="1">
      <c r="A4324" s="6" t="s">
        <v>3101</v>
      </c>
      <c r="B4324" s="6" t="s">
        <v>276</v>
      </c>
      <c r="C4324" s="6" t="s">
        <v>3831</v>
      </c>
      <c r="D4324" s="6" t="s">
        <v>56</v>
      </c>
      <c r="E4324" s="6" t="s">
        <v>255</v>
      </c>
      <c r="F4324" s="6">
        <v>9.835715023E9</v>
      </c>
    </row>
    <row r="4325" ht="15.75" customHeight="1">
      <c r="A4325" s="6" t="s">
        <v>1260</v>
      </c>
      <c r="B4325" s="6" t="s">
        <v>3832</v>
      </c>
      <c r="C4325" s="6" t="s">
        <v>3828</v>
      </c>
      <c r="D4325" s="6" t="s">
        <v>26</v>
      </c>
      <c r="E4325" s="6" t="s">
        <v>282</v>
      </c>
      <c r="F4325" s="6">
        <v>9.898422022E9</v>
      </c>
    </row>
    <row r="4326" ht="15.75" customHeight="1">
      <c r="A4326" s="6" t="s">
        <v>827</v>
      </c>
      <c r="B4326" s="6" t="s">
        <v>52</v>
      </c>
      <c r="C4326" s="6" t="s">
        <v>986</v>
      </c>
      <c r="D4326" s="6" t="s">
        <v>29</v>
      </c>
      <c r="E4326" s="6" t="s">
        <v>255</v>
      </c>
      <c r="F4326" s="6">
        <v>9.835715023E9</v>
      </c>
    </row>
    <row r="4327" ht="15.75" customHeight="1">
      <c r="A4327" s="6" t="s">
        <v>1082</v>
      </c>
      <c r="B4327" s="6" t="s">
        <v>1656</v>
      </c>
      <c r="C4327" s="6" t="s">
        <v>3833</v>
      </c>
      <c r="D4327" s="6" t="s">
        <v>26</v>
      </c>
      <c r="E4327" s="6" t="s">
        <v>282</v>
      </c>
      <c r="F4327" s="6">
        <v>9.586362168E9</v>
      </c>
    </row>
    <row r="4328" ht="15.75" customHeight="1">
      <c r="A4328" s="6" t="s">
        <v>906</v>
      </c>
      <c r="B4328" s="6" t="s">
        <v>827</v>
      </c>
      <c r="C4328" s="6" t="s">
        <v>2789</v>
      </c>
      <c r="D4328" s="6" t="s">
        <v>26</v>
      </c>
      <c r="E4328" s="6" t="s">
        <v>255</v>
      </c>
      <c r="F4328" s="6">
        <v>8.676939125E9</v>
      </c>
    </row>
    <row r="4329" ht="15.75" customHeight="1">
      <c r="A4329" s="6" t="s">
        <v>3207</v>
      </c>
      <c r="B4329" s="6" t="s">
        <v>3834</v>
      </c>
      <c r="C4329" s="6" t="s">
        <v>3835</v>
      </c>
      <c r="D4329" s="6" t="s">
        <v>14</v>
      </c>
      <c r="E4329" s="6" t="s">
        <v>282</v>
      </c>
      <c r="F4329" s="6">
        <v>9.725988369E9</v>
      </c>
    </row>
    <row r="4330" ht="15.75" customHeight="1">
      <c r="A4330" s="6" t="s">
        <v>3836</v>
      </c>
      <c r="B4330" s="6" t="s">
        <v>3547</v>
      </c>
      <c r="C4330" s="6" t="s">
        <v>2933</v>
      </c>
      <c r="D4330" s="6" t="s">
        <v>26</v>
      </c>
      <c r="E4330" s="6" t="s">
        <v>282</v>
      </c>
      <c r="F4330" s="6">
        <v>9.909053909E9</v>
      </c>
    </row>
    <row r="4331" ht="15.75" customHeight="1">
      <c r="A4331" s="6" t="s">
        <v>3837</v>
      </c>
      <c r="B4331" s="6" t="s">
        <v>3207</v>
      </c>
      <c r="C4331" s="6" t="s">
        <v>3445</v>
      </c>
      <c r="D4331" s="6" t="s">
        <v>14</v>
      </c>
      <c r="E4331" s="6" t="s">
        <v>282</v>
      </c>
      <c r="F4331" s="6">
        <v>9.426407414E9</v>
      </c>
    </row>
    <row r="4332" ht="15.75" customHeight="1">
      <c r="A4332" s="6" t="s">
        <v>146</v>
      </c>
      <c r="B4332" s="6" t="s">
        <v>21</v>
      </c>
      <c r="C4332" s="6" t="s">
        <v>3838</v>
      </c>
      <c r="D4332" s="6" t="s">
        <v>56</v>
      </c>
      <c r="E4332" s="6" t="s">
        <v>282</v>
      </c>
      <c r="F4332" s="6">
        <v>9.824564911E9</v>
      </c>
    </row>
    <row r="4333" ht="15.75" customHeight="1">
      <c r="A4333" s="6" t="s">
        <v>3839</v>
      </c>
      <c r="B4333" s="6" t="s">
        <v>3840</v>
      </c>
      <c r="C4333" s="6" t="s">
        <v>3828</v>
      </c>
      <c r="D4333" s="6" t="s">
        <v>14</v>
      </c>
      <c r="E4333" s="6" t="s">
        <v>282</v>
      </c>
      <c r="F4333" s="6">
        <v>9.824018728E9</v>
      </c>
    </row>
    <row r="4334" ht="15.75" customHeight="1">
      <c r="A4334" s="6" t="s">
        <v>3725</v>
      </c>
      <c r="B4334" s="6" t="s">
        <v>78</v>
      </c>
      <c r="C4334" s="6" t="s">
        <v>3826</v>
      </c>
      <c r="D4334" s="6" t="s">
        <v>9</v>
      </c>
      <c r="E4334" s="6" t="s">
        <v>282</v>
      </c>
      <c r="F4334" s="6">
        <v>9.825714677E9</v>
      </c>
    </row>
    <row r="4335" ht="15.75" customHeight="1">
      <c r="A4335" s="6" t="s">
        <v>3841</v>
      </c>
      <c r="B4335" s="6" t="s">
        <v>78</v>
      </c>
      <c r="C4335" s="6" t="s">
        <v>3842</v>
      </c>
      <c r="D4335" s="6" t="s">
        <v>26</v>
      </c>
      <c r="E4335" s="6" t="s">
        <v>282</v>
      </c>
      <c r="F4335" s="6">
        <v>9.72376661E9</v>
      </c>
    </row>
    <row r="4336" ht="15.75" customHeight="1">
      <c r="A4336" s="6" t="s">
        <v>3843</v>
      </c>
      <c r="B4336" s="6" t="s">
        <v>78</v>
      </c>
      <c r="C4336" s="6" t="s">
        <v>2724</v>
      </c>
      <c r="D4336" s="6" t="s">
        <v>14</v>
      </c>
      <c r="E4336" s="6" t="s">
        <v>282</v>
      </c>
      <c r="F4336" s="6">
        <v>9.825123669E9</v>
      </c>
    </row>
    <row r="4337" ht="15.75" customHeight="1">
      <c r="A4337" s="6" t="s">
        <v>3844</v>
      </c>
      <c r="B4337" s="6" t="s">
        <v>1357</v>
      </c>
      <c r="C4337" s="6" t="s">
        <v>3830</v>
      </c>
      <c r="D4337" s="6" t="s">
        <v>44</v>
      </c>
      <c r="E4337" s="6" t="s">
        <v>282</v>
      </c>
      <c r="F4337" s="6">
        <v>9.374111184E9</v>
      </c>
    </row>
    <row r="4338" ht="15.75" customHeight="1">
      <c r="A4338" s="6" t="s">
        <v>3845</v>
      </c>
      <c r="B4338" s="6" t="s">
        <v>3846</v>
      </c>
      <c r="C4338" s="6" t="s">
        <v>3847</v>
      </c>
      <c r="D4338" s="6" t="s">
        <v>26</v>
      </c>
      <c r="E4338" s="6" t="s">
        <v>282</v>
      </c>
      <c r="F4338" s="6">
        <v>9.32134886E9</v>
      </c>
    </row>
    <row r="4339" ht="15.75" customHeight="1">
      <c r="A4339" s="6" t="s">
        <v>3848</v>
      </c>
      <c r="B4339" s="6" t="s">
        <v>78</v>
      </c>
      <c r="C4339" s="6" t="s">
        <v>3842</v>
      </c>
      <c r="D4339" s="6" t="s">
        <v>26</v>
      </c>
      <c r="E4339" s="6" t="s">
        <v>282</v>
      </c>
      <c r="F4339" s="6">
        <v>9.662697097E9</v>
      </c>
    </row>
    <row r="4340" ht="15.75" customHeight="1">
      <c r="A4340" s="6" t="s">
        <v>3849</v>
      </c>
      <c r="B4340" s="6" t="s">
        <v>440</v>
      </c>
      <c r="C4340" s="6" t="s">
        <v>3850</v>
      </c>
      <c r="D4340" s="6" t="s">
        <v>14</v>
      </c>
      <c r="E4340" s="6" t="s">
        <v>282</v>
      </c>
      <c r="F4340" s="6">
        <v>9.998793758E9</v>
      </c>
    </row>
    <row r="4341" ht="15.75" customHeight="1">
      <c r="A4341" s="6" t="s">
        <v>3851</v>
      </c>
      <c r="B4341" s="6" t="s">
        <v>2181</v>
      </c>
      <c r="C4341" s="6" t="s">
        <v>2653</v>
      </c>
      <c r="D4341" s="6" t="s">
        <v>44</v>
      </c>
      <c r="E4341" s="6" t="s">
        <v>282</v>
      </c>
      <c r="F4341" s="6">
        <v>9.723833044E9</v>
      </c>
    </row>
    <row r="4342" ht="15.75" customHeight="1">
      <c r="A4342" s="6" t="s">
        <v>3852</v>
      </c>
      <c r="B4342" s="6" t="s">
        <v>3207</v>
      </c>
      <c r="C4342" s="6" t="s">
        <v>2753</v>
      </c>
      <c r="D4342" s="6" t="s">
        <v>14</v>
      </c>
      <c r="E4342" s="6" t="s">
        <v>282</v>
      </c>
      <c r="F4342" s="6">
        <v>9.824568707E9</v>
      </c>
    </row>
    <row r="4343" ht="15.75" customHeight="1">
      <c r="A4343" s="6" t="s">
        <v>3853</v>
      </c>
      <c r="B4343" s="6" t="s">
        <v>1460</v>
      </c>
      <c r="C4343" s="6" t="s">
        <v>3854</v>
      </c>
      <c r="D4343" s="6" t="s">
        <v>26</v>
      </c>
      <c r="E4343" s="6" t="s">
        <v>282</v>
      </c>
      <c r="F4343" s="6">
        <v>9.825506733E9</v>
      </c>
    </row>
    <row r="4344" ht="15.75" customHeight="1">
      <c r="A4344" s="6" t="s">
        <v>3773</v>
      </c>
      <c r="B4344" s="6" t="s">
        <v>675</v>
      </c>
      <c r="C4344" s="6" t="s">
        <v>2739</v>
      </c>
      <c r="D4344" s="6" t="s">
        <v>26</v>
      </c>
      <c r="E4344" s="6" t="s">
        <v>282</v>
      </c>
      <c r="F4344" s="6">
        <v>9.879619542E9</v>
      </c>
    </row>
    <row r="4345" ht="15.75" customHeight="1">
      <c r="A4345" s="6" t="s">
        <v>1573</v>
      </c>
      <c r="B4345" s="6" t="s">
        <v>2015</v>
      </c>
      <c r="C4345" s="6" t="s">
        <v>341</v>
      </c>
      <c r="D4345" s="6" t="s">
        <v>26</v>
      </c>
      <c r="E4345" s="6" t="s">
        <v>255</v>
      </c>
      <c r="F4345" s="6">
        <v>8.294635588E9</v>
      </c>
    </row>
    <row r="4346" ht="15.75" customHeight="1">
      <c r="A4346" s="6" t="s">
        <v>3855</v>
      </c>
      <c r="B4346" s="6" t="s">
        <v>3856</v>
      </c>
      <c r="C4346" s="6" t="s">
        <v>3793</v>
      </c>
      <c r="D4346" s="6" t="s">
        <v>44</v>
      </c>
      <c r="E4346" s="6" t="s">
        <v>282</v>
      </c>
      <c r="F4346" s="6">
        <v>9.428118791E9</v>
      </c>
    </row>
    <row r="4347" ht="15.75" customHeight="1">
      <c r="A4347" s="6" t="s">
        <v>3857</v>
      </c>
      <c r="B4347" s="6" t="s">
        <v>3858</v>
      </c>
      <c r="C4347" s="6" t="s">
        <v>3859</v>
      </c>
      <c r="D4347" s="6" t="s">
        <v>29</v>
      </c>
      <c r="E4347" s="6" t="s">
        <v>282</v>
      </c>
      <c r="F4347" s="6">
        <v>9.824200899E9</v>
      </c>
    </row>
    <row r="4348" ht="15.75" customHeight="1">
      <c r="A4348" s="6" t="s">
        <v>3860</v>
      </c>
      <c r="B4348" s="6" t="s">
        <v>3861</v>
      </c>
      <c r="C4348" s="6" t="s">
        <v>3862</v>
      </c>
      <c r="D4348" s="6" t="s">
        <v>26</v>
      </c>
      <c r="E4348" s="6" t="s">
        <v>3863</v>
      </c>
      <c r="F4348" s="6">
        <v>9.322770618E9</v>
      </c>
    </row>
    <row r="4349" ht="15.75" customHeight="1">
      <c r="A4349" s="6" t="s">
        <v>3864</v>
      </c>
      <c r="B4349" s="6" t="s">
        <v>3126</v>
      </c>
      <c r="C4349" s="6" t="s">
        <v>3135</v>
      </c>
      <c r="D4349" s="6" t="s">
        <v>56</v>
      </c>
      <c r="E4349" s="6" t="s">
        <v>3395</v>
      </c>
      <c r="F4349" s="6">
        <v>9.746155155E9</v>
      </c>
    </row>
    <row r="4350" ht="15.75" customHeight="1">
      <c r="A4350" s="6" t="s">
        <v>3430</v>
      </c>
      <c r="B4350" s="6" t="s">
        <v>3865</v>
      </c>
      <c r="C4350" s="6" t="s">
        <v>3135</v>
      </c>
      <c r="D4350" s="6" t="s">
        <v>14</v>
      </c>
      <c r="E4350" s="6" t="s">
        <v>3395</v>
      </c>
      <c r="F4350" s="6">
        <v>8.758740361E9</v>
      </c>
    </row>
    <row r="4351" ht="15.75" customHeight="1">
      <c r="A4351" s="6" t="s">
        <v>3866</v>
      </c>
      <c r="B4351" s="6" t="s">
        <v>3866</v>
      </c>
      <c r="C4351" s="6" t="s">
        <v>3867</v>
      </c>
      <c r="D4351" s="6" t="s">
        <v>56</v>
      </c>
      <c r="E4351" s="6" t="s">
        <v>3395</v>
      </c>
      <c r="F4351" s="6">
        <v>9.714000581E9</v>
      </c>
    </row>
    <row r="4352" ht="15.75" customHeight="1">
      <c r="A4352" s="6" t="s">
        <v>3868</v>
      </c>
      <c r="B4352" s="6" t="s">
        <v>2951</v>
      </c>
      <c r="C4352" s="6" t="s">
        <v>3146</v>
      </c>
      <c r="D4352" s="6" t="s">
        <v>56</v>
      </c>
      <c r="E4352" s="6" t="s">
        <v>3395</v>
      </c>
      <c r="F4352" s="6">
        <v>9.825926691E9</v>
      </c>
    </row>
    <row r="4353" ht="15.75" customHeight="1">
      <c r="A4353" s="6" t="s">
        <v>1092</v>
      </c>
      <c r="B4353" s="6" t="s">
        <v>50</v>
      </c>
      <c r="C4353" s="6" t="s">
        <v>3869</v>
      </c>
      <c r="D4353" s="6" t="s">
        <v>44</v>
      </c>
      <c r="E4353" s="6" t="s">
        <v>3870</v>
      </c>
      <c r="F4353" s="6">
        <v>8.8407782E9</v>
      </c>
    </row>
    <row r="4354" ht="15.75" customHeight="1">
      <c r="A4354" s="6" t="s">
        <v>3871</v>
      </c>
      <c r="B4354" s="6" t="s">
        <v>3872</v>
      </c>
      <c r="C4354" s="6" t="s">
        <v>3135</v>
      </c>
      <c r="D4354" s="6" t="s">
        <v>44</v>
      </c>
      <c r="E4354" s="6" t="s">
        <v>3395</v>
      </c>
      <c r="F4354" s="6">
        <v>9.811610004E9</v>
      </c>
    </row>
    <row r="4355" ht="15.75" customHeight="1">
      <c r="A4355" s="6" t="s">
        <v>3873</v>
      </c>
      <c r="B4355" s="6" t="s">
        <v>3420</v>
      </c>
      <c r="C4355" s="6" t="s">
        <v>3135</v>
      </c>
      <c r="D4355" s="6" t="s">
        <v>14</v>
      </c>
      <c r="E4355" s="6" t="s">
        <v>3395</v>
      </c>
      <c r="F4355" s="6">
        <v>9.374102288E9</v>
      </c>
    </row>
    <row r="4356" ht="15.75" customHeight="1">
      <c r="A4356" s="6" t="s">
        <v>3874</v>
      </c>
      <c r="B4356" s="6" t="s">
        <v>3420</v>
      </c>
      <c r="C4356" s="6" t="s">
        <v>3448</v>
      </c>
      <c r="D4356" s="6" t="s">
        <v>14</v>
      </c>
      <c r="E4356" s="6" t="s">
        <v>3395</v>
      </c>
      <c r="F4356" s="6">
        <v>9.824000233E9</v>
      </c>
    </row>
    <row r="4357" ht="15.75" customHeight="1">
      <c r="A4357" s="6" t="s">
        <v>2374</v>
      </c>
      <c r="B4357" s="6" t="s">
        <v>3875</v>
      </c>
      <c r="C4357" s="6" t="s">
        <v>3876</v>
      </c>
      <c r="D4357" s="6" t="s">
        <v>56</v>
      </c>
      <c r="E4357" s="6" t="s">
        <v>494</v>
      </c>
      <c r="F4357" s="6">
        <v>9.999625629E9</v>
      </c>
    </row>
    <row r="4358" ht="15.75" customHeight="1">
      <c r="A4358" s="6" t="s">
        <v>33</v>
      </c>
      <c r="B4358" s="6" t="s">
        <v>78</v>
      </c>
      <c r="C4358" s="6" t="s">
        <v>2739</v>
      </c>
      <c r="D4358" s="6" t="s">
        <v>26</v>
      </c>
      <c r="E4358" s="6" t="s">
        <v>282</v>
      </c>
      <c r="F4358" s="6">
        <v>7.984070692E9</v>
      </c>
    </row>
    <row r="4359" ht="15.75" customHeight="1">
      <c r="A4359" s="6" t="s">
        <v>3877</v>
      </c>
      <c r="B4359" s="6" t="s">
        <v>3878</v>
      </c>
      <c r="C4359" s="6" t="s">
        <v>3812</v>
      </c>
      <c r="D4359" s="6" t="s">
        <v>14</v>
      </c>
      <c r="E4359" s="6" t="s">
        <v>282</v>
      </c>
      <c r="F4359" s="6">
        <v>9.624701787E9</v>
      </c>
    </row>
    <row r="4360" ht="15.75" customHeight="1">
      <c r="A4360" s="6" t="s">
        <v>3879</v>
      </c>
      <c r="B4360" s="6" t="s">
        <v>3880</v>
      </c>
      <c r="C4360" s="6" t="s">
        <v>3881</v>
      </c>
      <c r="D4360" s="6" t="s">
        <v>29</v>
      </c>
      <c r="E4360" s="6" t="s">
        <v>282</v>
      </c>
      <c r="F4360" s="6">
        <v>9.924666454E9</v>
      </c>
    </row>
    <row r="4361" ht="15.75" customHeight="1">
      <c r="A4361" s="6" t="s">
        <v>3882</v>
      </c>
      <c r="B4361" s="6" t="s">
        <v>3883</v>
      </c>
      <c r="C4361" s="6" t="s">
        <v>3884</v>
      </c>
      <c r="D4361" s="6" t="s">
        <v>14</v>
      </c>
      <c r="E4361" s="6" t="s">
        <v>282</v>
      </c>
      <c r="F4361" s="6">
        <v>9.825701129E9</v>
      </c>
    </row>
    <row r="4362" ht="15.75" customHeight="1">
      <c r="A4362" s="6" t="s">
        <v>3625</v>
      </c>
      <c r="B4362" s="6" t="s">
        <v>3885</v>
      </c>
      <c r="C4362" s="6" t="s">
        <v>2739</v>
      </c>
      <c r="D4362" s="6" t="s">
        <v>14</v>
      </c>
      <c r="E4362" s="6" t="s">
        <v>282</v>
      </c>
      <c r="F4362" s="6">
        <v>9.624900215E9</v>
      </c>
    </row>
    <row r="4363" ht="15.75" customHeight="1">
      <c r="A4363" s="6" t="s">
        <v>2346</v>
      </c>
      <c r="B4363" s="6" t="s">
        <v>3886</v>
      </c>
      <c r="C4363" s="6" t="s">
        <v>3887</v>
      </c>
      <c r="D4363" s="6" t="s">
        <v>14</v>
      </c>
      <c r="E4363" s="6" t="s">
        <v>282</v>
      </c>
      <c r="F4363" s="6">
        <v>9.824340508E9</v>
      </c>
    </row>
    <row r="4364" ht="15.75" customHeight="1">
      <c r="A4364" s="6" t="s">
        <v>3888</v>
      </c>
      <c r="B4364" s="6" t="s">
        <v>65</v>
      </c>
      <c r="C4364" s="6" t="s">
        <v>3889</v>
      </c>
      <c r="D4364" s="6" t="s">
        <v>56</v>
      </c>
      <c r="E4364" s="6" t="s">
        <v>282</v>
      </c>
      <c r="F4364" s="6">
        <v>9.227026759E9</v>
      </c>
    </row>
    <row r="4365" ht="15.75" customHeight="1">
      <c r="A4365" s="6" t="s">
        <v>189</v>
      </c>
      <c r="B4365" s="6" t="s">
        <v>3880</v>
      </c>
      <c r="C4365" s="6" t="s">
        <v>3890</v>
      </c>
      <c r="D4365" s="6" t="s">
        <v>14</v>
      </c>
      <c r="E4365" s="6" t="s">
        <v>282</v>
      </c>
      <c r="F4365" s="6">
        <v>9.537052237E9</v>
      </c>
    </row>
    <row r="4366" ht="15.75" customHeight="1">
      <c r="A4366" s="6" t="s">
        <v>3358</v>
      </c>
      <c r="B4366" s="6" t="s">
        <v>675</v>
      </c>
      <c r="C4366" s="6" t="s">
        <v>3793</v>
      </c>
      <c r="D4366" s="6" t="s">
        <v>9</v>
      </c>
      <c r="E4366" s="6" t="s">
        <v>282</v>
      </c>
      <c r="F4366" s="6">
        <v>7.600511906E9</v>
      </c>
    </row>
    <row r="4367" ht="15.75" customHeight="1">
      <c r="A4367" s="6" t="s">
        <v>3891</v>
      </c>
      <c r="B4367" s="6" t="s">
        <v>3892</v>
      </c>
      <c r="C4367" s="6" t="s">
        <v>2793</v>
      </c>
      <c r="D4367" s="6" t="s">
        <v>14</v>
      </c>
      <c r="E4367" s="6" t="s">
        <v>282</v>
      </c>
      <c r="F4367" s="6">
        <v>9.428105049E9</v>
      </c>
    </row>
    <row r="4368" ht="15.75" customHeight="1">
      <c r="A4368" s="6" t="s">
        <v>903</v>
      </c>
      <c r="B4368" s="6" t="s">
        <v>873</v>
      </c>
      <c r="C4368" s="6" t="s">
        <v>237</v>
      </c>
      <c r="D4368" s="6" t="s">
        <v>9</v>
      </c>
      <c r="E4368" s="6" t="s">
        <v>255</v>
      </c>
      <c r="F4368" s="6">
        <v>9.931071782E9</v>
      </c>
    </row>
    <row r="4369" ht="15.75" customHeight="1">
      <c r="A4369" s="6" t="s">
        <v>3893</v>
      </c>
      <c r="B4369" s="6" t="s">
        <v>55</v>
      </c>
      <c r="C4369" s="6" t="s">
        <v>2413</v>
      </c>
      <c r="D4369" s="6" t="s">
        <v>29</v>
      </c>
      <c r="E4369" s="6" t="s">
        <v>255</v>
      </c>
      <c r="F4369" s="6">
        <v>9.431177033E9</v>
      </c>
    </row>
    <row r="4370" ht="15.75" customHeight="1">
      <c r="A4370" s="6" t="s">
        <v>3894</v>
      </c>
      <c r="B4370" s="6" t="s">
        <v>3895</v>
      </c>
      <c r="C4370" s="6" t="s">
        <v>2793</v>
      </c>
      <c r="D4370" s="6" t="s">
        <v>26</v>
      </c>
      <c r="E4370" s="6" t="s">
        <v>282</v>
      </c>
      <c r="F4370" s="6">
        <v>9.428105049E9</v>
      </c>
    </row>
    <row r="4371" ht="15.75" customHeight="1">
      <c r="A4371" s="6" t="s">
        <v>3896</v>
      </c>
      <c r="B4371" s="6" t="s">
        <v>55</v>
      </c>
      <c r="C4371" s="6" t="s">
        <v>341</v>
      </c>
      <c r="D4371" s="6" t="s">
        <v>26</v>
      </c>
      <c r="E4371" s="6" t="s">
        <v>255</v>
      </c>
      <c r="F4371" s="6">
        <v>9.33455417E9</v>
      </c>
    </row>
    <row r="4372" ht="15.75" customHeight="1">
      <c r="A4372" s="6" t="s">
        <v>3857</v>
      </c>
      <c r="B4372" s="6" t="s">
        <v>675</v>
      </c>
      <c r="C4372" s="6" t="s">
        <v>2739</v>
      </c>
      <c r="D4372" s="6" t="s">
        <v>9</v>
      </c>
      <c r="E4372" s="6" t="s">
        <v>282</v>
      </c>
      <c r="F4372" s="6">
        <v>9.274520155E9</v>
      </c>
    </row>
    <row r="4373" ht="15.75" customHeight="1">
      <c r="A4373" s="6" t="s">
        <v>3897</v>
      </c>
      <c r="B4373" s="6" t="s">
        <v>675</v>
      </c>
      <c r="C4373" s="6" t="s">
        <v>2793</v>
      </c>
      <c r="D4373" s="6" t="s">
        <v>9</v>
      </c>
      <c r="E4373" s="6" t="s">
        <v>282</v>
      </c>
      <c r="F4373" s="6">
        <v>9.824148145E9</v>
      </c>
    </row>
    <row r="4374" ht="15.75" customHeight="1">
      <c r="A4374" s="6" t="s">
        <v>3898</v>
      </c>
      <c r="B4374" s="6" t="s">
        <v>1702</v>
      </c>
      <c r="C4374" s="6" t="s">
        <v>3828</v>
      </c>
      <c r="D4374" s="6" t="s">
        <v>14</v>
      </c>
      <c r="E4374" s="6" t="s">
        <v>282</v>
      </c>
      <c r="F4374" s="6">
        <v>9.6012709E9</v>
      </c>
    </row>
    <row r="4375" ht="15.75" customHeight="1">
      <c r="A4375" s="6" t="s">
        <v>3899</v>
      </c>
      <c r="B4375" s="6" t="s">
        <v>52</v>
      </c>
      <c r="C4375" s="6" t="s">
        <v>325</v>
      </c>
      <c r="D4375" s="6" t="s">
        <v>26</v>
      </c>
      <c r="E4375" s="6" t="s">
        <v>255</v>
      </c>
      <c r="F4375" s="6">
        <v>8.409766966E9</v>
      </c>
    </row>
    <row r="4376" ht="15.75" customHeight="1">
      <c r="A4376" s="6" t="s">
        <v>3900</v>
      </c>
      <c r="B4376" s="6" t="s">
        <v>3901</v>
      </c>
      <c r="C4376" s="6" t="s">
        <v>3902</v>
      </c>
      <c r="D4376" s="6" t="s">
        <v>26</v>
      </c>
      <c r="E4376" s="6" t="s">
        <v>282</v>
      </c>
      <c r="F4376" s="6">
        <v>9.978831791E9</v>
      </c>
    </row>
    <row r="4377" ht="15.75" customHeight="1">
      <c r="A4377" s="6" t="s">
        <v>2095</v>
      </c>
      <c r="B4377" s="6" t="s">
        <v>3903</v>
      </c>
      <c r="C4377" s="6" t="s">
        <v>325</v>
      </c>
      <c r="D4377" s="6" t="s">
        <v>9</v>
      </c>
      <c r="E4377" s="6" t="s">
        <v>255</v>
      </c>
      <c r="F4377" s="6">
        <v>9.93116051E9</v>
      </c>
    </row>
    <row r="4378" ht="15.75" customHeight="1">
      <c r="A4378" s="6" t="s">
        <v>3904</v>
      </c>
      <c r="B4378" s="6" t="s">
        <v>3319</v>
      </c>
      <c r="C4378" s="6" t="s">
        <v>3905</v>
      </c>
      <c r="D4378" s="6" t="s">
        <v>29</v>
      </c>
      <c r="E4378" s="6" t="s">
        <v>282</v>
      </c>
      <c r="F4378" s="6">
        <v>9.714919233E9</v>
      </c>
    </row>
    <row r="4379" ht="15.75" customHeight="1">
      <c r="A4379" s="6" t="s">
        <v>3906</v>
      </c>
      <c r="B4379" s="6" t="s">
        <v>3907</v>
      </c>
      <c r="C4379" s="6" t="s">
        <v>3294</v>
      </c>
      <c r="D4379" s="6" t="s">
        <v>9</v>
      </c>
      <c r="E4379" s="6" t="s">
        <v>282</v>
      </c>
      <c r="F4379" s="6">
        <v>9.978799454E9</v>
      </c>
    </row>
    <row r="4380" ht="15.75" customHeight="1">
      <c r="A4380" s="6" t="s">
        <v>3908</v>
      </c>
      <c r="B4380" s="6" t="s">
        <v>3909</v>
      </c>
      <c r="C4380" s="6" t="s">
        <v>3910</v>
      </c>
      <c r="D4380" s="6" t="s">
        <v>14</v>
      </c>
      <c r="E4380" s="6" t="s">
        <v>282</v>
      </c>
      <c r="F4380" s="6">
        <v>9.898517513E9</v>
      </c>
    </row>
    <row r="4381" ht="15.75" customHeight="1">
      <c r="A4381" s="6" t="s">
        <v>3911</v>
      </c>
      <c r="B4381" s="6" t="s">
        <v>3912</v>
      </c>
      <c r="C4381" s="6" t="s">
        <v>2762</v>
      </c>
      <c r="D4381" s="6" t="s">
        <v>9</v>
      </c>
      <c r="E4381" s="6" t="s">
        <v>282</v>
      </c>
      <c r="F4381" s="6">
        <v>8.16057558E9</v>
      </c>
    </row>
    <row r="4382" ht="15.75" customHeight="1">
      <c r="A4382" s="6" t="s">
        <v>1295</v>
      </c>
      <c r="B4382" s="6" t="s">
        <v>55</v>
      </c>
      <c r="C4382" s="6" t="s">
        <v>3913</v>
      </c>
      <c r="D4382" s="6" t="s">
        <v>44</v>
      </c>
      <c r="E4382" s="6" t="s">
        <v>282</v>
      </c>
      <c r="F4382" s="6">
        <v>9.68767603E9</v>
      </c>
    </row>
    <row r="4383" ht="15.75" customHeight="1">
      <c r="A4383" s="6" t="s">
        <v>1097</v>
      </c>
      <c r="B4383" s="6" t="s">
        <v>3914</v>
      </c>
      <c r="C4383" s="6" t="s">
        <v>3915</v>
      </c>
      <c r="D4383" s="6" t="s">
        <v>26</v>
      </c>
      <c r="E4383" s="6" t="s">
        <v>195</v>
      </c>
      <c r="F4383" s="6">
        <v>7.021495464E9</v>
      </c>
    </row>
    <row r="4384" ht="15.75" customHeight="1">
      <c r="A4384" s="6" t="s">
        <v>3385</v>
      </c>
      <c r="B4384" s="6" t="s">
        <v>153</v>
      </c>
      <c r="C4384" s="6" t="s">
        <v>3916</v>
      </c>
      <c r="D4384" s="6" t="s">
        <v>56</v>
      </c>
      <c r="E4384" s="6" t="s">
        <v>282</v>
      </c>
      <c r="F4384" s="6">
        <v>9.879197979E9</v>
      </c>
    </row>
    <row r="4385" ht="15.75" customHeight="1">
      <c r="A4385" s="6" t="s">
        <v>3917</v>
      </c>
      <c r="B4385" s="6" t="s">
        <v>982</v>
      </c>
      <c r="C4385" s="6" t="s">
        <v>3294</v>
      </c>
      <c r="D4385" s="6" t="s">
        <v>29</v>
      </c>
      <c r="E4385" s="6" t="s">
        <v>282</v>
      </c>
      <c r="F4385" s="6">
        <v>9.824413735E9</v>
      </c>
    </row>
    <row r="4386" ht="15.75" customHeight="1">
      <c r="A4386" s="6" t="s">
        <v>2374</v>
      </c>
      <c r="B4386" s="6" t="s">
        <v>108</v>
      </c>
      <c r="C4386" s="6" t="s">
        <v>3351</v>
      </c>
      <c r="D4386" s="6" t="s">
        <v>44</v>
      </c>
      <c r="E4386" s="6" t="s">
        <v>282</v>
      </c>
      <c r="F4386" s="6">
        <v>8.51006022E9</v>
      </c>
    </row>
    <row r="4387" ht="15.75" customHeight="1">
      <c r="A4387" s="6" t="s">
        <v>3918</v>
      </c>
      <c r="B4387" s="6" t="s">
        <v>108</v>
      </c>
      <c r="C4387" s="6" t="s">
        <v>3919</v>
      </c>
      <c r="D4387" s="6" t="s">
        <v>44</v>
      </c>
      <c r="E4387" s="6" t="s">
        <v>282</v>
      </c>
      <c r="F4387" s="6">
        <v>9.898538944E9</v>
      </c>
    </row>
    <row r="4388" ht="15.75" customHeight="1">
      <c r="A4388" s="6" t="s">
        <v>2592</v>
      </c>
      <c r="B4388" s="6" t="s">
        <v>3920</v>
      </c>
      <c r="C4388" s="6" t="s">
        <v>3921</v>
      </c>
      <c r="D4388" s="6" t="s">
        <v>14</v>
      </c>
      <c r="E4388" s="6" t="s">
        <v>282</v>
      </c>
      <c r="F4388" s="6">
        <v>8.141671776E9</v>
      </c>
    </row>
    <row r="4389" ht="15.75" customHeight="1">
      <c r="A4389" s="6" t="s">
        <v>125</v>
      </c>
      <c r="B4389" s="6" t="s">
        <v>3922</v>
      </c>
      <c r="C4389" s="6" t="s">
        <v>3923</v>
      </c>
      <c r="D4389" s="6" t="s">
        <v>26</v>
      </c>
      <c r="E4389" s="6" t="s">
        <v>282</v>
      </c>
      <c r="F4389" s="6">
        <v>9.979388088E9</v>
      </c>
    </row>
    <row r="4390" ht="15.75" customHeight="1">
      <c r="A4390" s="6" t="s">
        <v>3797</v>
      </c>
      <c r="B4390" s="6" t="s">
        <v>3924</v>
      </c>
      <c r="C4390" s="6" t="s">
        <v>3925</v>
      </c>
      <c r="D4390" s="6" t="s">
        <v>26</v>
      </c>
      <c r="E4390" s="6" t="s">
        <v>282</v>
      </c>
      <c r="F4390" s="6">
        <v>9.723208838E9</v>
      </c>
    </row>
    <row r="4391" ht="15.75" customHeight="1">
      <c r="A4391" s="6" t="s">
        <v>3926</v>
      </c>
      <c r="B4391" s="6" t="s">
        <v>3927</v>
      </c>
      <c r="C4391" s="6" t="s">
        <v>3928</v>
      </c>
      <c r="D4391" s="6" t="s">
        <v>26</v>
      </c>
      <c r="E4391" s="6" t="s">
        <v>19</v>
      </c>
      <c r="F4391" s="6">
        <v>9.426614294E9</v>
      </c>
    </row>
    <row r="4392" ht="15.75" customHeight="1">
      <c r="A4392" s="6" t="s">
        <v>565</v>
      </c>
      <c r="B4392" s="6" t="s">
        <v>55</v>
      </c>
      <c r="C4392" s="6" t="s">
        <v>3929</v>
      </c>
      <c r="D4392" s="6" t="s">
        <v>26</v>
      </c>
      <c r="E4392" s="6" t="s">
        <v>19</v>
      </c>
      <c r="F4392" s="6">
        <v>7.995449097E9</v>
      </c>
    </row>
    <row r="4393" ht="15.75" customHeight="1">
      <c r="A4393" s="6" t="s">
        <v>3930</v>
      </c>
      <c r="B4393" s="6" t="s">
        <v>832</v>
      </c>
      <c r="C4393" s="6" t="s">
        <v>246</v>
      </c>
      <c r="D4393" s="6" t="s">
        <v>14</v>
      </c>
      <c r="E4393" s="6" t="s">
        <v>255</v>
      </c>
      <c r="F4393" s="6">
        <v>9.015241962E9</v>
      </c>
    </row>
    <row r="4394" ht="15.75" customHeight="1">
      <c r="A4394" s="6" t="s">
        <v>120</v>
      </c>
      <c r="B4394" s="6" t="s">
        <v>55</v>
      </c>
      <c r="C4394" s="6" t="s">
        <v>3931</v>
      </c>
      <c r="D4394" s="6" t="s">
        <v>26</v>
      </c>
      <c r="E4394" s="6" t="s">
        <v>19</v>
      </c>
      <c r="F4394" s="6">
        <v>9.334708187E9</v>
      </c>
    </row>
    <row r="4395" ht="15.75" customHeight="1">
      <c r="A4395" s="6" t="s">
        <v>3932</v>
      </c>
      <c r="B4395" s="6" t="s">
        <v>832</v>
      </c>
      <c r="C4395" s="6" t="s">
        <v>83</v>
      </c>
      <c r="D4395" s="6" t="s">
        <v>44</v>
      </c>
      <c r="E4395" s="6" t="s">
        <v>255</v>
      </c>
      <c r="F4395" s="6">
        <v>9.015241962E9</v>
      </c>
    </row>
    <row r="4396" ht="15.75" customHeight="1">
      <c r="A4396" s="6" t="s">
        <v>3933</v>
      </c>
      <c r="B4396" s="6" t="s">
        <v>50</v>
      </c>
      <c r="C4396" s="6" t="s">
        <v>1458</v>
      </c>
      <c r="D4396" s="6" t="s">
        <v>26</v>
      </c>
      <c r="E4396" s="6" t="s">
        <v>19</v>
      </c>
      <c r="F4396" s="6">
        <v>9.939131673E9</v>
      </c>
    </row>
    <row r="4397" ht="15.75" customHeight="1">
      <c r="A4397" s="6" t="s">
        <v>3934</v>
      </c>
      <c r="B4397" s="6" t="s">
        <v>3935</v>
      </c>
      <c r="C4397" s="6" t="s">
        <v>83</v>
      </c>
      <c r="D4397" s="6" t="s">
        <v>56</v>
      </c>
      <c r="E4397" s="6" t="s">
        <v>19</v>
      </c>
      <c r="F4397" s="6">
        <v>8.682523132E9</v>
      </c>
    </row>
    <row r="4398" ht="15.75" customHeight="1">
      <c r="A4398" s="6" t="s">
        <v>1255</v>
      </c>
      <c r="B4398" s="6" t="s">
        <v>63</v>
      </c>
      <c r="C4398" s="6" t="s">
        <v>83</v>
      </c>
      <c r="D4398" s="6" t="s">
        <v>44</v>
      </c>
      <c r="E4398" s="6" t="s">
        <v>19</v>
      </c>
      <c r="F4398" s="6">
        <v>6.209210331E9</v>
      </c>
    </row>
    <row r="4399" ht="15.75" customHeight="1">
      <c r="A4399" s="6" t="s">
        <v>3936</v>
      </c>
      <c r="B4399" s="6" t="s">
        <v>269</v>
      </c>
      <c r="C4399" s="6" t="s">
        <v>230</v>
      </c>
      <c r="D4399" s="6" t="s">
        <v>9</v>
      </c>
      <c r="E4399" s="6" t="s">
        <v>19</v>
      </c>
      <c r="F4399" s="6">
        <v>8.200892288E9</v>
      </c>
    </row>
    <row r="4400" ht="15.75" customHeight="1">
      <c r="A4400" s="6" t="s">
        <v>3937</v>
      </c>
      <c r="B4400" s="6" t="s">
        <v>241</v>
      </c>
      <c r="C4400" s="6" t="s">
        <v>3929</v>
      </c>
      <c r="D4400" s="6" t="s">
        <v>26</v>
      </c>
      <c r="E4400" s="6" t="s">
        <v>19</v>
      </c>
      <c r="F4400" s="6">
        <v>8.051711111E9</v>
      </c>
    </row>
    <row r="4401" ht="15.75" customHeight="1">
      <c r="A4401" s="6" t="s">
        <v>264</v>
      </c>
      <c r="B4401" s="6" t="s">
        <v>3938</v>
      </c>
      <c r="C4401" s="6" t="s">
        <v>235</v>
      </c>
      <c r="D4401" s="6" t="s">
        <v>26</v>
      </c>
      <c r="E4401" s="6" t="s">
        <v>19</v>
      </c>
      <c r="F4401" s="6">
        <v>9.204335737E9</v>
      </c>
    </row>
    <row r="4402" ht="15.75" customHeight="1">
      <c r="A4402" s="6" t="s">
        <v>1238</v>
      </c>
      <c r="B4402" s="6" t="s">
        <v>55</v>
      </c>
      <c r="C4402" s="6" t="s">
        <v>274</v>
      </c>
      <c r="D4402" s="6" t="s">
        <v>44</v>
      </c>
      <c r="E4402" s="6" t="s">
        <v>255</v>
      </c>
      <c r="F4402" s="6">
        <v>9.835996671E9</v>
      </c>
    </row>
    <row r="4403" ht="15.75" customHeight="1">
      <c r="A4403" s="6" t="s">
        <v>120</v>
      </c>
      <c r="B4403" s="6" t="s">
        <v>606</v>
      </c>
      <c r="C4403" s="6" t="s">
        <v>83</v>
      </c>
      <c r="D4403" s="6" t="s">
        <v>26</v>
      </c>
      <c r="E4403" s="6" t="s">
        <v>19</v>
      </c>
      <c r="F4403" s="6">
        <v>9.608514755E9</v>
      </c>
    </row>
    <row r="4404" ht="15.75" customHeight="1">
      <c r="A4404" s="6" t="s">
        <v>3939</v>
      </c>
      <c r="B4404" s="6" t="s">
        <v>88</v>
      </c>
      <c r="C4404" s="6" t="s">
        <v>2123</v>
      </c>
      <c r="D4404" s="6" t="s">
        <v>26</v>
      </c>
      <c r="E4404" s="6" t="s">
        <v>255</v>
      </c>
      <c r="F4404" s="6">
        <v>9.122529337E9</v>
      </c>
    </row>
    <row r="4405" ht="15.75" customHeight="1">
      <c r="A4405" s="6" t="s">
        <v>159</v>
      </c>
      <c r="B4405" s="6" t="s">
        <v>55</v>
      </c>
      <c r="C4405" s="6" t="s">
        <v>2418</v>
      </c>
      <c r="D4405" s="6" t="s">
        <v>56</v>
      </c>
      <c r="E4405" s="6" t="s">
        <v>255</v>
      </c>
      <c r="F4405" s="6">
        <v>7.909014884E9</v>
      </c>
    </row>
    <row r="4406" ht="15.75" customHeight="1">
      <c r="A4406" s="6" t="s">
        <v>764</v>
      </c>
      <c r="B4406" s="6" t="s">
        <v>212</v>
      </c>
      <c r="C4406" s="6" t="s">
        <v>235</v>
      </c>
      <c r="D4406" s="6" t="s">
        <v>9</v>
      </c>
      <c r="E4406" s="6" t="s">
        <v>19</v>
      </c>
      <c r="F4406" s="6">
        <v>9.74252957E9</v>
      </c>
    </row>
    <row r="4407" ht="15.75" customHeight="1">
      <c r="A4407" s="6" t="s">
        <v>866</v>
      </c>
      <c r="B4407" s="6" t="s">
        <v>50</v>
      </c>
      <c r="C4407" s="6" t="s">
        <v>1004</v>
      </c>
      <c r="D4407" s="6" t="s">
        <v>56</v>
      </c>
      <c r="E4407" s="6" t="s">
        <v>19</v>
      </c>
      <c r="F4407" s="6">
        <v>7.659446112E9</v>
      </c>
    </row>
    <row r="4408" ht="15.75" customHeight="1">
      <c r="A4408" s="6" t="s">
        <v>1340</v>
      </c>
      <c r="B4408" s="6" t="s">
        <v>559</v>
      </c>
      <c r="C4408" s="6" t="s">
        <v>58</v>
      </c>
      <c r="D4408" s="6" t="s">
        <v>44</v>
      </c>
      <c r="E4408" s="6" t="s">
        <v>19</v>
      </c>
      <c r="F4408" s="6">
        <v>8.868876794E9</v>
      </c>
    </row>
    <row r="4409" ht="15.75" customHeight="1">
      <c r="A4409" s="6" t="s">
        <v>1238</v>
      </c>
      <c r="B4409" s="6" t="s">
        <v>55</v>
      </c>
      <c r="C4409" s="6" t="s">
        <v>325</v>
      </c>
      <c r="D4409" s="6" t="s">
        <v>26</v>
      </c>
      <c r="E4409" s="6" t="s">
        <v>255</v>
      </c>
      <c r="F4409" s="6">
        <v>8.210194964E9</v>
      </c>
    </row>
    <row r="4410" ht="15.75" customHeight="1">
      <c r="A4410" s="6" t="s">
        <v>3940</v>
      </c>
      <c r="B4410" s="6" t="s">
        <v>3941</v>
      </c>
      <c r="C4410" s="6" t="s">
        <v>246</v>
      </c>
      <c r="D4410" s="6" t="s">
        <v>14</v>
      </c>
      <c r="E4410" s="6" t="s">
        <v>19</v>
      </c>
      <c r="F4410" s="6">
        <v>9.544510196E9</v>
      </c>
    </row>
    <row r="4411" ht="15.75" customHeight="1">
      <c r="A4411" s="6" t="s">
        <v>2540</v>
      </c>
      <c r="B4411" s="6" t="s">
        <v>212</v>
      </c>
      <c r="C4411" s="6" t="s">
        <v>576</v>
      </c>
      <c r="D4411" s="6" t="s">
        <v>26</v>
      </c>
      <c r="E4411" s="6" t="s">
        <v>255</v>
      </c>
      <c r="F4411" s="6">
        <v>9.905325649E9</v>
      </c>
    </row>
    <row r="4412" ht="15.75" customHeight="1">
      <c r="A4412" s="6" t="s">
        <v>1660</v>
      </c>
      <c r="B4412" s="6" t="s">
        <v>50</v>
      </c>
      <c r="C4412" s="6" t="s">
        <v>3942</v>
      </c>
      <c r="D4412" s="6" t="s">
        <v>26</v>
      </c>
      <c r="E4412" s="6" t="s">
        <v>19</v>
      </c>
      <c r="F4412" s="6">
        <v>9.308878715E9</v>
      </c>
    </row>
    <row r="4413" ht="15.75" customHeight="1">
      <c r="A4413" s="6" t="s">
        <v>3943</v>
      </c>
      <c r="B4413" s="6" t="s">
        <v>199</v>
      </c>
      <c r="C4413" s="6" t="s">
        <v>235</v>
      </c>
      <c r="D4413" s="6" t="s">
        <v>56</v>
      </c>
      <c r="E4413" s="6" t="s">
        <v>19</v>
      </c>
      <c r="F4413" s="6">
        <v>9.431382112E9</v>
      </c>
    </row>
    <row r="4414" ht="15.75" customHeight="1">
      <c r="A4414" s="6" t="s">
        <v>1609</v>
      </c>
      <c r="B4414" s="6" t="s">
        <v>815</v>
      </c>
      <c r="C4414" s="6" t="s">
        <v>325</v>
      </c>
      <c r="D4414" s="6" t="s">
        <v>26</v>
      </c>
      <c r="E4414" s="6" t="s">
        <v>255</v>
      </c>
      <c r="F4414" s="6">
        <v>9.608388299E9</v>
      </c>
    </row>
    <row r="4415" ht="15.75" customHeight="1">
      <c r="A4415" s="6" t="s">
        <v>3944</v>
      </c>
      <c r="B4415" s="6" t="s">
        <v>3403</v>
      </c>
      <c r="C4415" s="6" t="s">
        <v>83</v>
      </c>
      <c r="D4415" s="6" t="s">
        <v>26</v>
      </c>
      <c r="E4415" s="6" t="s">
        <v>19</v>
      </c>
      <c r="F4415" s="6">
        <v>8.072954951E9</v>
      </c>
    </row>
    <row r="4416" ht="15.75" customHeight="1">
      <c r="A4416" s="6" t="s">
        <v>892</v>
      </c>
      <c r="B4416" s="6" t="s">
        <v>52</v>
      </c>
      <c r="C4416" s="6" t="s">
        <v>341</v>
      </c>
      <c r="D4416" s="6" t="s">
        <v>56</v>
      </c>
      <c r="E4416" s="6" t="s">
        <v>255</v>
      </c>
      <c r="F4416" s="6">
        <v>9.852014555E9</v>
      </c>
    </row>
    <row r="4417" ht="15.75" customHeight="1">
      <c r="A4417" s="6" t="s">
        <v>3945</v>
      </c>
      <c r="B4417" s="6" t="s">
        <v>832</v>
      </c>
      <c r="C4417" s="6" t="s">
        <v>83</v>
      </c>
      <c r="D4417" s="6" t="s">
        <v>44</v>
      </c>
      <c r="E4417" s="6" t="s">
        <v>255</v>
      </c>
      <c r="F4417" s="6">
        <v>6.208708758E9</v>
      </c>
    </row>
    <row r="4418" ht="15.75" customHeight="1">
      <c r="A4418" s="6" t="s">
        <v>3946</v>
      </c>
      <c r="B4418" s="6" t="s">
        <v>3947</v>
      </c>
      <c r="C4418" s="6" t="s">
        <v>1375</v>
      </c>
      <c r="D4418" s="6" t="s">
        <v>56</v>
      </c>
      <c r="E4418" s="6" t="s">
        <v>19</v>
      </c>
      <c r="F4418" s="6">
        <v>9.546093104E9</v>
      </c>
    </row>
    <row r="4419" ht="15.75" customHeight="1">
      <c r="A4419" s="6" t="s">
        <v>1201</v>
      </c>
      <c r="B4419" s="6" t="s">
        <v>269</v>
      </c>
      <c r="C4419" s="6" t="s">
        <v>576</v>
      </c>
      <c r="D4419" s="6" t="s">
        <v>44</v>
      </c>
      <c r="E4419" s="6" t="s">
        <v>255</v>
      </c>
      <c r="F4419" s="6">
        <v>9.905729461E9</v>
      </c>
    </row>
    <row r="4420" ht="15.75" customHeight="1">
      <c r="A4420" s="6" t="s">
        <v>96</v>
      </c>
      <c r="B4420" s="6" t="s">
        <v>3948</v>
      </c>
      <c r="C4420" s="6" t="s">
        <v>210</v>
      </c>
      <c r="D4420" s="6" t="s">
        <v>56</v>
      </c>
      <c r="E4420" s="6" t="s">
        <v>19</v>
      </c>
      <c r="F4420" s="6">
        <v>8.817291398E9</v>
      </c>
    </row>
    <row r="4421" ht="15.75" customHeight="1">
      <c r="A4421" s="6" t="s">
        <v>2245</v>
      </c>
      <c r="B4421" s="6" t="s">
        <v>55</v>
      </c>
      <c r="C4421" s="6" t="s">
        <v>325</v>
      </c>
      <c r="D4421" s="6" t="s">
        <v>56</v>
      </c>
      <c r="E4421" s="6" t="s">
        <v>255</v>
      </c>
      <c r="F4421" s="6">
        <v>7.004067795E9</v>
      </c>
    </row>
    <row r="4422" ht="15.75" customHeight="1">
      <c r="A4422" s="6" t="s">
        <v>3949</v>
      </c>
      <c r="B4422" s="6" t="s">
        <v>3950</v>
      </c>
      <c r="C4422" s="6" t="s">
        <v>210</v>
      </c>
      <c r="D4422" s="6" t="s">
        <v>44</v>
      </c>
      <c r="E4422" s="6" t="s">
        <v>19</v>
      </c>
      <c r="F4422" s="6">
        <v>7.009185148E9</v>
      </c>
    </row>
    <row r="4423" ht="15.75" customHeight="1">
      <c r="A4423" s="6" t="s">
        <v>298</v>
      </c>
      <c r="B4423" s="6" t="s">
        <v>88</v>
      </c>
      <c r="C4423" s="6" t="s">
        <v>325</v>
      </c>
      <c r="D4423" s="6" t="s">
        <v>26</v>
      </c>
      <c r="E4423" s="6" t="s">
        <v>255</v>
      </c>
      <c r="F4423" s="6">
        <v>9.33448752E9</v>
      </c>
    </row>
    <row r="4424" ht="15.75" customHeight="1">
      <c r="A4424" s="6" t="s">
        <v>3951</v>
      </c>
      <c r="B4424" s="6" t="s">
        <v>55</v>
      </c>
      <c r="C4424" s="6" t="s">
        <v>3952</v>
      </c>
      <c r="D4424" s="6" t="s">
        <v>26</v>
      </c>
      <c r="E4424" s="6" t="s">
        <v>19</v>
      </c>
      <c r="F4424" s="6">
        <v>9.431382112E9</v>
      </c>
    </row>
    <row r="4425" ht="15.75" customHeight="1">
      <c r="A4425" s="6" t="s">
        <v>3953</v>
      </c>
      <c r="B4425" s="6" t="s">
        <v>212</v>
      </c>
      <c r="C4425" s="6" t="s">
        <v>2561</v>
      </c>
      <c r="D4425" s="6" t="s">
        <v>29</v>
      </c>
      <c r="E4425" s="6" t="s">
        <v>255</v>
      </c>
      <c r="F4425" s="6">
        <v>8.986788049E9</v>
      </c>
    </row>
    <row r="4426" ht="15.75" customHeight="1">
      <c r="A4426" s="6" t="s">
        <v>125</v>
      </c>
      <c r="B4426" s="6" t="s">
        <v>764</v>
      </c>
      <c r="C4426" s="6" t="s">
        <v>246</v>
      </c>
      <c r="D4426" s="6" t="s">
        <v>14</v>
      </c>
      <c r="E4426" s="6" t="s">
        <v>19</v>
      </c>
      <c r="F4426" s="6">
        <v>9.920523512E9</v>
      </c>
    </row>
    <row r="4427" ht="15.75" customHeight="1">
      <c r="A4427" s="6" t="s">
        <v>3954</v>
      </c>
      <c r="B4427" s="6" t="s">
        <v>3955</v>
      </c>
      <c r="C4427" s="6" t="s">
        <v>556</v>
      </c>
      <c r="D4427" s="6" t="s">
        <v>26</v>
      </c>
      <c r="E4427" s="6" t="s">
        <v>255</v>
      </c>
      <c r="F4427" s="6">
        <v>6.203298883E9</v>
      </c>
    </row>
    <row r="4428" ht="15.75" customHeight="1">
      <c r="A4428" s="6" t="s">
        <v>3956</v>
      </c>
      <c r="B4428" s="6" t="s">
        <v>55</v>
      </c>
      <c r="C4428" s="6" t="s">
        <v>325</v>
      </c>
      <c r="D4428" s="6" t="s">
        <v>26</v>
      </c>
      <c r="E4428" s="6" t="s">
        <v>255</v>
      </c>
      <c r="F4428" s="6">
        <v>7.004749658E9</v>
      </c>
    </row>
    <row r="4429" ht="15.75" customHeight="1">
      <c r="A4429" s="6" t="s">
        <v>3957</v>
      </c>
      <c r="B4429" s="6" t="s">
        <v>1134</v>
      </c>
      <c r="C4429" s="6" t="s">
        <v>83</v>
      </c>
      <c r="D4429" s="6" t="s">
        <v>14</v>
      </c>
      <c r="E4429" s="6" t="s">
        <v>255</v>
      </c>
      <c r="F4429" s="6">
        <v>7.009185148E9</v>
      </c>
    </row>
    <row r="4430" ht="15.75" customHeight="1">
      <c r="A4430" s="6" t="s">
        <v>1030</v>
      </c>
      <c r="B4430" s="6" t="s">
        <v>52</v>
      </c>
      <c r="C4430" s="6" t="s">
        <v>599</v>
      </c>
      <c r="D4430" s="6" t="s">
        <v>56</v>
      </c>
      <c r="E4430" s="6" t="s">
        <v>255</v>
      </c>
      <c r="F4430" s="6">
        <v>8.340355874E9</v>
      </c>
    </row>
    <row r="4431" ht="15.75" customHeight="1">
      <c r="A4431" s="6" t="s">
        <v>3958</v>
      </c>
      <c r="B4431" s="6" t="s">
        <v>50</v>
      </c>
      <c r="C4431" s="6" t="s">
        <v>235</v>
      </c>
      <c r="D4431" s="6" t="s">
        <v>26</v>
      </c>
      <c r="E4431" s="6" t="s">
        <v>19</v>
      </c>
      <c r="F4431" s="6">
        <v>8.80959101E9</v>
      </c>
    </row>
    <row r="4432" ht="15.75" customHeight="1">
      <c r="A4432" s="6" t="s">
        <v>776</v>
      </c>
      <c r="B4432" s="6" t="s">
        <v>3959</v>
      </c>
      <c r="C4432" s="6" t="s">
        <v>325</v>
      </c>
      <c r="D4432" s="6" t="s">
        <v>26</v>
      </c>
      <c r="E4432" s="6" t="s">
        <v>255</v>
      </c>
      <c r="F4432" s="6">
        <v>9.939676769E9</v>
      </c>
    </row>
    <row r="4433" ht="15.75" customHeight="1">
      <c r="A4433" s="6" t="s">
        <v>1273</v>
      </c>
      <c r="B4433" s="6" t="s">
        <v>55</v>
      </c>
      <c r="C4433" s="6" t="s">
        <v>1458</v>
      </c>
      <c r="D4433" s="6" t="s">
        <v>44</v>
      </c>
      <c r="E4433" s="6" t="s">
        <v>3960</v>
      </c>
      <c r="F4433" s="6">
        <v>8.235913061E9</v>
      </c>
    </row>
    <row r="4434" ht="15.75" customHeight="1">
      <c r="A4434" s="6" t="s">
        <v>3961</v>
      </c>
      <c r="B4434" s="6" t="s">
        <v>276</v>
      </c>
      <c r="C4434" s="6" t="s">
        <v>556</v>
      </c>
      <c r="D4434" s="6" t="s">
        <v>26</v>
      </c>
      <c r="E4434" s="6" t="s">
        <v>255</v>
      </c>
      <c r="F4434" s="6">
        <v>7.991167676E9</v>
      </c>
    </row>
    <row r="4435" ht="15.75" customHeight="1">
      <c r="A4435" s="6" t="s">
        <v>1092</v>
      </c>
      <c r="B4435" s="6" t="s">
        <v>3962</v>
      </c>
      <c r="C4435" s="6" t="s">
        <v>2691</v>
      </c>
      <c r="D4435" s="6" t="s">
        <v>9</v>
      </c>
      <c r="E4435" s="6" t="s">
        <v>19</v>
      </c>
      <c r="F4435" s="6">
        <v>8.758994942E9</v>
      </c>
    </row>
    <row r="4436" ht="15.75" customHeight="1">
      <c r="A4436" s="6" t="s">
        <v>1513</v>
      </c>
      <c r="B4436" s="6" t="s">
        <v>440</v>
      </c>
      <c r="C4436" s="6" t="s">
        <v>335</v>
      </c>
      <c r="D4436" s="6" t="s">
        <v>26</v>
      </c>
      <c r="E4436" s="6" t="s">
        <v>19</v>
      </c>
      <c r="F4436" s="6">
        <v>9.470179511E9</v>
      </c>
    </row>
    <row r="4437" ht="15.75" customHeight="1">
      <c r="A4437" s="6" t="s">
        <v>2563</v>
      </c>
      <c r="B4437" s="6" t="s">
        <v>55</v>
      </c>
      <c r="C4437" s="6" t="s">
        <v>325</v>
      </c>
      <c r="D4437" s="6" t="s">
        <v>26</v>
      </c>
      <c r="E4437" s="6" t="s">
        <v>255</v>
      </c>
      <c r="F4437" s="6">
        <v>9.630903324E9</v>
      </c>
    </row>
    <row r="4438" ht="15.75" customHeight="1">
      <c r="A4438" s="6" t="s">
        <v>3963</v>
      </c>
      <c r="B4438" s="6" t="s">
        <v>55</v>
      </c>
      <c r="C4438" s="6" t="s">
        <v>325</v>
      </c>
      <c r="D4438" s="6" t="s">
        <v>26</v>
      </c>
      <c r="E4438" s="6" t="s">
        <v>255</v>
      </c>
      <c r="F4438" s="6">
        <v>9.097867669E9</v>
      </c>
    </row>
    <row r="4439" ht="15.75" customHeight="1">
      <c r="A4439" s="6" t="s">
        <v>3964</v>
      </c>
      <c r="B4439" s="6" t="s">
        <v>3965</v>
      </c>
      <c r="C4439" s="6" t="s">
        <v>335</v>
      </c>
      <c r="D4439" s="6" t="s">
        <v>26</v>
      </c>
      <c r="E4439" s="6" t="s">
        <v>19</v>
      </c>
      <c r="F4439" s="6">
        <v>7.004551372E9</v>
      </c>
    </row>
    <row r="4440" ht="15.75" customHeight="1">
      <c r="A4440" s="6" t="s">
        <v>1054</v>
      </c>
      <c r="B4440" s="6" t="s">
        <v>55</v>
      </c>
      <c r="C4440" s="6" t="s">
        <v>592</v>
      </c>
      <c r="D4440" s="6" t="s">
        <v>26</v>
      </c>
      <c r="E4440" s="6" t="s">
        <v>255</v>
      </c>
      <c r="F4440" s="6">
        <v>9.6431669092E10</v>
      </c>
    </row>
    <row r="4441" ht="15.75" customHeight="1">
      <c r="A4441" s="6" t="s">
        <v>3966</v>
      </c>
      <c r="B4441" s="6" t="s">
        <v>3967</v>
      </c>
      <c r="C4441" s="6" t="s">
        <v>246</v>
      </c>
      <c r="D4441" s="6" t="s">
        <v>26</v>
      </c>
      <c r="E4441" s="6" t="s">
        <v>255</v>
      </c>
      <c r="F4441" s="6">
        <v>7.747062021E9</v>
      </c>
    </row>
    <row r="4442" ht="15.75" customHeight="1">
      <c r="A4442" s="6" t="s">
        <v>3968</v>
      </c>
      <c r="B4442" s="6" t="s">
        <v>3969</v>
      </c>
      <c r="C4442" s="6" t="s">
        <v>221</v>
      </c>
      <c r="D4442" s="6" t="s">
        <v>26</v>
      </c>
      <c r="E4442" s="6" t="s">
        <v>19</v>
      </c>
      <c r="F4442" s="6">
        <v>9.798469923E9</v>
      </c>
    </row>
    <row r="4443" ht="15.75" customHeight="1">
      <c r="A4443" s="6" t="s">
        <v>843</v>
      </c>
      <c r="B4443" s="6" t="s">
        <v>332</v>
      </c>
      <c r="C4443" s="6" t="s">
        <v>325</v>
      </c>
      <c r="D4443" s="6" t="s">
        <v>26</v>
      </c>
      <c r="E4443" s="6" t="s">
        <v>255</v>
      </c>
      <c r="F4443" s="6">
        <v>9.608485996E9</v>
      </c>
    </row>
    <row r="4444" ht="15.75" customHeight="1">
      <c r="A4444" s="6" t="s">
        <v>3970</v>
      </c>
      <c r="B4444" s="6" t="s">
        <v>52</v>
      </c>
      <c r="C4444" s="6" t="s">
        <v>3952</v>
      </c>
      <c r="D4444" s="6" t="s">
        <v>26</v>
      </c>
      <c r="E4444" s="6" t="s">
        <v>19</v>
      </c>
      <c r="F4444" s="6">
        <v>9.798824633E9</v>
      </c>
    </row>
    <row r="4445" ht="15.75" customHeight="1">
      <c r="A4445" s="6" t="s">
        <v>127</v>
      </c>
      <c r="B4445" s="6" t="s">
        <v>2017</v>
      </c>
      <c r="C4445" s="6" t="s">
        <v>335</v>
      </c>
      <c r="D4445" s="6" t="s">
        <v>26</v>
      </c>
      <c r="E4445" s="6" t="s">
        <v>19</v>
      </c>
      <c r="F4445" s="6">
        <v>7.004551372E9</v>
      </c>
    </row>
    <row r="4446" ht="15.75" customHeight="1">
      <c r="A4446" s="6" t="s">
        <v>3971</v>
      </c>
      <c r="B4446" s="6" t="s">
        <v>52</v>
      </c>
      <c r="C4446" s="6" t="s">
        <v>2418</v>
      </c>
      <c r="D4446" s="6" t="s">
        <v>26</v>
      </c>
      <c r="E4446" s="6" t="s">
        <v>255</v>
      </c>
      <c r="F4446" s="6">
        <v>8.936885482E9</v>
      </c>
    </row>
    <row r="4447" ht="15.75" customHeight="1">
      <c r="A4447" s="6" t="s">
        <v>3972</v>
      </c>
      <c r="B4447" s="6" t="s">
        <v>909</v>
      </c>
      <c r="C4447" s="6" t="s">
        <v>325</v>
      </c>
      <c r="D4447" s="6" t="s">
        <v>26</v>
      </c>
      <c r="E4447" s="6" t="s">
        <v>255</v>
      </c>
      <c r="F4447" s="6">
        <v>9.60810055E9</v>
      </c>
    </row>
    <row r="4448" ht="15.75" customHeight="1">
      <c r="A4448" s="6" t="s">
        <v>3118</v>
      </c>
      <c r="B4448" s="6" t="s">
        <v>2845</v>
      </c>
      <c r="C4448" s="6" t="s">
        <v>335</v>
      </c>
      <c r="D4448" s="6" t="s">
        <v>26</v>
      </c>
      <c r="E4448" s="6" t="s">
        <v>19</v>
      </c>
      <c r="F4448" s="6">
        <v>9.504513073E9</v>
      </c>
    </row>
    <row r="4449" ht="15.75" customHeight="1">
      <c r="A4449" s="6" t="s">
        <v>3973</v>
      </c>
      <c r="B4449" s="6" t="s">
        <v>276</v>
      </c>
      <c r="C4449" s="6" t="s">
        <v>556</v>
      </c>
      <c r="D4449" s="6" t="s">
        <v>26</v>
      </c>
      <c r="E4449" s="6" t="s">
        <v>255</v>
      </c>
      <c r="F4449" s="6">
        <v>6.2007012E9</v>
      </c>
    </row>
    <row r="4450" ht="15.75" customHeight="1">
      <c r="A4450" s="6" t="s">
        <v>3974</v>
      </c>
      <c r="B4450" s="6" t="s">
        <v>832</v>
      </c>
      <c r="C4450" s="6" t="s">
        <v>83</v>
      </c>
      <c r="D4450" s="6" t="s">
        <v>44</v>
      </c>
      <c r="E4450" s="6" t="s">
        <v>255</v>
      </c>
      <c r="F4450" s="6">
        <v>8.356867621E9</v>
      </c>
    </row>
    <row r="4451" ht="15.75" customHeight="1">
      <c r="A4451" s="6" t="s">
        <v>2399</v>
      </c>
      <c r="B4451" s="6" t="s">
        <v>65</v>
      </c>
      <c r="C4451" s="6" t="s">
        <v>235</v>
      </c>
      <c r="D4451" s="6" t="s">
        <v>26</v>
      </c>
      <c r="E4451" s="6" t="s">
        <v>19</v>
      </c>
      <c r="F4451" s="6">
        <v>9.199982965E9</v>
      </c>
    </row>
    <row r="4452" ht="15.75" customHeight="1">
      <c r="A4452" s="6" t="s">
        <v>3975</v>
      </c>
      <c r="B4452" s="6" t="s">
        <v>3003</v>
      </c>
      <c r="C4452" s="6" t="s">
        <v>2418</v>
      </c>
      <c r="D4452" s="6" t="s">
        <v>26</v>
      </c>
      <c r="E4452" s="6" t="s">
        <v>255</v>
      </c>
      <c r="F4452" s="6">
        <v>7.488952608E9</v>
      </c>
    </row>
    <row r="4453" ht="15.75" customHeight="1">
      <c r="A4453" s="6" t="s">
        <v>1209</v>
      </c>
      <c r="B4453" s="6" t="s">
        <v>55</v>
      </c>
      <c r="C4453" s="6" t="s">
        <v>325</v>
      </c>
      <c r="D4453" s="6" t="s">
        <v>26</v>
      </c>
      <c r="E4453" s="6" t="s">
        <v>255</v>
      </c>
      <c r="F4453" s="6">
        <v>9.9688442E9</v>
      </c>
    </row>
    <row r="4454" ht="15.75" customHeight="1">
      <c r="A4454" s="6" t="s">
        <v>3976</v>
      </c>
      <c r="B4454" s="6" t="s">
        <v>776</v>
      </c>
      <c r="C4454" s="6" t="s">
        <v>181</v>
      </c>
      <c r="D4454" s="6" t="s">
        <v>56</v>
      </c>
      <c r="E4454" s="6" t="s">
        <v>3960</v>
      </c>
      <c r="F4454" s="6">
        <v>8.757578951E9</v>
      </c>
    </row>
    <row r="4455" ht="15.75" customHeight="1">
      <c r="A4455" s="6" t="s">
        <v>3977</v>
      </c>
      <c r="B4455" s="6" t="s">
        <v>985</v>
      </c>
      <c r="C4455" s="6" t="s">
        <v>690</v>
      </c>
      <c r="D4455" s="6" t="s">
        <v>9</v>
      </c>
      <c r="E4455" s="6" t="s">
        <v>19</v>
      </c>
      <c r="F4455" s="6">
        <v>9.712666628E9</v>
      </c>
    </row>
    <row r="4456" ht="15.75" customHeight="1">
      <c r="A4456" s="6" t="s">
        <v>2664</v>
      </c>
      <c r="B4456" s="6" t="s">
        <v>725</v>
      </c>
      <c r="C4456" s="6" t="s">
        <v>265</v>
      </c>
      <c r="D4456" s="6" t="s">
        <v>26</v>
      </c>
      <c r="E4456" s="6" t="s">
        <v>19</v>
      </c>
      <c r="F4456" s="6">
        <v>9.43135512E9</v>
      </c>
    </row>
    <row r="4457" ht="15.75" customHeight="1">
      <c r="A4457" s="6" t="s">
        <v>1401</v>
      </c>
      <c r="B4457" s="6" t="s">
        <v>220</v>
      </c>
      <c r="C4457" s="6" t="s">
        <v>1300</v>
      </c>
      <c r="D4457" s="6" t="s">
        <v>9</v>
      </c>
      <c r="E4457" s="6" t="s">
        <v>19</v>
      </c>
      <c r="F4457" s="6">
        <v>6.299981939E9</v>
      </c>
    </row>
    <row r="4458" ht="15.75" customHeight="1">
      <c r="A4458" s="6" t="s">
        <v>3978</v>
      </c>
      <c r="B4458" s="6" t="s">
        <v>559</v>
      </c>
      <c r="C4458" s="6" t="s">
        <v>83</v>
      </c>
      <c r="D4458" s="6" t="s">
        <v>44</v>
      </c>
      <c r="E4458" s="6" t="s">
        <v>19</v>
      </c>
      <c r="F4458" s="6">
        <v>7.120590415E9</v>
      </c>
    </row>
    <row r="4459" ht="15.75" customHeight="1">
      <c r="A4459" s="6" t="s">
        <v>3979</v>
      </c>
      <c r="B4459" s="6" t="s">
        <v>382</v>
      </c>
      <c r="C4459" s="6" t="s">
        <v>83</v>
      </c>
      <c r="D4459" s="6" t="s">
        <v>44</v>
      </c>
      <c r="E4459" s="6" t="s">
        <v>19</v>
      </c>
      <c r="F4459" s="6">
        <v>7.339998602E9</v>
      </c>
    </row>
    <row r="4460" ht="15.75" customHeight="1">
      <c r="A4460" s="6" t="s">
        <v>3980</v>
      </c>
      <c r="B4460" s="6" t="s">
        <v>654</v>
      </c>
      <c r="C4460" s="6" t="s">
        <v>235</v>
      </c>
      <c r="D4460" s="6" t="s">
        <v>56</v>
      </c>
      <c r="E4460" s="6" t="s">
        <v>19</v>
      </c>
      <c r="F4460" s="6">
        <v>9.798611045E9</v>
      </c>
    </row>
    <row r="4461" ht="15.75" customHeight="1">
      <c r="A4461" s="6" t="s">
        <v>3981</v>
      </c>
      <c r="B4461" s="6" t="s">
        <v>3982</v>
      </c>
      <c r="C4461" s="6" t="s">
        <v>246</v>
      </c>
      <c r="D4461" s="6" t="s">
        <v>44</v>
      </c>
      <c r="E4461" s="6" t="s">
        <v>255</v>
      </c>
      <c r="F4461" s="6">
        <v>7.505568435E9</v>
      </c>
    </row>
    <row r="4462" ht="15.75" customHeight="1">
      <c r="A4462" s="6" t="s">
        <v>944</v>
      </c>
      <c r="B4462" s="6" t="s">
        <v>922</v>
      </c>
      <c r="C4462" s="6" t="s">
        <v>83</v>
      </c>
      <c r="D4462" s="6" t="s">
        <v>14</v>
      </c>
      <c r="E4462" s="6" t="s">
        <v>19</v>
      </c>
      <c r="F4462" s="6">
        <v>8.154111026E9</v>
      </c>
    </row>
    <row r="4463" ht="15.75" customHeight="1">
      <c r="A4463" s="6" t="s">
        <v>1218</v>
      </c>
      <c r="B4463" s="6" t="s">
        <v>55</v>
      </c>
      <c r="C4463" s="6" t="s">
        <v>235</v>
      </c>
      <c r="D4463" s="6" t="s">
        <v>9</v>
      </c>
      <c r="E4463" s="6" t="s">
        <v>19</v>
      </c>
      <c r="F4463" s="6">
        <v>9.703322642E9</v>
      </c>
    </row>
    <row r="4464" ht="15.75" customHeight="1">
      <c r="A4464" s="6" t="s">
        <v>234</v>
      </c>
      <c r="B4464" s="6" t="s">
        <v>440</v>
      </c>
      <c r="C4464" s="6" t="s">
        <v>265</v>
      </c>
      <c r="D4464" s="6" t="s">
        <v>26</v>
      </c>
      <c r="E4464" s="6" t="s">
        <v>19</v>
      </c>
      <c r="F4464" s="6">
        <v>7.033465981E9</v>
      </c>
    </row>
    <row r="4465" ht="15.75" customHeight="1">
      <c r="A4465" s="6" t="s">
        <v>3296</v>
      </c>
      <c r="B4465" s="6" t="s">
        <v>770</v>
      </c>
      <c r="C4465" s="6" t="s">
        <v>83</v>
      </c>
      <c r="D4465" s="6" t="s">
        <v>14</v>
      </c>
      <c r="E4465" s="6" t="s">
        <v>23</v>
      </c>
      <c r="F4465" s="6">
        <v>8.851907356E9</v>
      </c>
    </row>
    <row r="4466" ht="15.75" customHeight="1">
      <c r="A4466" s="6" t="s">
        <v>3983</v>
      </c>
      <c r="B4466" s="6" t="s">
        <v>312</v>
      </c>
      <c r="C4466" s="6" t="s">
        <v>335</v>
      </c>
      <c r="D4466" s="6" t="s">
        <v>26</v>
      </c>
      <c r="E4466" s="6" t="s">
        <v>19</v>
      </c>
      <c r="F4466" s="6">
        <v>7.481987238E9</v>
      </c>
    </row>
    <row r="4467" ht="15.75" customHeight="1">
      <c r="A4467" s="6" t="s">
        <v>3984</v>
      </c>
      <c r="B4467" s="6" t="s">
        <v>276</v>
      </c>
      <c r="C4467" s="6" t="s">
        <v>2783</v>
      </c>
      <c r="D4467" s="6" t="s">
        <v>9</v>
      </c>
      <c r="E4467" s="6" t="s">
        <v>3985</v>
      </c>
      <c r="F4467" s="6">
        <v>9.382543105E9</v>
      </c>
    </row>
    <row r="4468" ht="15.75" customHeight="1">
      <c r="A4468" s="6" t="s">
        <v>264</v>
      </c>
      <c r="B4468" s="6" t="s">
        <v>664</v>
      </c>
      <c r="C4468" s="6" t="s">
        <v>58</v>
      </c>
      <c r="D4468" s="6" t="s">
        <v>56</v>
      </c>
      <c r="E4468" s="6" t="s">
        <v>19</v>
      </c>
      <c r="F4468" s="6">
        <v>9.653456092E9</v>
      </c>
    </row>
    <row r="4469" ht="15.75" customHeight="1">
      <c r="A4469" s="6" t="s">
        <v>3986</v>
      </c>
      <c r="B4469" s="6" t="s">
        <v>909</v>
      </c>
      <c r="C4469" s="6" t="s">
        <v>325</v>
      </c>
      <c r="D4469" s="6" t="s">
        <v>26</v>
      </c>
      <c r="E4469" s="6" t="s">
        <v>255</v>
      </c>
      <c r="F4469" s="6">
        <v>7.091568312E9</v>
      </c>
    </row>
    <row r="4470" ht="15.75" customHeight="1">
      <c r="A4470" s="6" t="s">
        <v>3987</v>
      </c>
      <c r="B4470" s="6" t="s">
        <v>50</v>
      </c>
      <c r="C4470" s="6" t="s">
        <v>83</v>
      </c>
      <c r="D4470" s="6" t="s">
        <v>56</v>
      </c>
      <c r="E4470" s="6" t="s">
        <v>19</v>
      </c>
      <c r="F4470" s="6">
        <v>9.779095661E9</v>
      </c>
    </row>
    <row r="4471" ht="15.75" customHeight="1">
      <c r="A4471" s="6" t="s">
        <v>3988</v>
      </c>
      <c r="B4471" s="6" t="s">
        <v>119</v>
      </c>
      <c r="C4471" s="6" t="s">
        <v>335</v>
      </c>
      <c r="D4471" s="6" t="s">
        <v>26</v>
      </c>
      <c r="E4471" s="6" t="s">
        <v>19</v>
      </c>
      <c r="F4471" s="6">
        <v>9.570137652E9</v>
      </c>
    </row>
    <row r="4472" ht="15.75" customHeight="1">
      <c r="A4472" s="6" t="s">
        <v>3989</v>
      </c>
      <c r="B4472" s="6" t="s">
        <v>3990</v>
      </c>
      <c r="C4472" s="6" t="s">
        <v>83</v>
      </c>
      <c r="D4472" s="6" t="s">
        <v>44</v>
      </c>
      <c r="E4472" s="6" t="s">
        <v>255</v>
      </c>
      <c r="F4472" s="6">
        <v>6.201302215E9</v>
      </c>
    </row>
    <row r="4473" ht="15.75" customHeight="1">
      <c r="A4473" s="6" t="s">
        <v>2003</v>
      </c>
      <c r="B4473" s="6" t="s">
        <v>2916</v>
      </c>
      <c r="C4473" s="6" t="s">
        <v>235</v>
      </c>
      <c r="D4473" s="6" t="s">
        <v>26</v>
      </c>
      <c r="E4473" s="6" t="s">
        <v>19</v>
      </c>
      <c r="F4473" s="6">
        <v>9.623197168E9</v>
      </c>
    </row>
    <row r="4474" ht="15.75" customHeight="1">
      <c r="A4474" s="6" t="s">
        <v>3022</v>
      </c>
      <c r="B4474" s="6" t="s">
        <v>606</v>
      </c>
      <c r="C4474" s="6" t="s">
        <v>576</v>
      </c>
      <c r="D4474" s="6" t="s">
        <v>44</v>
      </c>
      <c r="E4474" s="6" t="s">
        <v>19</v>
      </c>
      <c r="F4474" s="6">
        <v>7.53225301E9</v>
      </c>
    </row>
    <row r="4475" ht="15.75" customHeight="1">
      <c r="A4475" s="6" t="s">
        <v>3478</v>
      </c>
      <c r="B4475" s="6" t="s">
        <v>3941</v>
      </c>
      <c r="C4475" s="6" t="s">
        <v>246</v>
      </c>
      <c r="D4475" s="6" t="s">
        <v>14</v>
      </c>
      <c r="E4475" s="6" t="s">
        <v>255</v>
      </c>
      <c r="F4475" s="6">
        <v>7.391145567E9</v>
      </c>
    </row>
    <row r="4476" ht="15.75" customHeight="1">
      <c r="A4476" s="6" t="s">
        <v>2305</v>
      </c>
      <c r="B4476" s="6" t="s">
        <v>119</v>
      </c>
      <c r="C4476" s="6" t="s">
        <v>235</v>
      </c>
      <c r="D4476" s="6" t="s">
        <v>26</v>
      </c>
      <c r="E4476" s="6" t="s">
        <v>19</v>
      </c>
      <c r="F4476" s="6">
        <v>7.549802096E9</v>
      </c>
    </row>
    <row r="4477" ht="15.75" customHeight="1">
      <c r="A4477" s="6" t="s">
        <v>3991</v>
      </c>
      <c r="B4477" s="6" t="s">
        <v>3992</v>
      </c>
      <c r="C4477" s="6" t="s">
        <v>592</v>
      </c>
      <c r="D4477" s="6" t="s">
        <v>26</v>
      </c>
      <c r="E4477" s="6" t="s">
        <v>255</v>
      </c>
      <c r="F4477" s="6">
        <v>9.83572361E9</v>
      </c>
    </row>
    <row r="4478" ht="15.75" customHeight="1">
      <c r="A4478" s="6" t="s">
        <v>3993</v>
      </c>
      <c r="B4478" s="6" t="s">
        <v>606</v>
      </c>
      <c r="C4478" s="6" t="s">
        <v>330</v>
      </c>
      <c r="D4478" s="6" t="s">
        <v>14</v>
      </c>
      <c r="E4478" s="6" t="s">
        <v>19</v>
      </c>
      <c r="F4478" s="6">
        <v>8.721204587E9</v>
      </c>
    </row>
    <row r="4479" ht="15.75" customHeight="1">
      <c r="A4479" s="6" t="s">
        <v>3302</v>
      </c>
      <c r="B4479" s="6" t="s">
        <v>1077</v>
      </c>
      <c r="C4479" s="6" t="s">
        <v>3994</v>
      </c>
      <c r="D4479" s="6" t="s">
        <v>44</v>
      </c>
      <c r="E4479" s="6" t="s">
        <v>19</v>
      </c>
      <c r="F4479" s="6">
        <v>9.70725322E9</v>
      </c>
    </row>
    <row r="4480" ht="15.75" customHeight="1">
      <c r="A4480" s="6" t="s">
        <v>326</v>
      </c>
      <c r="B4480" s="6" t="s">
        <v>3995</v>
      </c>
      <c r="C4480" s="6" t="s">
        <v>556</v>
      </c>
      <c r="D4480" s="6" t="s">
        <v>26</v>
      </c>
      <c r="E4480" s="6" t="s">
        <v>255</v>
      </c>
      <c r="F4480" s="6">
        <v>6.202490854E9</v>
      </c>
    </row>
    <row r="4481" ht="15.75" customHeight="1">
      <c r="A4481" s="6" t="s">
        <v>484</v>
      </c>
      <c r="B4481" s="6" t="s">
        <v>55</v>
      </c>
      <c r="C4481" s="6" t="s">
        <v>1375</v>
      </c>
      <c r="D4481" s="6" t="s">
        <v>56</v>
      </c>
      <c r="E4481" s="6" t="s">
        <v>19</v>
      </c>
      <c r="F4481" s="6">
        <v>8.825299907E9</v>
      </c>
    </row>
    <row r="4482" ht="15.75" customHeight="1">
      <c r="A4482" s="6" t="s">
        <v>3996</v>
      </c>
      <c r="B4482" s="6" t="s">
        <v>3995</v>
      </c>
      <c r="C4482" s="6" t="s">
        <v>325</v>
      </c>
      <c r="D4482" s="6" t="s">
        <v>26</v>
      </c>
      <c r="E4482" s="6" t="s">
        <v>255</v>
      </c>
      <c r="F4482" s="6">
        <v>7.717251148E9</v>
      </c>
    </row>
    <row r="4483" ht="15.75" customHeight="1">
      <c r="A4483" s="6" t="s">
        <v>3209</v>
      </c>
      <c r="B4483" s="6" t="s">
        <v>779</v>
      </c>
      <c r="C4483" s="6" t="s">
        <v>200</v>
      </c>
      <c r="D4483" s="6" t="s">
        <v>26</v>
      </c>
      <c r="E4483" s="6" t="s">
        <v>19</v>
      </c>
      <c r="F4483" s="6">
        <v>9.693630784E9</v>
      </c>
    </row>
    <row r="4484" ht="15.75" customHeight="1">
      <c r="A4484" s="6" t="s">
        <v>98</v>
      </c>
      <c r="B4484" s="6" t="s">
        <v>3997</v>
      </c>
      <c r="C4484" s="6" t="s">
        <v>235</v>
      </c>
      <c r="D4484" s="6" t="s">
        <v>26</v>
      </c>
      <c r="E4484" s="6" t="s">
        <v>19</v>
      </c>
      <c r="F4484" s="6">
        <v>9.703322642E9</v>
      </c>
    </row>
    <row r="4485" ht="15.75" customHeight="1">
      <c r="A4485" s="6" t="s">
        <v>1270</v>
      </c>
      <c r="B4485" s="6" t="s">
        <v>55</v>
      </c>
      <c r="C4485" s="6" t="s">
        <v>556</v>
      </c>
      <c r="D4485" s="6" t="s">
        <v>56</v>
      </c>
      <c r="E4485" s="6" t="s">
        <v>255</v>
      </c>
      <c r="F4485" s="6">
        <v>7.90362517E9</v>
      </c>
    </row>
    <row r="4486" ht="15.75" customHeight="1">
      <c r="A4486" s="6" t="s">
        <v>1386</v>
      </c>
      <c r="B4486" s="6" t="s">
        <v>50</v>
      </c>
      <c r="C4486" s="6" t="s">
        <v>83</v>
      </c>
      <c r="D4486" s="6" t="s">
        <v>44</v>
      </c>
      <c r="E4486" s="6" t="s">
        <v>19</v>
      </c>
      <c r="F4486" s="6">
        <v>9.82106595E9</v>
      </c>
    </row>
    <row r="4487" ht="15.75" customHeight="1">
      <c r="A4487" s="6" t="s">
        <v>843</v>
      </c>
      <c r="B4487" s="6" t="s">
        <v>618</v>
      </c>
      <c r="C4487" s="6" t="s">
        <v>556</v>
      </c>
      <c r="D4487" s="6" t="s">
        <v>56</v>
      </c>
      <c r="E4487" s="6" t="s">
        <v>255</v>
      </c>
      <c r="F4487" s="6">
        <v>9.885903175E9</v>
      </c>
    </row>
    <row r="4488" ht="15.75" customHeight="1">
      <c r="A4488" s="6" t="s">
        <v>3998</v>
      </c>
      <c r="B4488" s="6" t="s">
        <v>654</v>
      </c>
      <c r="C4488" s="6" t="s">
        <v>366</v>
      </c>
      <c r="D4488" s="6" t="s">
        <v>56</v>
      </c>
      <c r="E4488" s="6" t="s">
        <v>19</v>
      </c>
      <c r="F4488" s="6">
        <v>9.952651982E9</v>
      </c>
    </row>
    <row r="4489" ht="15.75" customHeight="1">
      <c r="A4489" s="6" t="s">
        <v>2036</v>
      </c>
      <c r="B4489" s="6" t="s">
        <v>152</v>
      </c>
      <c r="C4489" s="6" t="s">
        <v>556</v>
      </c>
      <c r="D4489" s="6" t="s">
        <v>26</v>
      </c>
      <c r="E4489" s="6" t="s">
        <v>255</v>
      </c>
      <c r="F4489" s="6">
        <v>6.200710024E9</v>
      </c>
    </row>
    <row r="4490" ht="15.75" customHeight="1">
      <c r="A4490" s="6" t="s">
        <v>1111</v>
      </c>
      <c r="B4490" s="6" t="s">
        <v>3999</v>
      </c>
      <c r="C4490" s="6" t="s">
        <v>556</v>
      </c>
      <c r="D4490" s="6" t="s">
        <v>26</v>
      </c>
      <c r="E4490" s="6" t="s">
        <v>255</v>
      </c>
      <c r="F4490" s="6">
        <v>9.608128094E9</v>
      </c>
    </row>
    <row r="4491" ht="15.75" customHeight="1">
      <c r="A4491" s="6" t="s">
        <v>422</v>
      </c>
      <c r="B4491" s="6" t="s">
        <v>212</v>
      </c>
      <c r="C4491" s="6" t="s">
        <v>83</v>
      </c>
      <c r="D4491" s="6" t="s">
        <v>14</v>
      </c>
      <c r="E4491" s="6" t="s">
        <v>19</v>
      </c>
      <c r="F4491" s="6">
        <v>8.291643599E9</v>
      </c>
    </row>
    <row r="4492" ht="15.75" customHeight="1">
      <c r="A4492" s="6" t="s">
        <v>906</v>
      </c>
      <c r="B4492" s="6" t="s">
        <v>269</v>
      </c>
      <c r="C4492" s="6" t="s">
        <v>325</v>
      </c>
      <c r="D4492" s="6" t="s">
        <v>26</v>
      </c>
      <c r="E4492" s="6" t="s">
        <v>255</v>
      </c>
      <c r="F4492" s="6">
        <v>9.931578042E9</v>
      </c>
    </row>
    <row r="4493" ht="15.75" customHeight="1">
      <c r="A4493" s="6" t="s">
        <v>178</v>
      </c>
      <c r="B4493" s="6" t="s">
        <v>50</v>
      </c>
      <c r="C4493" s="6" t="s">
        <v>3715</v>
      </c>
      <c r="D4493" s="6" t="s">
        <v>26</v>
      </c>
      <c r="E4493" s="6" t="s">
        <v>19</v>
      </c>
      <c r="F4493" s="6">
        <v>7.668162908E9</v>
      </c>
    </row>
    <row r="4494" ht="15.75" customHeight="1">
      <c r="A4494" s="6" t="s">
        <v>1264</v>
      </c>
      <c r="B4494" s="6" t="s">
        <v>55</v>
      </c>
      <c r="C4494" s="6" t="s">
        <v>325</v>
      </c>
      <c r="D4494" s="6" t="s">
        <v>26</v>
      </c>
      <c r="E4494" s="6" t="s">
        <v>255</v>
      </c>
      <c r="F4494" s="6">
        <v>6.201609964E9</v>
      </c>
    </row>
    <row r="4495" ht="15.75" customHeight="1">
      <c r="A4495" s="6" t="s">
        <v>636</v>
      </c>
      <c r="B4495" s="6" t="s">
        <v>47</v>
      </c>
      <c r="C4495" s="6" t="s">
        <v>604</v>
      </c>
      <c r="D4495" s="6" t="s">
        <v>26</v>
      </c>
      <c r="E4495" s="6" t="s">
        <v>19</v>
      </c>
      <c r="F4495" s="6">
        <v>6.203658921E9</v>
      </c>
    </row>
    <row r="4496" ht="15.75" customHeight="1">
      <c r="A4496" s="6" t="s">
        <v>575</v>
      </c>
      <c r="B4496" s="6" t="s">
        <v>55</v>
      </c>
      <c r="C4496" s="6" t="s">
        <v>556</v>
      </c>
      <c r="D4496" s="6" t="s">
        <v>26</v>
      </c>
      <c r="E4496" s="6" t="s">
        <v>255</v>
      </c>
      <c r="F4496" s="6">
        <v>8.00714946E9</v>
      </c>
    </row>
    <row r="4497" ht="15.75" customHeight="1">
      <c r="A4497" s="6" t="s">
        <v>4000</v>
      </c>
      <c r="B4497" s="6" t="s">
        <v>55</v>
      </c>
      <c r="C4497" s="6" t="s">
        <v>556</v>
      </c>
      <c r="D4497" s="6" t="s">
        <v>56</v>
      </c>
      <c r="E4497" s="6" t="s">
        <v>255</v>
      </c>
      <c r="F4497" s="6">
        <v>7.870600032E9</v>
      </c>
    </row>
    <row r="4498" ht="15.75" customHeight="1">
      <c r="A4498" s="6" t="s">
        <v>4001</v>
      </c>
      <c r="B4498" s="6" t="s">
        <v>873</v>
      </c>
      <c r="C4498" s="6" t="s">
        <v>556</v>
      </c>
      <c r="D4498" s="6" t="s">
        <v>26</v>
      </c>
      <c r="E4498" s="6" t="s">
        <v>255</v>
      </c>
      <c r="F4498" s="6">
        <v>7.909050215E9</v>
      </c>
    </row>
    <row r="4499" ht="15.75" customHeight="1">
      <c r="A4499" s="6" t="s">
        <v>1111</v>
      </c>
      <c r="B4499" s="6" t="s">
        <v>220</v>
      </c>
      <c r="C4499" s="6" t="s">
        <v>325</v>
      </c>
      <c r="D4499" s="6" t="s">
        <v>26</v>
      </c>
      <c r="E4499" s="6" t="s">
        <v>255</v>
      </c>
      <c r="F4499" s="6">
        <v>7.781979225E9</v>
      </c>
    </row>
    <row r="4500" ht="15.75" customHeight="1">
      <c r="A4500" s="6" t="s">
        <v>4002</v>
      </c>
      <c r="B4500" s="6" t="s">
        <v>832</v>
      </c>
      <c r="C4500" s="6" t="s">
        <v>83</v>
      </c>
      <c r="D4500" s="6" t="s">
        <v>44</v>
      </c>
      <c r="E4500" s="6" t="s">
        <v>255</v>
      </c>
      <c r="F4500" s="6">
        <v>9.530620122E9</v>
      </c>
    </row>
    <row r="4501" ht="15.75" customHeight="1">
      <c r="A4501" s="6" t="s">
        <v>4003</v>
      </c>
      <c r="B4501" s="6" t="s">
        <v>212</v>
      </c>
      <c r="C4501" s="6" t="s">
        <v>1458</v>
      </c>
      <c r="D4501" s="6" t="s">
        <v>26</v>
      </c>
      <c r="E4501" s="6" t="s">
        <v>3985</v>
      </c>
      <c r="F4501" s="6">
        <v>9.47170605E9</v>
      </c>
    </row>
    <row r="4502" ht="15.75" customHeight="1">
      <c r="A4502" s="6" t="s">
        <v>1918</v>
      </c>
      <c r="B4502" s="6" t="s">
        <v>862</v>
      </c>
      <c r="C4502" s="6" t="s">
        <v>4004</v>
      </c>
      <c r="D4502" s="6" t="s">
        <v>14</v>
      </c>
      <c r="E4502" s="6" t="s">
        <v>19</v>
      </c>
      <c r="F4502" s="6">
        <v>8.299417301E9</v>
      </c>
    </row>
    <row r="4503" ht="15.75" customHeight="1">
      <c r="A4503" s="6" t="s">
        <v>290</v>
      </c>
      <c r="B4503" s="6" t="s">
        <v>55</v>
      </c>
      <c r="C4503" s="6" t="s">
        <v>325</v>
      </c>
      <c r="D4503" s="6" t="s">
        <v>26</v>
      </c>
      <c r="E4503" s="6" t="s">
        <v>255</v>
      </c>
      <c r="F4503" s="6">
        <v>9.771749498E9</v>
      </c>
    </row>
    <row r="4504" ht="15.75" customHeight="1">
      <c r="A4504" s="6" t="s">
        <v>2132</v>
      </c>
      <c r="B4504" s="6" t="s">
        <v>4005</v>
      </c>
      <c r="C4504" s="6" t="s">
        <v>246</v>
      </c>
      <c r="D4504" s="6" t="s">
        <v>14</v>
      </c>
      <c r="E4504" s="6" t="s">
        <v>19</v>
      </c>
      <c r="F4504" s="6">
        <v>7.099717066E9</v>
      </c>
    </row>
    <row r="4505" ht="15.75" customHeight="1">
      <c r="A4505" s="6" t="s">
        <v>3229</v>
      </c>
      <c r="B4505" s="6" t="s">
        <v>3309</v>
      </c>
      <c r="C4505" s="6" t="s">
        <v>4006</v>
      </c>
      <c r="D4505" s="6" t="s">
        <v>26</v>
      </c>
      <c r="E4505" s="6" t="s">
        <v>4007</v>
      </c>
      <c r="F4505" s="6">
        <v>9.582384406E9</v>
      </c>
    </row>
    <row r="4506" ht="15.75" customHeight="1">
      <c r="A4506" s="6" t="s">
        <v>350</v>
      </c>
      <c r="B4506" s="6" t="s">
        <v>55</v>
      </c>
      <c r="C4506" s="6" t="s">
        <v>325</v>
      </c>
      <c r="D4506" s="6" t="s">
        <v>26</v>
      </c>
      <c r="E4506" s="6" t="s">
        <v>255</v>
      </c>
      <c r="F4506" s="6">
        <v>9.402152862E9</v>
      </c>
    </row>
    <row r="4507" ht="15.75" customHeight="1">
      <c r="A4507" s="6" t="s">
        <v>886</v>
      </c>
      <c r="B4507" s="6" t="s">
        <v>55</v>
      </c>
      <c r="C4507" s="6" t="s">
        <v>556</v>
      </c>
      <c r="D4507" s="6" t="s">
        <v>56</v>
      </c>
      <c r="E4507" s="6" t="s">
        <v>255</v>
      </c>
      <c r="F4507" s="6">
        <v>6.202525758E9</v>
      </c>
    </row>
    <row r="4508" ht="15.75" customHeight="1">
      <c r="A4508" s="6" t="s">
        <v>557</v>
      </c>
      <c r="B4508" s="6" t="s">
        <v>4008</v>
      </c>
      <c r="C4508" s="6" t="s">
        <v>4009</v>
      </c>
      <c r="D4508" s="6" t="s">
        <v>29</v>
      </c>
      <c r="E4508" s="6" t="s">
        <v>4010</v>
      </c>
      <c r="F4508" s="6">
        <v>9.417691097E9</v>
      </c>
    </row>
    <row r="4509" ht="15.75" customHeight="1">
      <c r="A4509" s="6" t="s">
        <v>4011</v>
      </c>
      <c r="B4509" s="6" t="s">
        <v>4012</v>
      </c>
      <c r="C4509" s="6" t="s">
        <v>3929</v>
      </c>
      <c r="D4509" s="6" t="s">
        <v>56</v>
      </c>
      <c r="E4509" s="6" t="s">
        <v>19</v>
      </c>
      <c r="F4509" s="6">
        <v>9.956876857E9</v>
      </c>
    </row>
    <row r="4510" ht="15.75" customHeight="1">
      <c r="A4510" s="6" t="s">
        <v>2010</v>
      </c>
      <c r="B4510" s="6" t="s">
        <v>170</v>
      </c>
      <c r="C4510" s="6" t="s">
        <v>83</v>
      </c>
      <c r="D4510" s="6" t="s">
        <v>44</v>
      </c>
      <c r="E4510" s="6" t="s">
        <v>19</v>
      </c>
      <c r="F4510" s="6">
        <v>8.255179955E9</v>
      </c>
    </row>
    <row r="4511" ht="15.75" customHeight="1">
      <c r="A4511" s="6" t="s">
        <v>1000</v>
      </c>
      <c r="B4511" s="6" t="s">
        <v>55</v>
      </c>
      <c r="C4511" s="6" t="s">
        <v>576</v>
      </c>
      <c r="D4511" s="6" t="s">
        <v>14</v>
      </c>
      <c r="E4511" s="6" t="s">
        <v>19</v>
      </c>
      <c r="F4511" s="6">
        <v>9.64915539E9</v>
      </c>
    </row>
    <row r="4512" ht="15.75" customHeight="1">
      <c r="A4512" s="6" t="s">
        <v>1842</v>
      </c>
      <c r="B4512" s="6" t="s">
        <v>4013</v>
      </c>
      <c r="C4512" s="6" t="s">
        <v>4014</v>
      </c>
      <c r="D4512" s="6" t="s">
        <v>26</v>
      </c>
      <c r="E4512" s="6" t="s">
        <v>4015</v>
      </c>
      <c r="F4512" s="6">
        <v>9.910699046E9</v>
      </c>
    </row>
    <row r="4513" ht="15.75" customHeight="1">
      <c r="A4513" s="6" t="s">
        <v>1808</v>
      </c>
      <c r="B4513" s="6" t="s">
        <v>407</v>
      </c>
      <c r="C4513" s="6" t="s">
        <v>4016</v>
      </c>
      <c r="D4513" s="6" t="s">
        <v>56</v>
      </c>
      <c r="E4513" s="6" t="s">
        <v>19</v>
      </c>
      <c r="F4513" s="6">
        <v>9.835000495E9</v>
      </c>
    </row>
    <row r="4514" ht="15.75" customHeight="1">
      <c r="A4514" s="6" t="s">
        <v>834</v>
      </c>
      <c r="B4514" s="6" t="s">
        <v>50</v>
      </c>
      <c r="C4514" s="6" t="s">
        <v>1012</v>
      </c>
      <c r="D4514" s="6" t="s">
        <v>44</v>
      </c>
      <c r="E4514" s="6" t="s">
        <v>19</v>
      </c>
      <c r="F4514" s="6">
        <v>8.578891964E9</v>
      </c>
    </row>
    <row r="4515" ht="15.75" customHeight="1">
      <c r="A4515" s="6" t="s">
        <v>4017</v>
      </c>
      <c r="B4515" s="6" t="s">
        <v>1954</v>
      </c>
      <c r="C4515" s="6" t="s">
        <v>2873</v>
      </c>
      <c r="D4515" s="6" t="s">
        <v>56</v>
      </c>
      <c r="E4515" s="6" t="s">
        <v>19</v>
      </c>
      <c r="F4515" s="6">
        <v>6.201913922E9</v>
      </c>
    </row>
    <row r="4516" ht="15.75" customHeight="1">
      <c r="A4516" s="6" t="s">
        <v>3200</v>
      </c>
      <c r="B4516" s="6" t="s">
        <v>770</v>
      </c>
      <c r="C4516" s="6" t="s">
        <v>83</v>
      </c>
      <c r="D4516" s="6" t="s">
        <v>44</v>
      </c>
      <c r="E4516" s="6" t="s">
        <v>19</v>
      </c>
      <c r="F4516" s="6">
        <v>7.194551178E9</v>
      </c>
    </row>
    <row r="4517" ht="15.75" customHeight="1">
      <c r="A4517" s="6" t="s">
        <v>4018</v>
      </c>
      <c r="B4517" s="6" t="s">
        <v>4019</v>
      </c>
      <c r="C4517" s="6" t="s">
        <v>246</v>
      </c>
      <c r="D4517" s="6" t="s">
        <v>14</v>
      </c>
      <c r="E4517" s="6" t="s">
        <v>19</v>
      </c>
      <c r="F4517" s="6">
        <v>7.099717066E9</v>
      </c>
    </row>
    <row r="4518" ht="15.75" customHeight="1">
      <c r="A4518" s="6" t="s">
        <v>4020</v>
      </c>
      <c r="B4518" s="6" t="s">
        <v>746</v>
      </c>
      <c r="C4518" s="6" t="s">
        <v>576</v>
      </c>
      <c r="D4518" s="6" t="s">
        <v>44</v>
      </c>
      <c r="E4518" s="6" t="s">
        <v>19</v>
      </c>
      <c r="F4518" s="6">
        <v>8.601965569E9</v>
      </c>
    </row>
    <row r="4519" ht="15.75" customHeight="1">
      <c r="A4519" s="6" t="s">
        <v>67</v>
      </c>
      <c r="B4519" s="6" t="s">
        <v>873</v>
      </c>
      <c r="C4519" s="6" t="s">
        <v>729</v>
      </c>
      <c r="D4519" s="6" t="s">
        <v>9</v>
      </c>
      <c r="E4519" s="6" t="s">
        <v>19</v>
      </c>
      <c r="F4519" s="6">
        <v>9.616169558E9</v>
      </c>
    </row>
    <row r="4520" ht="15.75" customHeight="1">
      <c r="A4520" s="6" t="s">
        <v>182</v>
      </c>
      <c r="B4520" s="6" t="s">
        <v>212</v>
      </c>
      <c r="C4520" s="6" t="s">
        <v>576</v>
      </c>
      <c r="D4520" s="6" t="s">
        <v>44</v>
      </c>
      <c r="E4520" s="6" t="s">
        <v>19</v>
      </c>
      <c r="F4520" s="6">
        <v>8.925557254E9</v>
      </c>
    </row>
    <row r="4521" ht="15.75" customHeight="1">
      <c r="A4521" s="6" t="s">
        <v>178</v>
      </c>
      <c r="B4521" s="6" t="s">
        <v>1954</v>
      </c>
      <c r="C4521" s="6" t="s">
        <v>2873</v>
      </c>
      <c r="D4521" s="6" t="s">
        <v>56</v>
      </c>
      <c r="E4521" s="6" t="s">
        <v>19</v>
      </c>
      <c r="F4521" s="6">
        <v>9.142503437E9</v>
      </c>
    </row>
    <row r="4522" ht="15.75" customHeight="1">
      <c r="A4522" s="6" t="s">
        <v>1450</v>
      </c>
      <c r="B4522" s="6" t="s">
        <v>55</v>
      </c>
      <c r="C4522" s="6" t="s">
        <v>2097</v>
      </c>
      <c r="D4522" s="6" t="s">
        <v>44</v>
      </c>
      <c r="E4522" s="6" t="s">
        <v>19</v>
      </c>
      <c r="F4522" s="6">
        <v>8.578891964E9</v>
      </c>
    </row>
    <row r="4523" ht="15.75" customHeight="1">
      <c r="A4523" s="6" t="s">
        <v>2346</v>
      </c>
      <c r="B4523" s="6" t="s">
        <v>2355</v>
      </c>
      <c r="C4523" s="6" t="s">
        <v>3929</v>
      </c>
      <c r="D4523" s="6" t="s">
        <v>26</v>
      </c>
      <c r="E4523" s="6" t="s">
        <v>19</v>
      </c>
      <c r="F4523" s="6">
        <v>8.863904593E9</v>
      </c>
    </row>
    <row r="4524" ht="15.75" customHeight="1">
      <c r="A4524" s="6" t="s">
        <v>4021</v>
      </c>
      <c r="B4524" s="6" t="s">
        <v>152</v>
      </c>
      <c r="C4524" s="6" t="s">
        <v>230</v>
      </c>
      <c r="D4524" s="6" t="s">
        <v>102</v>
      </c>
      <c r="E4524" s="6" t="s">
        <v>19</v>
      </c>
      <c r="F4524" s="6">
        <v>6.202678431E9</v>
      </c>
    </row>
    <row r="4525" ht="15.75" customHeight="1">
      <c r="A4525" s="6" t="s">
        <v>833</v>
      </c>
      <c r="B4525" s="6" t="s">
        <v>21</v>
      </c>
      <c r="C4525" s="6" t="s">
        <v>1510</v>
      </c>
      <c r="D4525" s="6" t="s">
        <v>44</v>
      </c>
      <c r="E4525" s="6" t="s">
        <v>19</v>
      </c>
      <c r="F4525" s="6">
        <v>7.667250086E9</v>
      </c>
    </row>
    <row r="4526" ht="15.75" customHeight="1">
      <c r="A4526" s="6" t="s">
        <v>4022</v>
      </c>
      <c r="B4526" s="6" t="s">
        <v>982</v>
      </c>
      <c r="C4526" s="6" t="s">
        <v>576</v>
      </c>
      <c r="D4526" s="6" t="s">
        <v>14</v>
      </c>
      <c r="E4526" s="6" t="s">
        <v>19</v>
      </c>
      <c r="F4526" s="6">
        <v>9.810269663E9</v>
      </c>
    </row>
    <row r="4527" ht="15.75" customHeight="1">
      <c r="A4527" s="6" t="s">
        <v>1728</v>
      </c>
      <c r="B4527" s="6" t="s">
        <v>21</v>
      </c>
      <c r="C4527" s="6" t="s">
        <v>4023</v>
      </c>
      <c r="D4527" s="6" t="s">
        <v>26</v>
      </c>
      <c r="E4527" s="6" t="s">
        <v>19</v>
      </c>
      <c r="F4527" s="6">
        <v>8.67483983E9</v>
      </c>
    </row>
    <row r="4528" ht="15.75" customHeight="1">
      <c r="A4528" s="6" t="s">
        <v>1429</v>
      </c>
      <c r="B4528" s="6" t="s">
        <v>88</v>
      </c>
      <c r="C4528" s="6" t="s">
        <v>729</v>
      </c>
      <c r="D4528" s="6" t="s">
        <v>56</v>
      </c>
      <c r="E4528" s="6" t="s">
        <v>19</v>
      </c>
      <c r="F4528" s="6">
        <v>8.43190855E9</v>
      </c>
    </row>
    <row r="4529" ht="15.75" customHeight="1">
      <c r="A4529" s="6" t="s">
        <v>521</v>
      </c>
      <c r="B4529" s="6" t="s">
        <v>770</v>
      </c>
      <c r="C4529" s="6" t="s">
        <v>83</v>
      </c>
      <c r="D4529" s="6" t="s">
        <v>14</v>
      </c>
      <c r="E4529" s="6" t="s">
        <v>19</v>
      </c>
      <c r="F4529" s="6">
        <v>9.831947565E9</v>
      </c>
    </row>
    <row r="4530" ht="15.75" customHeight="1">
      <c r="A4530" s="6" t="s">
        <v>829</v>
      </c>
      <c r="B4530" s="6" t="s">
        <v>50</v>
      </c>
      <c r="C4530" s="6" t="s">
        <v>83</v>
      </c>
      <c r="D4530" s="6" t="s">
        <v>44</v>
      </c>
      <c r="E4530" s="6" t="s">
        <v>19</v>
      </c>
      <c r="F4530" s="6">
        <v>7.094116011E9</v>
      </c>
    </row>
    <row r="4531" ht="15.75" customHeight="1">
      <c r="A4531" s="6" t="s">
        <v>2176</v>
      </c>
      <c r="B4531" s="6" t="s">
        <v>1954</v>
      </c>
      <c r="C4531" s="6" t="s">
        <v>2570</v>
      </c>
      <c r="D4531" s="6" t="s">
        <v>56</v>
      </c>
      <c r="E4531" s="6" t="s">
        <v>19</v>
      </c>
      <c r="F4531" s="6">
        <v>9.693556264E9</v>
      </c>
    </row>
    <row r="4532" ht="15.75" customHeight="1">
      <c r="A4532" s="6" t="s">
        <v>4024</v>
      </c>
      <c r="B4532" s="6" t="s">
        <v>1134</v>
      </c>
      <c r="C4532" s="6" t="s">
        <v>246</v>
      </c>
      <c r="D4532" s="6" t="s">
        <v>56</v>
      </c>
      <c r="E4532" s="6" t="s">
        <v>255</v>
      </c>
      <c r="F4532" s="6">
        <v>9.661228172E9</v>
      </c>
    </row>
    <row r="4533" ht="15.75" customHeight="1">
      <c r="A4533" s="6" t="s">
        <v>4025</v>
      </c>
      <c r="B4533" s="6" t="s">
        <v>922</v>
      </c>
      <c r="C4533" s="6" t="s">
        <v>733</v>
      </c>
      <c r="D4533" s="6" t="s">
        <v>29</v>
      </c>
      <c r="E4533" s="6" t="s">
        <v>19</v>
      </c>
      <c r="F4533" s="6">
        <v>9.921567843E9</v>
      </c>
    </row>
    <row r="4534" ht="15.75" customHeight="1">
      <c r="A4534" s="6" t="s">
        <v>989</v>
      </c>
      <c r="B4534" s="6" t="s">
        <v>594</v>
      </c>
      <c r="C4534" s="6" t="s">
        <v>1039</v>
      </c>
      <c r="D4534" s="6" t="s">
        <v>56</v>
      </c>
      <c r="E4534" s="6" t="s">
        <v>19</v>
      </c>
      <c r="F4534" s="6">
        <v>8.7896715E9</v>
      </c>
    </row>
    <row r="4535" ht="15.75" customHeight="1">
      <c r="A4535" s="6" t="s">
        <v>1096</v>
      </c>
      <c r="B4535" s="6" t="s">
        <v>4026</v>
      </c>
      <c r="C4535" s="6" t="s">
        <v>83</v>
      </c>
      <c r="D4535" s="6" t="s">
        <v>44</v>
      </c>
      <c r="E4535" s="6" t="s">
        <v>19</v>
      </c>
      <c r="F4535" s="6">
        <v>6.704099351E9</v>
      </c>
    </row>
    <row r="4536" ht="15.75" customHeight="1">
      <c r="A4536" s="6" t="s">
        <v>1482</v>
      </c>
      <c r="B4536" s="6" t="s">
        <v>664</v>
      </c>
      <c r="C4536" s="6" t="s">
        <v>2907</v>
      </c>
      <c r="D4536" s="6" t="s">
        <v>29</v>
      </c>
      <c r="E4536" s="6" t="s">
        <v>19</v>
      </c>
      <c r="F4536" s="6">
        <v>6.203637288E9</v>
      </c>
    </row>
    <row r="4537" ht="15.75" customHeight="1">
      <c r="A4537" s="6" t="s">
        <v>728</v>
      </c>
      <c r="B4537" s="6" t="s">
        <v>4027</v>
      </c>
      <c r="C4537" s="6" t="s">
        <v>2450</v>
      </c>
      <c r="D4537" s="6" t="s">
        <v>14</v>
      </c>
      <c r="E4537" s="6" t="s">
        <v>19</v>
      </c>
      <c r="F4537" s="6">
        <v>6.202560986E9</v>
      </c>
    </row>
    <row r="4538" ht="15.75" customHeight="1">
      <c r="A4538" s="6" t="s">
        <v>1482</v>
      </c>
      <c r="B4538" s="6" t="s">
        <v>257</v>
      </c>
      <c r="C4538" s="6" t="s">
        <v>655</v>
      </c>
      <c r="D4538" s="6" t="s">
        <v>29</v>
      </c>
      <c r="E4538" s="6" t="s">
        <v>19</v>
      </c>
      <c r="F4538" s="6">
        <v>8.365328299E9</v>
      </c>
    </row>
    <row r="4539" ht="15.75" customHeight="1">
      <c r="A4539" s="6" t="s">
        <v>283</v>
      </c>
      <c r="B4539" s="6" t="s">
        <v>153</v>
      </c>
      <c r="C4539" s="6" t="s">
        <v>4028</v>
      </c>
      <c r="D4539" s="6" t="s">
        <v>56</v>
      </c>
      <c r="E4539" s="6" t="s">
        <v>19</v>
      </c>
      <c r="F4539" s="6">
        <v>8.271707526E9</v>
      </c>
    </row>
    <row r="4540" ht="15.75" customHeight="1">
      <c r="A4540" s="6" t="s">
        <v>98</v>
      </c>
      <c r="B4540" s="6" t="s">
        <v>2167</v>
      </c>
      <c r="C4540" s="6" t="s">
        <v>510</v>
      </c>
      <c r="D4540" s="6" t="s">
        <v>14</v>
      </c>
      <c r="E4540" s="6" t="s">
        <v>19</v>
      </c>
      <c r="F4540" s="6">
        <v>7.549115071E9</v>
      </c>
    </row>
    <row r="4541" ht="15.75" customHeight="1">
      <c r="A4541" s="6" t="s">
        <v>535</v>
      </c>
      <c r="B4541" s="6" t="s">
        <v>55</v>
      </c>
      <c r="C4541" s="6" t="s">
        <v>58</v>
      </c>
      <c r="D4541" s="6" t="s">
        <v>102</v>
      </c>
      <c r="E4541" s="6" t="s">
        <v>19</v>
      </c>
      <c r="F4541" s="6">
        <v>7.879528715E9</v>
      </c>
    </row>
    <row r="4542" ht="15.75" customHeight="1">
      <c r="A4542" s="6" t="s">
        <v>52</v>
      </c>
      <c r="B4542" s="6" t="s">
        <v>4029</v>
      </c>
      <c r="C4542" s="6" t="s">
        <v>638</v>
      </c>
      <c r="D4542" s="6" t="s">
        <v>26</v>
      </c>
      <c r="E4542" s="6" t="s">
        <v>23</v>
      </c>
      <c r="F4542" s="6">
        <v>9.006414972E9</v>
      </c>
    </row>
    <row r="4543" ht="15.75" customHeight="1">
      <c r="A4543" s="6" t="s">
        <v>1654</v>
      </c>
      <c r="B4543" s="6" t="s">
        <v>63</v>
      </c>
      <c r="C4543" s="6" t="s">
        <v>655</v>
      </c>
      <c r="D4543" s="6" t="s">
        <v>9</v>
      </c>
      <c r="E4543" s="6" t="s">
        <v>19</v>
      </c>
      <c r="F4543" s="6">
        <v>9.963456789E9</v>
      </c>
    </row>
    <row r="4544" ht="15.75" customHeight="1">
      <c r="A4544" s="6" t="s">
        <v>853</v>
      </c>
      <c r="B4544" s="6" t="s">
        <v>248</v>
      </c>
      <c r="C4544" s="6" t="s">
        <v>638</v>
      </c>
      <c r="D4544" s="6" t="s">
        <v>26</v>
      </c>
      <c r="E4544" s="6" t="s">
        <v>23</v>
      </c>
      <c r="F4544" s="6">
        <v>8.809962163E9</v>
      </c>
    </row>
    <row r="4545" ht="15.75" customHeight="1">
      <c r="A4545" s="6" t="s">
        <v>4030</v>
      </c>
      <c r="B4545" s="6" t="s">
        <v>212</v>
      </c>
      <c r="C4545" s="6" t="s">
        <v>576</v>
      </c>
      <c r="D4545" s="6" t="s">
        <v>56</v>
      </c>
      <c r="E4545" s="6" t="s">
        <v>19</v>
      </c>
      <c r="F4545" s="6">
        <v>7.011489635E9</v>
      </c>
    </row>
    <row r="4546" ht="15.75" customHeight="1">
      <c r="A4546" s="6" t="s">
        <v>1197</v>
      </c>
      <c r="B4546" s="6" t="s">
        <v>1480</v>
      </c>
      <c r="C4546" s="6" t="s">
        <v>638</v>
      </c>
      <c r="D4546" s="6" t="s">
        <v>26</v>
      </c>
      <c r="E4546" s="6" t="s">
        <v>23</v>
      </c>
      <c r="F4546" s="6">
        <v>7.255097433E9</v>
      </c>
    </row>
    <row r="4547" ht="15.75" customHeight="1">
      <c r="A4547" s="6" t="s">
        <v>4031</v>
      </c>
      <c r="B4547" s="6" t="s">
        <v>88</v>
      </c>
      <c r="C4547" s="6" t="s">
        <v>638</v>
      </c>
      <c r="D4547" s="6" t="s">
        <v>26</v>
      </c>
      <c r="E4547" s="6" t="s">
        <v>23</v>
      </c>
      <c r="F4547" s="6">
        <v>7.561950574E9</v>
      </c>
    </row>
    <row r="4548" ht="15.75" customHeight="1">
      <c r="A4548" s="6" t="s">
        <v>2299</v>
      </c>
      <c r="B4548" s="6" t="s">
        <v>88</v>
      </c>
      <c r="C4548" s="6" t="s">
        <v>638</v>
      </c>
      <c r="D4548" s="6" t="s">
        <v>26</v>
      </c>
      <c r="E4548" s="6" t="s">
        <v>23</v>
      </c>
      <c r="F4548" s="6">
        <v>9.508717856E9</v>
      </c>
    </row>
    <row r="4549" ht="15.75" customHeight="1">
      <c r="A4549" s="6" t="s">
        <v>4029</v>
      </c>
      <c r="B4549" s="6" t="s">
        <v>4032</v>
      </c>
      <c r="C4549" s="6" t="s">
        <v>638</v>
      </c>
      <c r="D4549" s="6" t="s">
        <v>26</v>
      </c>
      <c r="E4549" s="6" t="s">
        <v>23</v>
      </c>
      <c r="F4549" s="6">
        <v>9.508067402E9</v>
      </c>
    </row>
    <row r="4550" ht="15.75" customHeight="1">
      <c r="A4550" s="6" t="s">
        <v>4033</v>
      </c>
      <c r="B4550" s="6" t="s">
        <v>1574</v>
      </c>
      <c r="C4550" s="6" t="s">
        <v>200</v>
      </c>
      <c r="D4550" s="6" t="s">
        <v>56</v>
      </c>
      <c r="E4550" s="6" t="s">
        <v>19</v>
      </c>
      <c r="F4550" s="6">
        <v>7.54984359E9</v>
      </c>
    </row>
    <row r="4551" ht="15.75" customHeight="1">
      <c r="A4551" s="6" t="s">
        <v>4034</v>
      </c>
      <c r="B4551" s="6" t="s">
        <v>153</v>
      </c>
      <c r="C4551" s="6" t="s">
        <v>638</v>
      </c>
      <c r="D4551" s="6" t="s">
        <v>26</v>
      </c>
      <c r="E4551" s="6" t="s">
        <v>23</v>
      </c>
      <c r="F4551" s="6">
        <v>8.271009361E9</v>
      </c>
    </row>
    <row r="4552" ht="15.75" customHeight="1">
      <c r="A4552" s="6" t="s">
        <v>186</v>
      </c>
      <c r="B4552" s="6" t="s">
        <v>50</v>
      </c>
      <c r="C4552" s="6" t="s">
        <v>83</v>
      </c>
      <c r="D4552" s="6" t="s">
        <v>14</v>
      </c>
      <c r="E4552" s="6" t="s">
        <v>19</v>
      </c>
      <c r="F4552" s="6">
        <v>8.074315586E9</v>
      </c>
    </row>
    <row r="4553" ht="15.75" customHeight="1">
      <c r="A4553" s="6" t="s">
        <v>989</v>
      </c>
      <c r="B4553" s="6" t="s">
        <v>55</v>
      </c>
      <c r="C4553" s="6" t="s">
        <v>4035</v>
      </c>
      <c r="D4553" s="6" t="s">
        <v>26</v>
      </c>
      <c r="E4553" s="6" t="s">
        <v>23</v>
      </c>
      <c r="F4553" s="6">
        <v>7.555645605E9</v>
      </c>
    </row>
    <row r="4554" ht="15.75" customHeight="1">
      <c r="A4554" s="6" t="s">
        <v>1304</v>
      </c>
      <c r="B4554" s="6" t="s">
        <v>88</v>
      </c>
      <c r="C4554" s="6" t="s">
        <v>615</v>
      </c>
      <c r="D4554" s="6" t="s">
        <v>44</v>
      </c>
      <c r="E4554" s="6" t="s">
        <v>23</v>
      </c>
      <c r="F4554" s="6">
        <v>8.555746872E9</v>
      </c>
    </row>
    <row r="4555" ht="15.75" customHeight="1">
      <c r="A4555" s="6" t="s">
        <v>491</v>
      </c>
      <c r="B4555" s="6" t="s">
        <v>50</v>
      </c>
      <c r="C4555" s="6" t="s">
        <v>1039</v>
      </c>
      <c r="D4555" s="6" t="s">
        <v>26</v>
      </c>
      <c r="E4555" s="6" t="s">
        <v>19</v>
      </c>
      <c r="F4555" s="6">
        <v>8.789604445E9</v>
      </c>
    </row>
    <row r="4556" ht="15.75" customHeight="1">
      <c r="A4556" s="6" t="s">
        <v>651</v>
      </c>
      <c r="B4556" s="6" t="s">
        <v>248</v>
      </c>
      <c r="C4556" s="6" t="s">
        <v>638</v>
      </c>
      <c r="D4556" s="6" t="s">
        <v>26</v>
      </c>
      <c r="E4556" s="6" t="s">
        <v>23</v>
      </c>
      <c r="F4556" s="6">
        <v>9.123494136E9</v>
      </c>
    </row>
    <row r="4557" ht="15.75" customHeight="1">
      <c r="A4557" s="6" t="s">
        <v>1060</v>
      </c>
      <c r="B4557" s="6" t="s">
        <v>88</v>
      </c>
      <c r="C4557" s="6" t="s">
        <v>1001</v>
      </c>
      <c r="D4557" s="6" t="s">
        <v>56</v>
      </c>
      <c r="E4557" s="6" t="s">
        <v>23</v>
      </c>
      <c r="F4557" s="6">
        <v>8.555983771E9</v>
      </c>
    </row>
    <row r="4558" ht="15.75" customHeight="1">
      <c r="A4558" s="6" t="s">
        <v>1225</v>
      </c>
      <c r="B4558" s="6" t="s">
        <v>664</v>
      </c>
      <c r="C4558" s="6" t="s">
        <v>2450</v>
      </c>
      <c r="D4558" s="6" t="s">
        <v>56</v>
      </c>
      <c r="E4558" s="6" t="s">
        <v>19</v>
      </c>
      <c r="F4558" s="6">
        <v>6.061859024E9</v>
      </c>
    </row>
    <row r="4559" ht="15.75" customHeight="1">
      <c r="A4559" s="6" t="s">
        <v>4036</v>
      </c>
      <c r="B4559" s="6" t="s">
        <v>4036</v>
      </c>
      <c r="C4559" s="6" t="s">
        <v>615</v>
      </c>
      <c r="D4559" s="6" t="s">
        <v>26</v>
      </c>
      <c r="E4559" s="6" t="s">
        <v>23</v>
      </c>
      <c r="F4559" s="6">
        <v>8.555931423E9</v>
      </c>
    </row>
    <row r="4560" ht="15.75" customHeight="1">
      <c r="A4560" s="6" t="s">
        <v>4037</v>
      </c>
      <c r="B4560" s="6" t="s">
        <v>50</v>
      </c>
      <c r="C4560" s="6" t="s">
        <v>83</v>
      </c>
      <c r="D4560" s="6" t="s">
        <v>44</v>
      </c>
      <c r="E4560" s="6" t="s">
        <v>19</v>
      </c>
      <c r="F4560" s="6">
        <v>9.0739543E9</v>
      </c>
    </row>
    <row r="4561" ht="15.75" customHeight="1">
      <c r="A4561" s="6" t="s">
        <v>834</v>
      </c>
      <c r="B4561" s="6" t="s">
        <v>220</v>
      </c>
      <c r="C4561" s="6" t="s">
        <v>638</v>
      </c>
      <c r="D4561" s="6" t="s">
        <v>26</v>
      </c>
      <c r="E4561" s="6" t="s">
        <v>23</v>
      </c>
      <c r="F4561" s="6">
        <v>7.99229552E9</v>
      </c>
    </row>
    <row r="4562" ht="15.75" customHeight="1">
      <c r="A4562" s="6" t="s">
        <v>4038</v>
      </c>
      <c r="B4562" s="6" t="s">
        <v>88</v>
      </c>
      <c r="C4562" s="6" t="s">
        <v>1001</v>
      </c>
      <c r="D4562" s="6" t="s">
        <v>56</v>
      </c>
      <c r="E4562" s="6" t="s">
        <v>23</v>
      </c>
      <c r="F4562" s="6">
        <v>8.555506859E9</v>
      </c>
    </row>
    <row r="4563" ht="15.75" customHeight="1">
      <c r="A4563" s="6" t="s">
        <v>3329</v>
      </c>
      <c r="B4563" s="6" t="s">
        <v>621</v>
      </c>
      <c r="C4563" s="6" t="s">
        <v>1798</v>
      </c>
      <c r="D4563" s="6" t="s">
        <v>26</v>
      </c>
      <c r="E4563" s="6" t="s">
        <v>19</v>
      </c>
      <c r="F4563" s="6">
        <v>9.98763218E9</v>
      </c>
    </row>
    <row r="4564" ht="15.75" customHeight="1">
      <c r="A4564" s="6" t="s">
        <v>4039</v>
      </c>
      <c r="B4564" s="6" t="s">
        <v>220</v>
      </c>
      <c r="C4564" s="6" t="s">
        <v>638</v>
      </c>
      <c r="D4564" s="6" t="s">
        <v>26</v>
      </c>
      <c r="E4564" s="6" t="s">
        <v>23</v>
      </c>
      <c r="F4564" s="6">
        <v>8.235490132E9</v>
      </c>
    </row>
    <row r="4565" ht="15.75" customHeight="1">
      <c r="A4565" s="6" t="s">
        <v>1000</v>
      </c>
      <c r="B4565" s="6" t="s">
        <v>1250</v>
      </c>
      <c r="C4565" s="6" t="s">
        <v>1001</v>
      </c>
      <c r="D4565" s="6" t="s">
        <v>26</v>
      </c>
      <c r="E4565" s="6" t="s">
        <v>23</v>
      </c>
      <c r="F4565" s="6">
        <v>8.555506859E9</v>
      </c>
    </row>
    <row r="4566" ht="15.75" customHeight="1">
      <c r="A4566" s="6" t="s">
        <v>1005</v>
      </c>
      <c r="B4566" s="6" t="s">
        <v>220</v>
      </c>
      <c r="C4566" s="6" t="s">
        <v>638</v>
      </c>
      <c r="D4566" s="6" t="s">
        <v>26</v>
      </c>
      <c r="E4566" s="6" t="s">
        <v>23</v>
      </c>
      <c r="F4566" s="6">
        <v>9.855562329E9</v>
      </c>
    </row>
    <row r="4567" ht="15.75" customHeight="1">
      <c r="A4567" s="6" t="s">
        <v>787</v>
      </c>
      <c r="B4567" s="6" t="s">
        <v>88</v>
      </c>
      <c r="C4567" s="6" t="s">
        <v>638</v>
      </c>
      <c r="D4567" s="6" t="s">
        <v>9</v>
      </c>
      <c r="E4567" s="6" t="s">
        <v>23</v>
      </c>
      <c r="F4567" s="6">
        <v>7.672864715E9</v>
      </c>
    </row>
    <row r="4568" ht="15.75" customHeight="1">
      <c r="A4568" s="6" t="s">
        <v>4040</v>
      </c>
      <c r="B4568" s="6" t="s">
        <v>212</v>
      </c>
      <c r="C4568" s="6" t="s">
        <v>83</v>
      </c>
      <c r="D4568" s="6" t="s">
        <v>14</v>
      </c>
      <c r="E4568" s="6" t="s">
        <v>19</v>
      </c>
      <c r="F4568" s="6">
        <v>7.542070905E9</v>
      </c>
    </row>
    <row r="4569" ht="15.75" customHeight="1">
      <c r="A4569" s="6" t="s">
        <v>4041</v>
      </c>
      <c r="B4569" s="6" t="s">
        <v>88</v>
      </c>
      <c r="C4569" s="6" t="s">
        <v>713</v>
      </c>
      <c r="D4569" s="6" t="s">
        <v>26</v>
      </c>
      <c r="E4569" s="6" t="s">
        <v>23</v>
      </c>
      <c r="F4569" s="6">
        <v>7.555402106E9</v>
      </c>
    </row>
    <row r="4570" ht="15.75" customHeight="1">
      <c r="A4570" s="6" t="s">
        <v>4042</v>
      </c>
      <c r="B4570" s="6" t="s">
        <v>55</v>
      </c>
      <c r="C4570" s="6" t="s">
        <v>1001</v>
      </c>
      <c r="D4570" s="6" t="s">
        <v>56</v>
      </c>
      <c r="E4570" s="6" t="s">
        <v>23</v>
      </c>
      <c r="F4570" s="6">
        <v>9.955575296E9</v>
      </c>
    </row>
    <row r="4571" ht="15.75" customHeight="1">
      <c r="A4571" s="6" t="s">
        <v>227</v>
      </c>
      <c r="B4571" s="6" t="s">
        <v>191</v>
      </c>
      <c r="C4571" s="6" t="s">
        <v>638</v>
      </c>
      <c r="D4571" s="6" t="s">
        <v>26</v>
      </c>
      <c r="E4571" s="6" t="s">
        <v>23</v>
      </c>
      <c r="F4571" s="6">
        <v>9.608200432E9</v>
      </c>
    </row>
    <row r="4572" ht="15.75" customHeight="1">
      <c r="A4572" s="6" t="s">
        <v>4043</v>
      </c>
      <c r="B4572" s="6" t="s">
        <v>4044</v>
      </c>
      <c r="C4572" s="6" t="s">
        <v>4045</v>
      </c>
      <c r="D4572" s="6" t="s">
        <v>26</v>
      </c>
      <c r="E4572" s="6" t="s">
        <v>19</v>
      </c>
      <c r="F4572" s="6">
        <v>7.362010309E9</v>
      </c>
    </row>
    <row r="4573" ht="15.75" customHeight="1">
      <c r="A4573" s="6" t="s">
        <v>2540</v>
      </c>
      <c r="B4573" s="6" t="s">
        <v>191</v>
      </c>
      <c r="C4573" s="6" t="s">
        <v>615</v>
      </c>
      <c r="D4573" s="6" t="s">
        <v>44</v>
      </c>
      <c r="E4573" s="6" t="s">
        <v>23</v>
      </c>
      <c r="F4573" s="6">
        <v>8.555546687E9</v>
      </c>
    </row>
    <row r="4574" ht="15.75" customHeight="1">
      <c r="A4574" s="6" t="s">
        <v>637</v>
      </c>
      <c r="B4574" s="6" t="s">
        <v>153</v>
      </c>
      <c r="C4574" s="6" t="s">
        <v>638</v>
      </c>
      <c r="D4574" s="6" t="s">
        <v>26</v>
      </c>
      <c r="E4574" s="6" t="s">
        <v>23</v>
      </c>
      <c r="F4574" s="6">
        <v>7.780038974E9</v>
      </c>
    </row>
    <row r="4575" ht="15.75" customHeight="1">
      <c r="A4575" s="6" t="s">
        <v>4046</v>
      </c>
      <c r="B4575" s="6" t="s">
        <v>4047</v>
      </c>
      <c r="C4575" s="6" t="s">
        <v>3185</v>
      </c>
      <c r="D4575" s="6" t="s">
        <v>26</v>
      </c>
      <c r="E4575" s="6" t="s">
        <v>23</v>
      </c>
      <c r="F4575" s="6">
        <v>9.355590489E9</v>
      </c>
    </row>
    <row r="4576" ht="15.75" customHeight="1">
      <c r="A4576" s="6" t="s">
        <v>1002</v>
      </c>
      <c r="B4576" s="6" t="s">
        <v>276</v>
      </c>
      <c r="C4576" s="6" t="s">
        <v>58</v>
      </c>
      <c r="D4576" s="6" t="s">
        <v>29</v>
      </c>
      <c r="E4576" s="6" t="s">
        <v>19</v>
      </c>
      <c r="F4576" s="6">
        <v>6.205678021E9</v>
      </c>
    </row>
    <row r="4577" ht="15.75" customHeight="1">
      <c r="A4577" s="6" t="s">
        <v>283</v>
      </c>
      <c r="B4577" s="6" t="s">
        <v>283</v>
      </c>
      <c r="C4577" s="6" t="s">
        <v>4048</v>
      </c>
      <c r="D4577" s="6" t="s">
        <v>26</v>
      </c>
      <c r="E4577" s="6" t="s">
        <v>23</v>
      </c>
      <c r="F4577" s="6">
        <v>7.555614089E9</v>
      </c>
    </row>
    <row r="4578" ht="15.75" customHeight="1">
      <c r="A4578" s="6" t="s">
        <v>682</v>
      </c>
      <c r="B4578" s="6" t="s">
        <v>559</v>
      </c>
      <c r="C4578" s="6" t="s">
        <v>83</v>
      </c>
      <c r="D4578" s="6" t="s">
        <v>14</v>
      </c>
      <c r="E4578" s="6" t="s">
        <v>19</v>
      </c>
      <c r="F4578" s="6">
        <v>9.199955904E9</v>
      </c>
    </row>
    <row r="4579" ht="15.75" customHeight="1">
      <c r="A4579" s="6" t="s">
        <v>1766</v>
      </c>
      <c r="B4579" s="6" t="s">
        <v>4049</v>
      </c>
      <c r="C4579" s="6" t="s">
        <v>58</v>
      </c>
      <c r="D4579" s="6" t="s">
        <v>9</v>
      </c>
      <c r="E4579" s="6" t="s">
        <v>19</v>
      </c>
      <c r="F4579" s="6">
        <v>6.204568731E9</v>
      </c>
    </row>
    <row r="4580" ht="15.75" customHeight="1">
      <c r="A4580" s="6" t="s">
        <v>164</v>
      </c>
      <c r="B4580" s="6" t="s">
        <v>328</v>
      </c>
      <c r="C4580" s="6" t="s">
        <v>3185</v>
      </c>
      <c r="D4580" s="6" t="s">
        <v>56</v>
      </c>
      <c r="E4580" s="6" t="s">
        <v>23</v>
      </c>
      <c r="F4580" s="6">
        <v>8.555566834E9</v>
      </c>
    </row>
    <row r="4581" ht="15.75" customHeight="1">
      <c r="A4581" s="6" t="s">
        <v>4050</v>
      </c>
      <c r="B4581" s="6" t="s">
        <v>153</v>
      </c>
      <c r="C4581" s="6" t="s">
        <v>638</v>
      </c>
      <c r="D4581" s="6" t="s">
        <v>26</v>
      </c>
      <c r="E4581" s="6" t="s">
        <v>23</v>
      </c>
      <c r="F4581" s="6">
        <v>8.210181491E9</v>
      </c>
    </row>
    <row r="4582" ht="15.75" customHeight="1">
      <c r="A4582" s="6" t="s">
        <v>4051</v>
      </c>
      <c r="B4582" s="6" t="s">
        <v>4049</v>
      </c>
      <c r="C4582" s="6" t="s">
        <v>576</v>
      </c>
      <c r="D4582" s="6" t="s">
        <v>44</v>
      </c>
      <c r="E4582" s="6" t="s">
        <v>19</v>
      </c>
      <c r="F4582" s="6">
        <v>8.709363391E9</v>
      </c>
    </row>
    <row r="4583" ht="15.75" customHeight="1">
      <c r="A4583" s="6" t="s">
        <v>1116</v>
      </c>
      <c r="B4583" s="6" t="s">
        <v>55</v>
      </c>
      <c r="C4583" s="6" t="s">
        <v>2552</v>
      </c>
      <c r="D4583" s="6" t="s">
        <v>26</v>
      </c>
      <c r="E4583" s="6" t="s">
        <v>23</v>
      </c>
      <c r="F4583" s="6">
        <v>9.255563142E9</v>
      </c>
    </row>
    <row r="4584" ht="15.75" customHeight="1">
      <c r="A4584" s="6" t="s">
        <v>1766</v>
      </c>
      <c r="B4584" s="6" t="s">
        <v>212</v>
      </c>
      <c r="C4584" s="6" t="s">
        <v>58</v>
      </c>
      <c r="D4584" s="6" t="s">
        <v>9</v>
      </c>
      <c r="E4584" s="6" t="s">
        <v>19</v>
      </c>
      <c r="F4584" s="6">
        <v>6.204567814E9</v>
      </c>
    </row>
    <row r="4585" ht="15.75" customHeight="1">
      <c r="A4585" s="6" t="s">
        <v>2436</v>
      </c>
      <c r="B4585" s="6" t="s">
        <v>746</v>
      </c>
      <c r="C4585" s="6" t="s">
        <v>638</v>
      </c>
      <c r="D4585" s="6" t="s">
        <v>26</v>
      </c>
      <c r="E4585" s="6" t="s">
        <v>23</v>
      </c>
      <c r="F4585" s="6">
        <v>8.674820486E9</v>
      </c>
    </row>
    <row r="4586" ht="15.75" customHeight="1">
      <c r="A4586" s="6" t="s">
        <v>1137</v>
      </c>
      <c r="B4586" s="6" t="s">
        <v>119</v>
      </c>
      <c r="C4586" s="6" t="s">
        <v>453</v>
      </c>
      <c r="D4586" s="6" t="s">
        <v>29</v>
      </c>
      <c r="E4586" s="6" t="s">
        <v>19</v>
      </c>
      <c r="F4586" s="6">
        <v>9.905523781E9</v>
      </c>
    </row>
    <row r="4587" ht="15.75" customHeight="1">
      <c r="A4587" s="6" t="s">
        <v>4052</v>
      </c>
      <c r="B4587" s="6" t="s">
        <v>55</v>
      </c>
      <c r="C4587" s="6" t="s">
        <v>4053</v>
      </c>
      <c r="D4587" s="6" t="s">
        <v>56</v>
      </c>
      <c r="E4587" s="6" t="s">
        <v>23</v>
      </c>
      <c r="F4587" s="6">
        <v>7.555309522E9</v>
      </c>
    </row>
    <row r="4588" ht="15.75" customHeight="1">
      <c r="A4588" s="6" t="s">
        <v>1967</v>
      </c>
      <c r="B4588" s="6" t="s">
        <v>52</v>
      </c>
      <c r="C4588" s="6" t="s">
        <v>230</v>
      </c>
      <c r="D4588" s="6" t="s">
        <v>29</v>
      </c>
      <c r="E4588" s="6" t="s">
        <v>19</v>
      </c>
      <c r="F4588" s="6">
        <v>8.789654819E9</v>
      </c>
    </row>
    <row r="4589" ht="15.75" customHeight="1">
      <c r="A4589" s="6" t="s">
        <v>2849</v>
      </c>
      <c r="B4589" s="6" t="s">
        <v>2849</v>
      </c>
      <c r="C4589" s="6" t="s">
        <v>1001</v>
      </c>
      <c r="D4589" s="6" t="s">
        <v>26</v>
      </c>
      <c r="E4589" s="6" t="s">
        <v>23</v>
      </c>
      <c r="F4589" s="6">
        <v>7.555160186E9</v>
      </c>
    </row>
    <row r="4590" ht="15.75" customHeight="1">
      <c r="A4590" s="6" t="s">
        <v>1092</v>
      </c>
      <c r="B4590" s="6" t="s">
        <v>125</v>
      </c>
      <c r="C4590" s="6" t="s">
        <v>1376</v>
      </c>
      <c r="D4590" s="6" t="s">
        <v>9</v>
      </c>
      <c r="E4590" s="6" t="s">
        <v>19</v>
      </c>
      <c r="F4590" s="6">
        <v>9.976514492E9</v>
      </c>
    </row>
    <row r="4591" ht="15.75" customHeight="1">
      <c r="A4591" s="6" t="s">
        <v>3188</v>
      </c>
      <c r="B4591" s="6" t="s">
        <v>191</v>
      </c>
      <c r="C4591" s="6" t="s">
        <v>638</v>
      </c>
      <c r="D4591" s="6" t="s">
        <v>26</v>
      </c>
      <c r="E4591" s="6" t="s">
        <v>23</v>
      </c>
      <c r="F4591" s="6">
        <v>6.20991743E9</v>
      </c>
    </row>
    <row r="4592" ht="15.75" customHeight="1">
      <c r="A4592" s="6" t="s">
        <v>4054</v>
      </c>
      <c r="B4592" s="6" t="s">
        <v>4055</v>
      </c>
      <c r="C4592" s="6" t="s">
        <v>3749</v>
      </c>
      <c r="D4592" s="6" t="s">
        <v>44</v>
      </c>
      <c r="E4592" s="6" t="s">
        <v>434</v>
      </c>
      <c r="F4592" s="6">
        <v>9.820966117E9</v>
      </c>
    </row>
    <row r="4593" ht="15.75" customHeight="1">
      <c r="A4593" s="6" t="s">
        <v>4056</v>
      </c>
      <c r="B4593" s="6" t="s">
        <v>212</v>
      </c>
      <c r="C4593" s="6" t="s">
        <v>83</v>
      </c>
      <c r="D4593" s="6" t="s">
        <v>14</v>
      </c>
      <c r="E4593" s="6" t="s">
        <v>19</v>
      </c>
      <c r="F4593" s="6">
        <v>9.431506859E9</v>
      </c>
    </row>
    <row r="4594" ht="15.75" customHeight="1">
      <c r="A4594" s="6" t="s">
        <v>4057</v>
      </c>
      <c r="B4594" s="6" t="s">
        <v>4058</v>
      </c>
      <c r="C4594" s="6" t="s">
        <v>3185</v>
      </c>
      <c r="D4594" s="6" t="s">
        <v>26</v>
      </c>
      <c r="E4594" s="6" t="s">
        <v>23</v>
      </c>
      <c r="F4594" s="6">
        <v>9.255592939E9</v>
      </c>
    </row>
    <row r="4595" ht="15.75" customHeight="1">
      <c r="A4595" s="6" t="s">
        <v>186</v>
      </c>
      <c r="B4595" s="6" t="s">
        <v>873</v>
      </c>
      <c r="C4595" s="6" t="s">
        <v>235</v>
      </c>
      <c r="D4595" s="6" t="s">
        <v>26</v>
      </c>
      <c r="E4595" s="6" t="s">
        <v>19</v>
      </c>
      <c r="F4595" s="6">
        <v>7.050638757E9</v>
      </c>
    </row>
    <row r="4596" ht="15.75" customHeight="1">
      <c r="A4596" s="6" t="s">
        <v>4059</v>
      </c>
      <c r="B4596" s="6" t="s">
        <v>88</v>
      </c>
      <c r="C4596" s="6" t="s">
        <v>638</v>
      </c>
      <c r="D4596" s="6" t="s">
        <v>26</v>
      </c>
      <c r="E4596" s="6" t="s">
        <v>23</v>
      </c>
      <c r="F4596" s="6">
        <v>6.20991743E9</v>
      </c>
    </row>
    <row r="4597" ht="15.75" customHeight="1">
      <c r="A4597" s="6" t="s">
        <v>903</v>
      </c>
      <c r="B4597" s="6" t="s">
        <v>52</v>
      </c>
      <c r="C4597" s="6" t="s">
        <v>226</v>
      </c>
      <c r="D4597" s="6" t="s">
        <v>26</v>
      </c>
      <c r="E4597" s="6" t="s">
        <v>19</v>
      </c>
      <c r="F4597" s="6">
        <v>8.987400782E9</v>
      </c>
    </row>
    <row r="4598" ht="15.75" customHeight="1">
      <c r="A4598" s="6" t="s">
        <v>326</v>
      </c>
      <c r="B4598" s="6" t="s">
        <v>55</v>
      </c>
      <c r="C4598" s="6" t="s">
        <v>4048</v>
      </c>
      <c r="D4598" s="6" t="s">
        <v>9</v>
      </c>
      <c r="E4598" s="6" t="s">
        <v>23</v>
      </c>
      <c r="F4598" s="6">
        <v>8.555876861E9</v>
      </c>
    </row>
    <row r="4599" ht="15.75" customHeight="1">
      <c r="A4599" s="6" t="s">
        <v>4060</v>
      </c>
      <c r="B4599" s="6" t="s">
        <v>52</v>
      </c>
      <c r="C4599" s="6" t="s">
        <v>61</v>
      </c>
      <c r="D4599" s="6" t="s">
        <v>56</v>
      </c>
      <c r="E4599" s="6" t="s">
        <v>19</v>
      </c>
      <c r="F4599" s="6">
        <v>9.430346177E9</v>
      </c>
    </row>
    <row r="4600" ht="15.75" customHeight="1">
      <c r="A4600" s="6" t="s">
        <v>1030</v>
      </c>
      <c r="B4600" s="6" t="s">
        <v>4061</v>
      </c>
      <c r="C4600" s="6" t="s">
        <v>615</v>
      </c>
      <c r="D4600" s="6" t="s">
        <v>14</v>
      </c>
      <c r="E4600" s="6" t="s">
        <v>23</v>
      </c>
      <c r="F4600" s="6">
        <v>9.85554811E9</v>
      </c>
    </row>
    <row r="4601" ht="15.75" customHeight="1">
      <c r="A4601" s="6" t="s">
        <v>1246</v>
      </c>
      <c r="B4601" s="6" t="s">
        <v>4062</v>
      </c>
      <c r="C4601" s="6" t="s">
        <v>4063</v>
      </c>
      <c r="D4601" s="6" t="s">
        <v>56</v>
      </c>
      <c r="E4601" s="6" t="s">
        <v>19</v>
      </c>
      <c r="F4601" s="6">
        <v>6.204211349E9</v>
      </c>
    </row>
    <row r="4602" ht="15.75" customHeight="1">
      <c r="A4602" s="6" t="s">
        <v>4064</v>
      </c>
      <c r="B4602" s="6" t="s">
        <v>153</v>
      </c>
      <c r="C4602" s="6" t="s">
        <v>638</v>
      </c>
      <c r="D4602" s="6" t="s">
        <v>26</v>
      </c>
      <c r="E4602" s="6" t="s">
        <v>23</v>
      </c>
      <c r="F4602" s="6">
        <v>7.050227582E9</v>
      </c>
    </row>
    <row r="4603" ht="15.75" customHeight="1">
      <c r="A4603" s="6" t="s">
        <v>4065</v>
      </c>
      <c r="B4603" s="6" t="s">
        <v>119</v>
      </c>
      <c r="C4603" s="6" t="s">
        <v>576</v>
      </c>
      <c r="D4603" s="6" t="s">
        <v>56</v>
      </c>
      <c r="E4603" s="6" t="s">
        <v>19</v>
      </c>
      <c r="F4603" s="6">
        <v>9.006765673E9</v>
      </c>
    </row>
    <row r="4604" ht="15.75" customHeight="1">
      <c r="A4604" s="6" t="s">
        <v>4066</v>
      </c>
      <c r="B4604" s="6" t="s">
        <v>88</v>
      </c>
      <c r="C4604" s="6" t="s">
        <v>638</v>
      </c>
      <c r="D4604" s="6" t="s">
        <v>26</v>
      </c>
      <c r="E4604" s="6" t="s">
        <v>23</v>
      </c>
      <c r="F4604" s="6">
        <v>6.202762731E9</v>
      </c>
    </row>
    <row r="4605" ht="15.75" customHeight="1">
      <c r="A4605" s="6" t="s">
        <v>1278</v>
      </c>
      <c r="B4605" s="6" t="s">
        <v>664</v>
      </c>
      <c r="C4605" s="6" t="s">
        <v>230</v>
      </c>
      <c r="D4605" s="6" t="s">
        <v>14</v>
      </c>
      <c r="E4605" s="6" t="s">
        <v>19</v>
      </c>
      <c r="F4605" s="6">
        <v>9.308990215E9</v>
      </c>
    </row>
    <row r="4606" ht="15.75" customHeight="1">
      <c r="A4606" s="6" t="s">
        <v>776</v>
      </c>
      <c r="B4606" s="6" t="s">
        <v>4067</v>
      </c>
      <c r="C4606" s="6" t="s">
        <v>592</v>
      </c>
      <c r="D4606" s="6" t="s">
        <v>26</v>
      </c>
      <c r="E4606" s="6" t="s">
        <v>255</v>
      </c>
      <c r="F4606" s="6">
        <v>9.430350114E9</v>
      </c>
    </row>
    <row r="4607" ht="15.75" customHeight="1">
      <c r="A4607" s="6" t="s">
        <v>4068</v>
      </c>
      <c r="B4607" s="6" t="s">
        <v>191</v>
      </c>
      <c r="C4607" s="6" t="s">
        <v>638</v>
      </c>
      <c r="D4607" s="6" t="s">
        <v>26</v>
      </c>
      <c r="E4607" s="6" t="s">
        <v>23</v>
      </c>
      <c r="F4607" s="6">
        <v>8.21005079E9</v>
      </c>
    </row>
    <row r="4608" ht="15.75" customHeight="1">
      <c r="A4608" s="6" t="s">
        <v>4069</v>
      </c>
      <c r="B4608" s="6" t="s">
        <v>328</v>
      </c>
      <c r="C4608" s="6" t="s">
        <v>556</v>
      </c>
      <c r="D4608" s="6" t="s">
        <v>26</v>
      </c>
      <c r="E4608" s="6" t="s">
        <v>255</v>
      </c>
      <c r="F4608" s="6">
        <v>6.204800528E9</v>
      </c>
    </row>
    <row r="4609" ht="15.75" customHeight="1">
      <c r="A4609" s="6" t="s">
        <v>4041</v>
      </c>
      <c r="B4609" s="6" t="s">
        <v>153</v>
      </c>
      <c r="C4609" s="6" t="s">
        <v>638</v>
      </c>
      <c r="D4609" s="6" t="s">
        <v>26</v>
      </c>
      <c r="E4609" s="6" t="s">
        <v>23</v>
      </c>
      <c r="F4609" s="6">
        <v>9.142146957E9</v>
      </c>
    </row>
    <row r="4610" ht="15.75" customHeight="1">
      <c r="A4610" s="6" t="s">
        <v>1180</v>
      </c>
      <c r="B4610" s="6" t="s">
        <v>55</v>
      </c>
      <c r="C4610" s="6" t="s">
        <v>556</v>
      </c>
      <c r="D4610" s="6" t="s">
        <v>56</v>
      </c>
      <c r="E4610" s="6" t="s">
        <v>255</v>
      </c>
      <c r="F4610" s="6">
        <v>8.271179518E9</v>
      </c>
    </row>
    <row r="4611" ht="15.75" customHeight="1">
      <c r="A4611" s="6" t="s">
        <v>1201</v>
      </c>
      <c r="B4611" s="6" t="s">
        <v>55</v>
      </c>
      <c r="C4611" s="6" t="s">
        <v>556</v>
      </c>
      <c r="D4611" s="6" t="s">
        <v>56</v>
      </c>
      <c r="E4611" s="6" t="s">
        <v>255</v>
      </c>
      <c r="F4611" s="6">
        <v>8.092550105E9</v>
      </c>
    </row>
    <row r="4612" ht="15.75" customHeight="1">
      <c r="A4612" s="6" t="s">
        <v>1149</v>
      </c>
      <c r="B4612" s="6" t="s">
        <v>328</v>
      </c>
      <c r="C4612" s="6" t="s">
        <v>638</v>
      </c>
      <c r="D4612" s="6" t="s">
        <v>26</v>
      </c>
      <c r="E4612" s="6" t="s">
        <v>23</v>
      </c>
      <c r="F4612" s="6">
        <v>9.608656383E9</v>
      </c>
    </row>
    <row r="4613" ht="15.75" customHeight="1">
      <c r="A4613" s="6" t="s">
        <v>4070</v>
      </c>
      <c r="B4613" s="6" t="s">
        <v>4071</v>
      </c>
      <c r="C4613" s="6" t="s">
        <v>556</v>
      </c>
      <c r="D4613" s="6" t="s">
        <v>56</v>
      </c>
      <c r="E4613" s="6" t="s">
        <v>255</v>
      </c>
      <c r="F4613" s="6">
        <v>7.870444656E9</v>
      </c>
    </row>
    <row r="4614" ht="15.75" customHeight="1">
      <c r="A4614" s="6" t="s">
        <v>4072</v>
      </c>
      <c r="B4614" s="6" t="s">
        <v>2017</v>
      </c>
      <c r="C4614" s="6" t="s">
        <v>235</v>
      </c>
      <c r="D4614" s="6" t="s">
        <v>26</v>
      </c>
      <c r="E4614" s="6" t="s">
        <v>19</v>
      </c>
      <c r="F4614" s="6">
        <v>9.431591473E9</v>
      </c>
    </row>
    <row r="4615" ht="15.75" customHeight="1">
      <c r="A4615" s="6" t="s">
        <v>2862</v>
      </c>
      <c r="B4615" s="6" t="s">
        <v>4073</v>
      </c>
      <c r="C4615" s="6" t="s">
        <v>556</v>
      </c>
      <c r="D4615" s="6" t="s">
        <v>26</v>
      </c>
      <c r="E4615" s="6" t="s">
        <v>255</v>
      </c>
      <c r="F4615" s="6">
        <v>9.102824003E9</v>
      </c>
    </row>
    <row r="4616" ht="15.75" customHeight="1">
      <c r="A4616" s="6" t="s">
        <v>1609</v>
      </c>
      <c r="B4616" s="6" t="s">
        <v>55</v>
      </c>
      <c r="C4616" s="6" t="s">
        <v>325</v>
      </c>
      <c r="D4616" s="6" t="s">
        <v>56</v>
      </c>
      <c r="E4616" s="6" t="s">
        <v>255</v>
      </c>
      <c r="F4616" s="6">
        <v>8.340326308E9</v>
      </c>
    </row>
    <row r="4617" ht="15.75" customHeight="1">
      <c r="A4617" s="6" t="s">
        <v>4074</v>
      </c>
      <c r="B4617" s="6" t="s">
        <v>220</v>
      </c>
      <c r="C4617" s="6" t="s">
        <v>1798</v>
      </c>
      <c r="D4617" s="6" t="s">
        <v>9</v>
      </c>
      <c r="E4617" s="6" t="s">
        <v>19</v>
      </c>
      <c r="F4617" s="6">
        <v>6.202459871E9</v>
      </c>
    </row>
    <row r="4618" ht="15.75" customHeight="1">
      <c r="A4618" s="6" t="s">
        <v>4075</v>
      </c>
      <c r="B4618" s="6" t="s">
        <v>559</v>
      </c>
      <c r="C4618" s="6" t="s">
        <v>325</v>
      </c>
      <c r="D4618" s="6" t="s">
        <v>26</v>
      </c>
      <c r="E4618" s="6" t="s">
        <v>255</v>
      </c>
      <c r="F4618" s="6">
        <v>8.340326308E9</v>
      </c>
    </row>
    <row r="4619" ht="15.75" customHeight="1">
      <c r="A4619" s="6" t="s">
        <v>707</v>
      </c>
      <c r="B4619" s="6" t="s">
        <v>55</v>
      </c>
      <c r="C4619" s="6" t="s">
        <v>4076</v>
      </c>
      <c r="D4619" s="6" t="s">
        <v>26</v>
      </c>
      <c r="E4619" s="6" t="s">
        <v>23</v>
      </c>
      <c r="F4619" s="6">
        <v>7.061731466E9</v>
      </c>
    </row>
    <row r="4620" ht="15.75" customHeight="1">
      <c r="A4620" s="6" t="s">
        <v>146</v>
      </c>
      <c r="B4620" s="6" t="s">
        <v>52</v>
      </c>
      <c r="C4620" s="6" t="s">
        <v>4077</v>
      </c>
      <c r="D4620" s="6" t="s">
        <v>9</v>
      </c>
      <c r="E4620" s="6" t="s">
        <v>19</v>
      </c>
      <c r="F4620" s="6">
        <v>6.205678245E9</v>
      </c>
    </row>
    <row r="4621" ht="15.75" customHeight="1">
      <c r="A4621" s="6" t="s">
        <v>283</v>
      </c>
      <c r="B4621" s="6" t="s">
        <v>4078</v>
      </c>
      <c r="C4621" s="6" t="s">
        <v>2298</v>
      </c>
      <c r="D4621" s="6" t="s">
        <v>26</v>
      </c>
      <c r="E4621" s="6" t="s">
        <v>255</v>
      </c>
      <c r="F4621" s="6">
        <v>7.870134678E9</v>
      </c>
    </row>
    <row r="4622" ht="15.75" customHeight="1">
      <c r="A4622" s="6" t="s">
        <v>3062</v>
      </c>
      <c r="B4622" s="6" t="s">
        <v>55</v>
      </c>
      <c r="C4622" s="6" t="s">
        <v>4077</v>
      </c>
      <c r="D4622" s="6" t="s">
        <v>14</v>
      </c>
      <c r="E4622" s="6" t="s">
        <v>19</v>
      </c>
      <c r="F4622" s="6">
        <v>6.205678245E9</v>
      </c>
    </row>
    <row r="4623" ht="15.75" customHeight="1">
      <c r="A4623" s="6" t="s">
        <v>4079</v>
      </c>
      <c r="B4623" s="6" t="s">
        <v>55</v>
      </c>
      <c r="C4623" s="6" t="s">
        <v>2298</v>
      </c>
      <c r="D4623" s="6" t="s">
        <v>26</v>
      </c>
      <c r="E4623" s="6" t="s">
        <v>255</v>
      </c>
      <c r="F4623" s="6">
        <v>9.006771779E9</v>
      </c>
    </row>
    <row r="4624" ht="15.75" customHeight="1">
      <c r="A4624" s="6" t="s">
        <v>4080</v>
      </c>
      <c r="B4624" s="6" t="s">
        <v>220</v>
      </c>
      <c r="C4624" s="6" t="s">
        <v>235</v>
      </c>
      <c r="D4624" s="6" t="s">
        <v>26</v>
      </c>
      <c r="E4624" s="6" t="s">
        <v>19</v>
      </c>
      <c r="F4624" s="6">
        <v>7.050638757E9</v>
      </c>
    </row>
    <row r="4625" ht="15.75" customHeight="1">
      <c r="A4625" s="6" t="s">
        <v>4081</v>
      </c>
      <c r="B4625" s="6" t="s">
        <v>88</v>
      </c>
      <c r="C4625" s="6" t="s">
        <v>4076</v>
      </c>
      <c r="D4625" s="6" t="s">
        <v>26</v>
      </c>
      <c r="E4625" s="6" t="s">
        <v>23</v>
      </c>
      <c r="F4625" s="6">
        <v>9.162088762E9</v>
      </c>
    </row>
    <row r="4626" ht="15.75" customHeight="1">
      <c r="A4626" s="6" t="s">
        <v>1043</v>
      </c>
      <c r="B4626" s="6" t="s">
        <v>55</v>
      </c>
      <c r="C4626" s="6" t="s">
        <v>2298</v>
      </c>
      <c r="D4626" s="6" t="s">
        <v>26</v>
      </c>
      <c r="E4626" s="6" t="s">
        <v>255</v>
      </c>
      <c r="F4626" s="6">
        <v>8.210109096E9</v>
      </c>
    </row>
    <row r="4627" ht="15.75" customHeight="1">
      <c r="A4627" s="6" t="s">
        <v>1332</v>
      </c>
      <c r="B4627" s="6" t="s">
        <v>212</v>
      </c>
      <c r="C4627" s="6" t="s">
        <v>226</v>
      </c>
      <c r="D4627" s="6" t="s">
        <v>56</v>
      </c>
      <c r="E4627" s="6" t="s">
        <v>19</v>
      </c>
      <c r="F4627" s="6">
        <v>9.897642517E9</v>
      </c>
    </row>
    <row r="4628" ht="15.75" customHeight="1">
      <c r="A4628" s="6" t="s">
        <v>4082</v>
      </c>
      <c r="B4628" s="6" t="s">
        <v>55</v>
      </c>
      <c r="C4628" s="6" t="s">
        <v>325</v>
      </c>
      <c r="D4628" s="6" t="s">
        <v>26</v>
      </c>
      <c r="E4628" s="6" t="s">
        <v>255</v>
      </c>
      <c r="F4628" s="6">
        <v>6.20725443E9</v>
      </c>
    </row>
    <row r="4629" ht="15.75" customHeight="1">
      <c r="A4629" s="6" t="s">
        <v>3285</v>
      </c>
      <c r="B4629" s="6" t="s">
        <v>55</v>
      </c>
      <c r="C4629" s="6" t="s">
        <v>325</v>
      </c>
      <c r="D4629" s="6" t="s">
        <v>26</v>
      </c>
      <c r="E4629" s="6" t="s">
        <v>255</v>
      </c>
      <c r="F4629" s="6">
        <v>8.09287852E9</v>
      </c>
    </row>
    <row r="4630" ht="15.75" customHeight="1">
      <c r="A4630" s="6" t="s">
        <v>1180</v>
      </c>
      <c r="B4630" s="6" t="s">
        <v>55</v>
      </c>
      <c r="C4630" s="6" t="s">
        <v>325</v>
      </c>
      <c r="D4630" s="6" t="s">
        <v>26</v>
      </c>
      <c r="E4630" s="6" t="s">
        <v>255</v>
      </c>
      <c r="F4630" s="6">
        <v>7.050157211E9</v>
      </c>
    </row>
    <row r="4631" ht="15.75" customHeight="1">
      <c r="A4631" s="6" t="s">
        <v>647</v>
      </c>
      <c r="B4631" s="6" t="s">
        <v>212</v>
      </c>
      <c r="C4631" s="6" t="s">
        <v>325</v>
      </c>
      <c r="D4631" s="6" t="s">
        <v>56</v>
      </c>
      <c r="E4631" s="6" t="s">
        <v>255</v>
      </c>
      <c r="F4631" s="6">
        <v>9.155023346E9</v>
      </c>
    </row>
    <row r="4632" ht="15.75" customHeight="1">
      <c r="A4632" s="6" t="s">
        <v>219</v>
      </c>
      <c r="B4632" s="6" t="s">
        <v>55</v>
      </c>
      <c r="C4632" s="6" t="s">
        <v>325</v>
      </c>
      <c r="D4632" s="6" t="s">
        <v>26</v>
      </c>
      <c r="E4632" s="6" t="s">
        <v>255</v>
      </c>
      <c r="F4632" s="6">
        <v>9.2342755E9</v>
      </c>
    </row>
    <row r="4633" ht="15.75" customHeight="1">
      <c r="A4633" s="6" t="s">
        <v>463</v>
      </c>
      <c r="B4633" s="6" t="s">
        <v>1658</v>
      </c>
      <c r="C4633" s="6" t="s">
        <v>4083</v>
      </c>
      <c r="D4633" s="6" t="s">
        <v>26</v>
      </c>
      <c r="E4633" s="6" t="s">
        <v>3870</v>
      </c>
      <c r="F4633" s="6">
        <v>8.808488778E9</v>
      </c>
    </row>
    <row r="4634" ht="15.75" customHeight="1">
      <c r="A4634" s="6" t="s">
        <v>4084</v>
      </c>
      <c r="B4634" s="6" t="s">
        <v>512</v>
      </c>
      <c r="C4634" s="6" t="s">
        <v>4083</v>
      </c>
      <c r="D4634" s="6" t="s">
        <v>26</v>
      </c>
      <c r="E4634" s="6" t="s">
        <v>3870</v>
      </c>
      <c r="F4634" s="6">
        <v>8.953384626E9</v>
      </c>
    </row>
    <row r="4635" ht="15.75" customHeight="1">
      <c r="A4635" s="6" t="s">
        <v>4085</v>
      </c>
      <c r="B4635" s="6" t="s">
        <v>2164</v>
      </c>
      <c r="C4635" s="6" t="s">
        <v>335</v>
      </c>
      <c r="D4635" s="6" t="s">
        <v>56</v>
      </c>
      <c r="E4635" s="6" t="s">
        <v>19</v>
      </c>
      <c r="F4635" s="6">
        <v>9.934159479E9</v>
      </c>
    </row>
    <row r="4636" ht="15.75" customHeight="1">
      <c r="A4636" s="6" t="s">
        <v>1079</v>
      </c>
      <c r="B4636" s="6" t="s">
        <v>63</v>
      </c>
      <c r="C4636" s="6" t="s">
        <v>335</v>
      </c>
      <c r="D4636" s="6" t="s">
        <v>26</v>
      </c>
      <c r="E4636" s="6" t="s">
        <v>19</v>
      </c>
      <c r="F4636" s="6">
        <v>8.002537841E9</v>
      </c>
    </row>
    <row r="4637" ht="15.75" customHeight="1">
      <c r="A4637" s="6" t="s">
        <v>906</v>
      </c>
      <c r="B4637" s="6" t="s">
        <v>55</v>
      </c>
      <c r="C4637" s="6" t="s">
        <v>325</v>
      </c>
      <c r="D4637" s="6" t="s">
        <v>26</v>
      </c>
      <c r="E4637" s="6" t="s">
        <v>255</v>
      </c>
      <c r="F4637" s="6">
        <v>9.234724527E9</v>
      </c>
    </row>
    <row r="4638" ht="15.75" customHeight="1">
      <c r="A4638" s="6" t="s">
        <v>4086</v>
      </c>
      <c r="B4638" s="6" t="s">
        <v>191</v>
      </c>
      <c r="C4638" s="6" t="s">
        <v>592</v>
      </c>
      <c r="D4638" s="6" t="s">
        <v>56</v>
      </c>
      <c r="E4638" s="6" t="s">
        <v>255</v>
      </c>
      <c r="F4638" s="6">
        <v>8.797772329E9</v>
      </c>
    </row>
    <row r="4639" ht="15.75" customHeight="1">
      <c r="A4639" s="6" t="s">
        <v>159</v>
      </c>
      <c r="B4639" s="6" t="s">
        <v>55</v>
      </c>
      <c r="C4639" s="6" t="s">
        <v>592</v>
      </c>
      <c r="D4639" s="6" t="s">
        <v>26</v>
      </c>
      <c r="E4639" s="6" t="s">
        <v>255</v>
      </c>
      <c r="F4639" s="6">
        <v>9.973643376E9</v>
      </c>
    </row>
    <row r="4640" ht="15.75" customHeight="1">
      <c r="A4640" s="6" t="s">
        <v>4001</v>
      </c>
      <c r="B4640" s="6" t="s">
        <v>269</v>
      </c>
      <c r="C4640" s="6" t="s">
        <v>325</v>
      </c>
      <c r="D4640" s="6" t="s">
        <v>26</v>
      </c>
      <c r="E4640" s="6" t="s">
        <v>255</v>
      </c>
      <c r="F4640" s="6">
        <v>7.546954601E9</v>
      </c>
    </row>
    <row r="4641" ht="15.75" customHeight="1">
      <c r="A4641" s="6" t="s">
        <v>1985</v>
      </c>
      <c r="B4641" s="6" t="s">
        <v>88</v>
      </c>
      <c r="C4641" s="6" t="s">
        <v>2298</v>
      </c>
      <c r="D4641" s="6" t="s">
        <v>102</v>
      </c>
      <c r="E4641" s="6" t="s">
        <v>255</v>
      </c>
      <c r="F4641" s="6">
        <v>8.797936857E9</v>
      </c>
    </row>
    <row r="4642" ht="15.75" customHeight="1">
      <c r="A4642" s="6" t="s">
        <v>898</v>
      </c>
      <c r="B4642" s="6" t="s">
        <v>55</v>
      </c>
      <c r="C4642" s="6" t="s">
        <v>592</v>
      </c>
      <c r="D4642" s="6" t="s">
        <v>26</v>
      </c>
      <c r="E4642" s="6" t="s">
        <v>255</v>
      </c>
      <c r="F4642" s="6">
        <v>7.277630744E9</v>
      </c>
    </row>
    <row r="4643" ht="15.75" customHeight="1">
      <c r="A4643" s="6" t="s">
        <v>4087</v>
      </c>
      <c r="B4643" s="6" t="s">
        <v>4088</v>
      </c>
      <c r="C4643" s="6" t="s">
        <v>4089</v>
      </c>
      <c r="D4643" s="6" t="s">
        <v>102</v>
      </c>
      <c r="E4643" s="6" t="s">
        <v>15</v>
      </c>
      <c r="F4643" s="6">
        <v>8.381080147E9</v>
      </c>
    </row>
    <row r="4644" ht="15.75" customHeight="1">
      <c r="A4644" s="6" t="s">
        <v>4090</v>
      </c>
      <c r="B4644" s="6" t="s">
        <v>55</v>
      </c>
      <c r="C4644" s="6" t="s">
        <v>592</v>
      </c>
      <c r="D4644" s="6" t="s">
        <v>26</v>
      </c>
      <c r="E4644" s="6" t="s">
        <v>255</v>
      </c>
      <c r="F4644" s="6">
        <v>8.789211425E9</v>
      </c>
    </row>
    <row r="4645" ht="15.75" customHeight="1">
      <c r="A4645" s="6" t="s">
        <v>1842</v>
      </c>
      <c r="B4645" s="6" t="s">
        <v>1235</v>
      </c>
      <c r="C4645" s="6" t="s">
        <v>4091</v>
      </c>
      <c r="D4645" s="6" t="s">
        <v>9</v>
      </c>
      <c r="E4645" s="6" t="s">
        <v>1102</v>
      </c>
      <c r="F4645" s="6">
        <v>8.882288872E9</v>
      </c>
    </row>
    <row r="4646" ht="15.75" customHeight="1">
      <c r="A4646" s="6" t="s">
        <v>1241</v>
      </c>
      <c r="B4646" s="6" t="s">
        <v>618</v>
      </c>
      <c r="C4646" s="6" t="s">
        <v>592</v>
      </c>
      <c r="D4646" s="6" t="s">
        <v>26</v>
      </c>
      <c r="E4646" s="6" t="s">
        <v>255</v>
      </c>
      <c r="F4646" s="6">
        <v>8.658784314E9</v>
      </c>
    </row>
    <row r="4647" ht="15.75" customHeight="1">
      <c r="A4647" s="6" t="s">
        <v>1201</v>
      </c>
      <c r="B4647" s="6" t="s">
        <v>55</v>
      </c>
      <c r="C4647" s="6" t="s">
        <v>83</v>
      </c>
      <c r="D4647" s="6" t="s">
        <v>29</v>
      </c>
      <c r="E4647" s="6" t="s">
        <v>255</v>
      </c>
      <c r="F4647" s="6">
        <v>9.335115555E9</v>
      </c>
    </row>
    <row r="4648" ht="15.75" customHeight="1">
      <c r="A4648" s="6" t="s">
        <v>3004</v>
      </c>
      <c r="B4648" s="6" t="s">
        <v>55</v>
      </c>
      <c r="C4648" s="6" t="s">
        <v>592</v>
      </c>
      <c r="D4648" s="6" t="s">
        <v>26</v>
      </c>
      <c r="E4648" s="6" t="s">
        <v>255</v>
      </c>
      <c r="F4648" s="6">
        <v>7.309714206E9</v>
      </c>
    </row>
    <row r="4649" ht="15.75" customHeight="1">
      <c r="A4649" s="6" t="s">
        <v>2862</v>
      </c>
      <c r="B4649" s="6" t="s">
        <v>55</v>
      </c>
      <c r="C4649" s="6" t="s">
        <v>2298</v>
      </c>
      <c r="D4649" s="6" t="s">
        <v>26</v>
      </c>
      <c r="E4649" s="6" t="s">
        <v>255</v>
      </c>
      <c r="F4649" s="6">
        <v>9.431757006E9</v>
      </c>
    </row>
    <row r="4650" ht="15.75" customHeight="1">
      <c r="A4650" s="6" t="s">
        <v>996</v>
      </c>
      <c r="B4650" s="6" t="s">
        <v>78</v>
      </c>
      <c r="C4650" s="6" t="s">
        <v>576</v>
      </c>
      <c r="D4650" s="6" t="s">
        <v>56</v>
      </c>
      <c r="E4650" s="6" t="s">
        <v>282</v>
      </c>
      <c r="F4650" s="6">
        <v>9.898060002E9</v>
      </c>
    </row>
    <row r="4651" ht="15.75" customHeight="1">
      <c r="A4651" s="6" t="s">
        <v>2693</v>
      </c>
      <c r="B4651" s="6" t="s">
        <v>4092</v>
      </c>
      <c r="C4651" s="6" t="s">
        <v>2587</v>
      </c>
      <c r="D4651" s="6" t="s">
        <v>26</v>
      </c>
      <c r="E4651" s="6" t="s">
        <v>282</v>
      </c>
      <c r="F4651" s="6">
        <v>6.351311916E9</v>
      </c>
    </row>
    <row r="4652" ht="15.75" customHeight="1">
      <c r="A4652" s="6" t="s">
        <v>4093</v>
      </c>
      <c r="B4652" s="6" t="s">
        <v>4094</v>
      </c>
      <c r="C4652" s="6" t="s">
        <v>3445</v>
      </c>
      <c r="D4652" s="6" t="s">
        <v>9</v>
      </c>
      <c r="E4652" s="6" t="s">
        <v>282</v>
      </c>
      <c r="F4652" s="6">
        <v>9.427758248E9</v>
      </c>
    </row>
    <row r="4653" ht="15.75" customHeight="1">
      <c r="A4653" s="6" t="s">
        <v>996</v>
      </c>
      <c r="B4653" s="6" t="s">
        <v>145</v>
      </c>
      <c r="C4653" s="6" t="s">
        <v>3826</v>
      </c>
      <c r="D4653" s="6" t="s">
        <v>56</v>
      </c>
      <c r="E4653" s="6" t="s">
        <v>282</v>
      </c>
      <c r="F4653" s="6">
        <v>9.997999951E9</v>
      </c>
    </row>
    <row r="4654" ht="15.75" customHeight="1">
      <c r="A4654" s="6" t="s">
        <v>2358</v>
      </c>
      <c r="B4654" s="6" t="s">
        <v>4095</v>
      </c>
      <c r="C4654" s="6" t="s">
        <v>4096</v>
      </c>
      <c r="D4654" s="6" t="s">
        <v>44</v>
      </c>
      <c r="E4654" s="6" t="s">
        <v>282</v>
      </c>
      <c r="F4654" s="6">
        <v>9.375824288E9</v>
      </c>
    </row>
    <row r="4655" ht="15.75" customHeight="1">
      <c r="A4655" s="6" t="s">
        <v>1409</v>
      </c>
      <c r="B4655" s="6" t="s">
        <v>1303</v>
      </c>
      <c r="C4655" s="6" t="s">
        <v>4097</v>
      </c>
      <c r="D4655" s="6" t="s">
        <v>44</v>
      </c>
      <c r="E4655" s="6" t="s">
        <v>282</v>
      </c>
      <c r="F4655" s="6">
        <v>9.978677528E9</v>
      </c>
    </row>
    <row r="4656" ht="15.75" customHeight="1">
      <c r="A4656" s="6" t="s">
        <v>2592</v>
      </c>
      <c r="B4656" s="6" t="s">
        <v>78</v>
      </c>
      <c r="C4656" s="6" t="s">
        <v>3816</v>
      </c>
      <c r="D4656" s="6" t="s">
        <v>44</v>
      </c>
      <c r="E4656" s="6" t="s">
        <v>282</v>
      </c>
      <c r="F4656" s="6">
        <v>9.82404892E9</v>
      </c>
    </row>
    <row r="4657" ht="15.75" customHeight="1">
      <c r="A4657" s="6" t="s">
        <v>4098</v>
      </c>
      <c r="B4657" s="6" t="s">
        <v>4099</v>
      </c>
      <c r="C4657" s="6" t="s">
        <v>4100</v>
      </c>
      <c r="D4657" s="6" t="s">
        <v>26</v>
      </c>
      <c r="E4657" s="6" t="s">
        <v>4101</v>
      </c>
      <c r="F4657" s="6">
        <v>5.87200525E8</v>
      </c>
    </row>
    <row r="4658" ht="15.75" customHeight="1">
      <c r="A4658" s="6" t="s">
        <v>4102</v>
      </c>
      <c r="B4658" s="6" t="s">
        <v>4103</v>
      </c>
      <c r="C4658" s="6" t="s">
        <v>4104</v>
      </c>
      <c r="D4658" s="6" t="s">
        <v>9</v>
      </c>
      <c r="E4658" s="6" t="s">
        <v>4105</v>
      </c>
      <c r="F4658" s="6">
        <v>5.32855225E8</v>
      </c>
    </row>
    <row r="4659" ht="15.75" customHeight="1">
      <c r="A4659" s="6" t="s">
        <v>4106</v>
      </c>
      <c r="B4659" s="6" t="s">
        <v>4107</v>
      </c>
      <c r="C4659" s="6" t="s">
        <v>4108</v>
      </c>
      <c r="D4659" s="6" t="s">
        <v>9</v>
      </c>
      <c r="E4659" s="6" t="s">
        <v>4109</v>
      </c>
      <c r="F4659" s="6">
        <v>9.666548722E9</v>
      </c>
    </row>
    <row r="4660" ht="15.75" customHeight="1">
      <c r="A4660" s="6" t="s">
        <v>1201</v>
      </c>
      <c r="B4660" s="6" t="s">
        <v>269</v>
      </c>
      <c r="C4660" s="6" t="s">
        <v>83</v>
      </c>
      <c r="D4660" s="6" t="s">
        <v>29</v>
      </c>
      <c r="E4660" s="6" t="s">
        <v>255</v>
      </c>
      <c r="F4660" s="6">
        <v>9.7623319E9</v>
      </c>
    </row>
    <row r="4661" ht="15.75" customHeight="1">
      <c r="A4661" s="6" t="s">
        <v>4110</v>
      </c>
      <c r="B4661" s="6" t="s">
        <v>621</v>
      </c>
      <c r="C4661" s="6" t="s">
        <v>592</v>
      </c>
      <c r="D4661" s="6" t="s">
        <v>26</v>
      </c>
      <c r="E4661" s="6" t="s">
        <v>255</v>
      </c>
      <c r="F4661" s="6">
        <v>9.431757006E9</v>
      </c>
    </row>
    <row r="4662" ht="15.75" customHeight="1">
      <c r="A4662" s="6" t="s">
        <v>4111</v>
      </c>
      <c r="B4662" s="6" t="s">
        <v>88</v>
      </c>
      <c r="C4662" s="6" t="s">
        <v>592</v>
      </c>
      <c r="D4662" s="6" t="s">
        <v>26</v>
      </c>
      <c r="E4662" s="6" t="s">
        <v>255</v>
      </c>
      <c r="F4662" s="6">
        <v>8.340436361E9</v>
      </c>
    </row>
    <row r="4663" ht="15.75" customHeight="1">
      <c r="A4663" s="6" t="s">
        <v>1333</v>
      </c>
      <c r="B4663" s="6" t="s">
        <v>1334</v>
      </c>
      <c r="C4663" s="6" t="s">
        <v>4112</v>
      </c>
      <c r="D4663" s="6" t="s">
        <v>44</v>
      </c>
      <c r="E4663" s="6" t="s">
        <v>1335</v>
      </c>
      <c r="F4663" s="6">
        <v>7.760116888E9</v>
      </c>
    </row>
    <row r="4664" ht="15.75" customHeight="1">
      <c r="A4664" s="6" t="s">
        <v>1207</v>
      </c>
      <c r="B4664" s="6" t="s">
        <v>621</v>
      </c>
      <c r="C4664" s="6" t="s">
        <v>2298</v>
      </c>
      <c r="D4664" s="6" t="s">
        <v>26</v>
      </c>
      <c r="E4664" s="6" t="s">
        <v>255</v>
      </c>
      <c r="F4664" s="6">
        <v>7.856901308E9</v>
      </c>
    </row>
    <row r="4665" ht="15.75" customHeight="1">
      <c r="A4665" s="6" t="s">
        <v>4113</v>
      </c>
      <c r="B4665" s="6" t="s">
        <v>269</v>
      </c>
      <c r="C4665" s="6" t="s">
        <v>2298</v>
      </c>
      <c r="D4665" s="6" t="s">
        <v>26</v>
      </c>
      <c r="E4665" s="6" t="s">
        <v>255</v>
      </c>
      <c r="F4665" s="6">
        <v>8.340716352E9</v>
      </c>
    </row>
    <row r="4666" ht="15.75" customHeight="1">
      <c r="A4666" s="6" t="s">
        <v>4114</v>
      </c>
      <c r="B4666" s="6" t="s">
        <v>4115</v>
      </c>
      <c r="C4666" s="6" t="s">
        <v>265</v>
      </c>
      <c r="D4666" s="6" t="s">
        <v>26</v>
      </c>
      <c r="E4666" s="6" t="s">
        <v>19</v>
      </c>
      <c r="F4666" s="6">
        <v>7.770991089E9</v>
      </c>
    </row>
    <row r="4667" ht="15.75" customHeight="1">
      <c r="A4667" s="6" t="s">
        <v>4116</v>
      </c>
      <c r="B4667" s="6" t="s">
        <v>55</v>
      </c>
      <c r="C4667" s="6" t="s">
        <v>592</v>
      </c>
      <c r="D4667" s="6" t="s">
        <v>26</v>
      </c>
      <c r="E4667" s="6" t="s">
        <v>255</v>
      </c>
      <c r="F4667" s="6">
        <v>7.544964863E9</v>
      </c>
    </row>
    <row r="4668" ht="15.75" customHeight="1">
      <c r="A4668" s="6" t="s">
        <v>2202</v>
      </c>
      <c r="B4668" s="6" t="s">
        <v>50</v>
      </c>
      <c r="C4668" s="6" t="s">
        <v>335</v>
      </c>
      <c r="D4668" s="6" t="s">
        <v>26</v>
      </c>
      <c r="E4668" s="6" t="s">
        <v>19</v>
      </c>
      <c r="F4668" s="6">
        <v>9.914150458E9</v>
      </c>
    </row>
    <row r="4669" ht="15.75" customHeight="1">
      <c r="A4669" s="6" t="s">
        <v>4117</v>
      </c>
      <c r="B4669" s="6" t="s">
        <v>55</v>
      </c>
      <c r="C4669" s="6" t="s">
        <v>592</v>
      </c>
      <c r="D4669" s="6" t="s">
        <v>26</v>
      </c>
      <c r="E4669" s="6" t="s">
        <v>255</v>
      </c>
      <c r="F4669" s="6">
        <v>8.78946125E9</v>
      </c>
    </row>
    <row r="4670" ht="15.75" customHeight="1">
      <c r="A4670" s="6" t="s">
        <v>3803</v>
      </c>
      <c r="B4670" s="6" t="s">
        <v>21</v>
      </c>
      <c r="C4670" s="6" t="s">
        <v>4118</v>
      </c>
      <c r="D4670" s="6" t="s">
        <v>26</v>
      </c>
      <c r="E4670" s="6" t="s">
        <v>282</v>
      </c>
      <c r="F4670" s="6">
        <v>9.925847541E9</v>
      </c>
    </row>
    <row r="4671" ht="15.75" customHeight="1">
      <c r="A4671" s="6" t="s">
        <v>829</v>
      </c>
      <c r="B4671" s="6" t="s">
        <v>269</v>
      </c>
      <c r="C4671" s="6" t="s">
        <v>2418</v>
      </c>
      <c r="D4671" s="6" t="s">
        <v>26</v>
      </c>
      <c r="E4671" s="6" t="s">
        <v>282</v>
      </c>
      <c r="F4671" s="6">
        <v>9.546971375E9</v>
      </c>
    </row>
    <row r="4672" ht="15.75" customHeight="1">
      <c r="A4672" s="6" t="s">
        <v>4119</v>
      </c>
      <c r="B4672" s="6" t="s">
        <v>4120</v>
      </c>
      <c r="C4672" s="7" t="s">
        <v>4121</v>
      </c>
      <c r="D4672" s="6" t="s">
        <v>56</v>
      </c>
      <c r="E4672" s="6" t="s">
        <v>282</v>
      </c>
      <c r="F4672" s="6">
        <v>9.106838455E9</v>
      </c>
    </row>
    <row r="4673" ht="15.75" customHeight="1">
      <c r="A4673" s="6" t="s">
        <v>1767</v>
      </c>
      <c r="B4673" s="6" t="s">
        <v>3460</v>
      </c>
      <c r="C4673" s="6" t="s">
        <v>761</v>
      </c>
      <c r="D4673" s="6" t="s">
        <v>56</v>
      </c>
      <c r="E4673" s="6" t="s">
        <v>19</v>
      </c>
      <c r="F4673" s="6">
        <v>6.204562589E9</v>
      </c>
    </row>
    <row r="4674" ht="15.75" customHeight="1">
      <c r="A4674" s="6" t="s">
        <v>231</v>
      </c>
      <c r="B4674" s="6" t="s">
        <v>693</v>
      </c>
      <c r="C4674" s="6" t="s">
        <v>2298</v>
      </c>
      <c r="D4674" s="6" t="s">
        <v>102</v>
      </c>
      <c r="E4674" s="6" t="s">
        <v>282</v>
      </c>
      <c r="F4674" s="6">
        <v>9.031904337E9</v>
      </c>
    </row>
    <row r="4675" ht="15.75" customHeight="1">
      <c r="A4675" s="6" t="s">
        <v>871</v>
      </c>
      <c r="B4675" s="6" t="s">
        <v>1058</v>
      </c>
      <c r="C4675" s="6" t="s">
        <v>230</v>
      </c>
      <c r="D4675" s="6" t="s">
        <v>29</v>
      </c>
      <c r="E4675" s="6" t="s">
        <v>19</v>
      </c>
      <c r="F4675" s="6">
        <v>6.20374452E9</v>
      </c>
    </row>
    <row r="4676" ht="15.75" customHeight="1">
      <c r="A4676" s="6" t="s">
        <v>4122</v>
      </c>
      <c r="B4676" s="6" t="s">
        <v>621</v>
      </c>
      <c r="C4676" s="6" t="s">
        <v>592</v>
      </c>
      <c r="D4676" s="6" t="s">
        <v>56</v>
      </c>
      <c r="E4676" s="6" t="s">
        <v>282</v>
      </c>
      <c r="F4676" s="6">
        <v>9.2343539E9</v>
      </c>
    </row>
    <row r="4677" ht="15.75" customHeight="1">
      <c r="A4677" s="6" t="s">
        <v>4123</v>
      </c>
      <c r="B4677" s="6" t="s">
        <v>4124</v>
      </c>
      <c r="C4677" s="6" t="s">
        <v>3445</v>
      </c>
      <c r="D4677" s="6" t="s">
        <v>44</v>
      </c>
      <c r="E4677" s="6" t="s">
        <v>282</v>
      </c>
      <c r="F4677" s="6">
        <v>7.779003732E9</v>
      </c>
    </row>
    <row r="4678" ht="15.75" customHeight="1">
      <c r="A4678" s="6" t="s">
        <v>4125</v>
      </c>
      <c r="B4678" s="6" t="s">
        <v>2947</v>
      </c>
      <c r="C4678" s="6" t="s">
        <v>4126</v>
      </c>
      <c r="D4678" s="6" t="s">
        <v>26</v>
      </c>
      <c r="E4678" s="6" t="s">
        <v>19</v>
      </c>
      <c r="F4678" s="6">
        <v>8.789932745E9</v>
      </c>
    </row>
    <row r="4679" ht="15.75" customHeight="1">
      <c r="A4679" s="6" t="s">
        <v>827</v>
      </c>
      <c r="B4679" s="6" t="s">
        <v>55</v>
      </c>
      <c r="C4679" s="6" t="s">
        <v>2418</v>
      </c>
      <c r="D4679" s="6" t="s">
        <v>26</v>
      </c>
      <c r="E4679" s="6" t="s">
        <v>282</v>
      </c>
      <c r="F4679" s="6">
        <v>8.092369916E9</v>
      </c>
    </row>
    <row r="4680" ht="15.75" customHeight="1">
      <c r="A4680" s="6" t="s">
        <v>67</v>
      </c>
      <c r="B4680" s="6" t="s">
        <v>50</v>
      </c>
      <c r="C4680" s="6" t="s">
        <v>676</v>
      </c>
      <c r="D4680" s="6" t="s">
        <v>29</v>
      </c>
      <c r="E4680" s="6" t="s">
        <v>19</v>
      </c>
      <c r="F4680" s="6">
        <v>8.975358347E9</v>
      </c>
    </row>
    <row r="4681" ht="15.75" customHeight="1">
      <c r="A4681" s="6" t="s">
        <v>1030</v>
      </c>
      <c r="B4681" s="6" t="s">
        <v>55</v>
      </c>
      <c r="C4681" s="6" t="s">
        <v>2298</v>
      </c>
      <c r="D4681" s="6" t="s">
        <v>26</v>
      </c>
      <c r="E4681" s="6" t="s">
        <v>282</v>
      </c>
      <c r="F4681" s="6">
        <v>9.006653573E9</v>
      </c>
    </row>
    <row r="4682" ht="15.75" customHeight="1">
      <c r="A4682" s="6" t="s">
        <v>350</v>
      </c>
      <c r="B4682" s="6" t="s">
        <v>55</v>
      </c>
      <c r="C4682" s="6" t="s">
        <v>83</v>
      </c>
      <c r="D4682" s="6" t="s">
        <v>26</v>
      </c>
      <c r="E4682" s="6" t="s">
        <v>282</v>
      </c>
      <c r="F4682" s="6">
        <v>7.717783645E9</v>
      </c>
    </row>
    <row r="4683" ht="15.75" customHeight="1">
      <c r="A4683" s="6" t="s">
        <v>843</v>
      </c>
      <c r="B4683" s="6" t="s">
        <v>55</v>
      </c>
      <c r="C4683" s="6" t="s">
        <v>83</v>
      </c>
      <c r="D4683" s="6" t="s">
        <v>26</v>
      </c>
      <c r="E4683" s="6" t="s">
        <v>282</v>
      </c>
      <c r="F4683" s="6">
        <v>6.204754225E9</v>
      </c>
    </row>
    <row r="4684" ht="15.75" customHeight="1">
      <c r="A4684" s="6" t="s">
        <v>234</v>
      </c>
      <c r="B4684" s="6" t="s">
        <v>440</v>
      </c>
      <c r="C4684" s="6" t="s">
        <v>235</v>
      </c>
      <c r="D4684" s="6" t="s">
        <v>56</v>
      </c>
      <c r="E4684" s="6" t="s">
        <v>19</v>
      </c>
      <c r="F4684" s="6">
        <v>7.033465981E9</v>
      </c>
    </row>
    <row r="4685" ht="15.75" customHeight="1">
      <c r="A4685" s="6" t="s">
        <v>1030</v>
      </c>
      <c r="B4685" s="6" t="s">
        <v>55</v>
      </c>
      <c r="C4685" s="6" t="s">
        <v>83</v>
      </c>
      <c r="D4685" s="6" t="s">
        <v>56</v>
      </c>
      <c r="E4685" s="6" t="s">
        <v>282</v>
      </c>
      <c r="F4685" s="6">
        <v>9.781608542E9</v>
      </c>
    </row>
    <row r="4686" ht="15.75" customHeight="1">
      <c r="A4686" s="6" t="s">
        <v>3983</v>
      </c>
      <c r="B4686" s="6" t="s">
        <v>312</v>
      </c>
      <c r="C4686" s="6" t="s">
        <v>265</v>
      </c>
      <c r="D4686" s="6" t="s">
        <v>26</v>
      </c>
      <c r="E4686" s="6" t="s">
        <v>19</v>
      </c>
      <c r="F4686" s="6">
        <v>7.481987238E9</v>
      </c>
    </row>
    <row r="4687" ht="15.75" customHeight="1">
      <c r="A4687" s="6" t="s">
        <v>511</v>
      </c>
      <c r="B4687" s="6" t="s">
        <v>4127</v>
      </c>
      <c r="C4687" s="6" t="s">
        <v>2708</v>
      </c>
      <c r="D4687" s="6" t="s">
        <v>9</v>
      </c>
      <c r="E4687" s="6" t="s">
        <v>434</v>
      </c>
      <c r="F4687" s="6">
        <v>9.769765539E9</v>
      </c>
    </row>
    <row r="4688" ht="15.75" customHeight="1">
      <c r="A4688" s="6" t="s">
        <v>1918</v>
      </c>
      <c r="B4688" s="6" t="s">
        <v>440</v>
      </c>
      <c r="C4688" s="6" t="s">
        <v>1355</v>
      </c>
      <c r="D4688" s="6" t="s">
        <v>26</v>
      </c>
      <c r="E4688" s="6" t="s">
        <v>19</v>
      </c>
      <c r="F4688" s="6">
        <v>9.431326533E9</v>
      </c>
    </row>
    <row r="4689" ht="15.75" customHeight="1">
      <c r="A4689" s="6" t="s">
        <v>2305</v>
      </c>
      <c r="B4689" s="6" t="s">
        <v>119</v>
      </c>
      <c r="C4689" s="6" t="s">
        <v>265</v>
      </c>
      <c r="D4689" s="6" t="s">
        <v>26</v>
      </c>
      <c r="E4689" s="6" t="s">
        <v>19</v>
      </c>
      <c r="F4689" s="6">
        <v>7.549802096E9</v>
      </c>
    </row>
    <row r="4690" ht="15.75" customHeight="1">
      <c r="A4690" s="6" t="s">
        <v>565</v>
      </c>
      <c r="B4690" s="6" t="s">
        <v>4128</v>
      </c>
      <c r="C4690" s="6" t="s">
        <v>4129</v>
      </c>
      <c r="D4690" s="6" t="s">
        <v>29</v>
      </c>
      <c r="E4690" s="6" t="s">
        <v>1102</v>
      </c>
      <c r="F4690" s="6">
        <v>9.250725729E9</v>
      </c>
    </row>
    <row r="4691" ht="15.75" customHeight="1">
      <c r="A4691" s="6" t="s">
        <v>4130</v>
      </c>
      <c r="B4691" s="6" t="s">
        <v>4131</v>
      </c>
      <c r="C4691" s="6" t="s">
        <v>4132</v>
      </c>
      <c r="D4691" s="6" t="s">
        <v>56</v>
      </c>
      <c r="E4691" s="6" t="s">
        <v>434</v>
      </c>
      <c r="F4691" s="6">
        <v>9.167671144E9</v>
      </c>
    </row>
    <row r="4692" ht="15.75" customHeight="1">
      <c r="A4692" s="6" t="s">
        <v>4133</v>
      </c>
      <c r="B4692" s="6" t="s">
        <v>4134</v>
      </c>
      <c r="C4692" s="6" t="s">
        <v>4135</v>
      </c>
      <c r="D4692" s="6" t="s">
        <v>9</v>
      </c>
      <c r="E4692" s="6" t="s">
        <v>4136</v>
      </c>
      <c r="F4692" s="6">
        <v>5.05376925E8</v>
      </c>
    </row>
    <row r="4693" ht="15.75" customHeight="1">
      <c r="A4693" s="6" t="s">
        <v>4137</v>
      </c>
      <c r="B4693" s="6" t="s">
        <v>4138</v>
      </c>
      <c r="C4693" s="6" t="s">
        <v>4139</v>
      </c>
      <c r="D4693" s="6" t="s">
        <v>56</v>
      </c>
      <c r="E4693" s="6" t="s">
        <v>434</v>
      </c>
      <c r="F4693" s="6">
        <v>9.324016167E9</v>
      </c>
    </row>
    <row r="4694" ht="15.75" customHeight="1">
      <c r="A4694" s="6" t="s">
        <v>182</v>
      </c>
      <c r="B4694" s="6" t="s">
        <v>4140</v>
      </c>
      <c r="C4694" s="6" t="s">
        <v>4141</v>
      </c>
      <c r="D4694" s="6" t="s">
        <v>29</v>
      </c>
      <c r="E4694" s="6" t="s">
        <v>2115</v>
      </c>
      <c r="F4694" s="6">
        <v>9.433811532E9</v>
      </c>
    </row>
    <row r="4695" ht="15.75" customHeight="1">
      <c r="A4695" s="6" t="s">
        <v>4142</v>
      </c>
      <c r="B4695" s="6" t="s">
        <v>119</v>
      </c>
      <c r="C4695" s="6" t="s">
        <v>690</v>
      </c>
      <c r="D4695" s="6" t="s">
        <v>44</v>
      </c>
      <c r="E4695" s="6" t="s">
        <v>19</v>
      </c>
      <c r="F4695" s="6">
        <v>8.856784569E9</v>
      </c>
    </row>
    <row r="4696" ht="15.75" customHeight="1">
      <c r="A4696" s="6" t="s">
        <v>4143</v>
      </c>
      <c r="B4696" s="6" t="s">
        <v>4144</v>
      </c>
      <c r="C4696" s="6" t="s">
        <v>226</v>
      </c>
      <c r="D4696" s="6" t="s">
        <v>44</v>
      </c>
      <c r="E4696" s="6" t="s">
        <v>19</v>
      </c>
      <c r="F4696" s="6">
        <v>6.209108643E9</v>
      </c>
    </row>
    <row r="4697" ht="15.75" customHeight="1">
      <c r="A4697" s="6" t="s">
        <v>1207</v>
      </c>
      <c r="B4697" s="6" t="s">
        <v>119</v>
      </c>
      <c r="C4697" s="6" t="s">
        <v>1375</v>
      </c>
      <c r="D4697" s="6" t="s">
        <v>56</v>
      </c>
      <c r="E4697" s="6" t="s">
        <v>19</v>
      </c>
      <c r="F4697" s="6">
        <v>9.334817781E9</v>
      </c>
    </row>
    <row r="4698" ht="15.75" customHeight="1">
      <c r="A4698" s="6" t="s">
        <v>4145</v>
      </c>
      <c r="B4698" s="6" t="s">
        <v>63</v>
      </c>
      <c r="C4698" s="6" t="s">
        <v>1004</v>
      </c>
      <c r="D4698" s="6" t="s">
        <v>44</v>
      </c>
      <c r="E4698" s="6" t="s">
        <v>19</v>
      </c>
      <c r="F4698" s="6">
        <v>8.827771616E9</v>
      </c>
    </row>
    <row r="4699" ht="15.75" customHeight="1">
      <c r="A4699" s="6" t="s">
        <v>4146</v>
      </c>
      <c r="B4699" s="6" t="s">
        <v>922</v>
      </c>
      <c r="C4699" s="6" t="s">
        <v>83</v>
      </c>
      <c r="D4699" s="6" t="s">
        <v>29</v>
      </c>
      <c r="E4699" s="6" t="s">
        <v>19</v>
      </c>
      <c r="F4699" s="6">
        <v>7.070698601E9</v>
      </c>
    </row>
    <row r="4700" ht="15.75" customHeight="1">
      <c r="A4700" s="6" t="s">
        <v>1389</v>
      </c>
      <c r="B4700" s="6" t="s">
        <v>882</v>
      </c>
      <c r="C4700" s="6" t="s">
        <v>655</v>
      </c>
      <c r="D4700" s="6" t="s">
        <v>29</v>
      </c>
      <c r="E4700" s="6" t="s">
        <v>19</v>
      </c>
      <c r="F4700" s="6">
        <v>6.202754789E9</v>
      </c>
    </row>
    <row r="4701" ht="15.75" customHeight="1">
      <c r="A4701" s="6" t="s">
        <v>4147</v>
      </c>
      <c r="B4701" s="6" t="s">
        <v>55</v>
      </c>
      <c r="C4701" s="6" t="s">
        <v>235</v>
      </c>
      <c r="D4701" s="6" t="s">
        <v>26</v>
      </c>
      <c r="E4701" s="6" t="s">
        <v>19</v>
      </c>
      <c r="F4701" s="6">
        <v>9.835106508E9</v>
      </c>
    </row>
    <row r="4702" ht="15.75" customHeight="1">
      <c r="A4702" s="6" t="s">
        <v>3039</v>
      </c>
      <c r="B4702" s="6" t="s">
        <v>50</v>
      </c>
      <c r="C4702" s="6" t="s">
        <v>543</v>
      </c>
      <c r="D4702" s="6" t="s">
        <v>14</v>
      </c>
      <c r="E4702" s="6" t="s">
        <v>19</v>
      </c>
      <c r="F4702" s="6">
        <v>9.955720237E9</v>
      </c>
    </row>
    <row r="4703" ht="15.75" customHeight="1">
      <c r="A4703" s="6" t="s">
        <v>1838</v>
      </c>
      <c r="B4703" s="6" t="s">
        <v>982</v>
      </c>
      <c r="C4703" s="6" t="s">
        <v>305</v>
      </c>
      <c r="D4703" s="6" t="s">
        <v>56</v>
      </c>
      <c r="E4703" s="6" t="s">
        <v>19</v>
      </c>
      <c r="F4703" s="6">
        <v>6.203568093E9</v>
      </c>
    </row>
    <row r="4704" ht="15.75" customHeight="1">
      <c r="A4704" s="6" t="s">
        <v>219</v>
      </c>
      <c r="B4704" s="6" t="s">
        <v>4148</v>
      </c>
      <c r="C4704" s="6" t="s">
        <v>1375</v>
      </c>
      <c r="D4704" s="6" t="s">
        <v>26</v>
      </c>
      <c r="E4704" s="6" t="s">
        <v>19</v>
      </c>
      <c r="F4704" s="6">
        <v>7.091432404E9</v>
      </c>
    </row>
    <row r="4705" ht="15.75" customHeight="1">
      <c r="A4705" s="6" t="s">
        <v>450</v>
      </c>
      <c r="B4705" s="6" t="s">
        <v>55</v>
      </c>
      <c r="C4705" s="6" t="s">
        <v>226</v>
      </c>
      <c r="D4705" s="6" t="s">
        <v>44</v>
      </c>
      <c r="E4705" s="6" t="s">
        <v>19</v>
      </c>
      <c r="F4705" s="6">
        <v>7.809051242E9</v>
      </c>
    </row>
    <row r="4706" ht="15.75" customHeight="1">
      <c r="A4706" s="6" t="s">
        <v>146</v>
      </c>
      <c r="B4706" s="6" t="s">
        <v>1867</v>
      </c>
      <c r="C4706" s="6" t="s">
        <v>4149</v>
      </c>
      <c r="D4706" s="6" t="s">
        <v>26</v>
      </c>
      <c r="E4706" s="6" t="s">
        <v>4150</v>
      </c>
      <c r="F4706" s="6">
        <v>7.888467389E9</v>
      </c>
    </row>
    <row r="4707" ht="15.75" customHeight="1">
      <c r="A4707" s="6" t="s">
        <v>4151</v>
      </c>
      <c r="B4707" s="6" t="s">
        <v>664</v>
      </c>
      <c r="C4707" s="6" t="s">
        <v>510</v>
      </c>
      <c r="D4707" s="6" t="s">
        <v>29</v>
      </c>
      <c r="E4707" s="6" t="s">
        <v>19</v>
      </c>
      <c r="F4707" s="6">
        <v>8.983592527E9</v>
      </c>
    </row>
    <row r="4708" ht="15.75" customHeight="1">
      <c r="A4708" s="6" t="s">
        <v>4152</v>
      </c>
      <c r="B4708" s="6" t="s">
        <v>63</v>
      </c>
      <c r="C4708" s="6" t="s">
        <v>4153</v>
      </c>
      <c r="D4708" s="6" t="s">
        <v>29</v>
      </c>
      <c r="E4708" s="6" t="s">
        <v>19</v>
      </c>
      <c r="F4708" s="6">
        <v>9.33425633E9</v>
      </c>
    </row>
    <row r="4709" ht="15.75" customHeight="1">
      <c r="A4709" s="6" t="s">
        <v>2368</v>
      </c>
      <c r="B4709" s="6" t="s">
        <v>407</v>
      </c>
      <c r="C4709" s="6" t="s">
        <v>2469</v>
      </c>
      <c r="D4709" s="6" t="s">
        <v>14</v>
      </c>
      <c r="E4709" s="6" t="s">
        <v>19</v>
      </c>
      <c r="F4709" s="6">
        <v>9.919976865E9</v>
      </c>
    </row>
    <row r="4710" ht="15.75" customHeight="1">
      <c r="A4710" s="6" t="s">
        <v>4154</v>
      </c>
      <c r="B4710" s="6" t="s">
        <v>50</v>
      </c>
      <c r="C4710" s="6" t="s">
        <v>265</v>
      </c>
      <c r="D4710" s="6" t="s">
        <v>26</v>
      </c>
      <c r="E4710" s="6" t="s">
        <v>19</v>
      </c>
      <c r="F4710" s="6">
        <v>8.084750458E9</v>
      </c>
    </row>
    <row r="4711" ht="15.75" customHeight="1">
      <c r="A4711" s="6" t="s">
        <v>2633</v>
      </c>
      <c r="B4711" s="6" t="s">
        <v>119</v>
      </c>
      <c r="C4711" s="6" t="s">
        <v>226</v>
      </c>
      <c r="D4711" s="6" t="s">
        <v>14</v>
      </c>
      <c r="E4711" s="6" t="s">
        <v>19</v>
      </c>
      <c r="F4711" s="6">
        <v>9.97982755E9</v>
      </c>
    </row>
    <row r="4712" ht="15.75" customHeight="1">
      <c r="A4712" s="6" t="s">
        <v>4155</v>
      </c>
      <c r="B4712" s="6" t="s">
        <v>50</v>
      </c>
      <c r="C4712" s="6" t="s">
        <v>230</v>
      </c>
      <c r="D4712" s="6" t="s">
        <v>9</v>
      </c>
      <c r="E4712" s="6" t="s">
        <v>19</v>
      </c>
      <c r="F4712" s="6">
        <v>9.856242793E9</v>
      </c>
    </row>
    <row r="4713" ht="15.75" customHeight="1">
      <c r="A4713" s="6" t="s">
        <v>1654</v>
      </c>
      <c r="B4713" s="6" t="s">
        <v>65</v>
      </c>
      <c r="C4713" s="6" t="s">
        <v>1355</v>
      </c>
      <c r="D4713" s="6" t="s">
        <v>26</v>
      </c>
      <c r="E4713" s="6" t="s">
        <v>19</v>
      </c>
      <c r="F4713" s="6">
        <v>8.700122988E9</v>
      </c>
    </row>
    <row r="4714" ht="15.75" customHeight="1">
      <c r="A4714" s="6" t="s">
        <v>507</v>
      </c>
      <c r="B4714" s="6" t="s">
        <v>4156</v>
      </c>
      <c r="C4714" s="6" t="s">
        <v>335</v>
      </c>
      <c r="D4714" s="6" t="s">
        <v>26</v>
      </c>
      <c r="E4714" s="6" t="s">
        <v>19</v>
      </c>
      <c r="F4714" s="6">
        <v>9.709023332E9</v>
      </c>
    </row>
    <row r="4715" ht="15.75" customHeight="1">
      <c r="A4715" s="6" t="s">
        <v>4157</v>
      </c>
      <c r="B4715" s="6" t="s">
        <v>2860</v>
      </c>
      <c r="C4715" s="6" t="s">
        <v>230</v>
      </c>
      <c r="D4715" s="6" t="s">
        <v>9</v>
      </c>
      <c r="E4715" s="6" t="s">
        <v>19</v>
      </c>
      <c r="F4715" s="6">
        <v>6.205678932E9</v>
      </c>
    </row>
    <row r="4716" ht="15.75" customHeight="1">
      <c r="A4716" s="6" t="s">
        <v>2235</v>
      </c>
      <c r="B4716" s="6" t="s">
        <v>4158</v>
      </c>
      <c r="C4716" s="6" t="s">
        <v>1004</v>
      </c>
      <c r="D4716" s="6" t="s">
        <v>56</v>
      </c>
      <c r="E4716" s="6" t="s">
        <v>19</v>
      </c>
      <c r="F4716" s="6">
        <v>6.202152045E9</v>
      </c>
    </row>
    <row r="4717" ht="15.75" customHeight="1">
      <c r="A4717" s="6" t="s">
        <v>843</v>
      </c>
      <c r="B4717" s="6" t="s">
        <v>621</v>
      </c>
      <c r="C4717" s="6" t="s">
        <v>83</v>
      </c>
      <c r="D4717" s="6" t="s">
        <v>56</v>
      </c>
      <c r="E4717" s="6" t="s">
        <v>282</v>
      </c>
      <c r="F4717" s="6">
        <v>9.114106089E9</v>
      </c>
    </row>
    <row r="4718" ht="15.75" customHeight="1">
      <c r="A4718" s="6" t="s">
        <v>1824</v>
      </c>
      <c r="B4718" s="6" t="s">
        <v>65</v>
      </c>
      <c r="C4718" s="6" t="s">
        <v>265</v>
      </c>
      <c r="D4718" s="6" t="s">
        <v>26</v>
      </c>
      <c r="E4718" s="6" t="s">
        <v>19</v>
      </c>
      <c r="F4718" s="6">
        <v>9.560403679E9</v>
      </c>
    </row>
    <row r="4719" ht="15.75" customHeight="1">
      <c r="A4719" s="6" t="s">
        <v>4159</v>
      </c>
      <c r="B4719" s="6" t="s">
        <v>797</v>
      </c>
      <c r="C4719" s="6" t="s">
        <v>580</v>
      </c>
      <c r="D4719" s="6" t="s">
        <v>29</v>
      </c>
      <c r="E4719" s="6" t="s">
        <v>19</v>
      </c>
      <c r="F4719" s="6">
        <v>6.204569142E9</v>
      </c>
    </row>
    <row r="4720" ht="15.75" customHeight="1">
      <c r="A4720" s="6" t="s">
        <v>4160</v>
      </c>
      <c r="B4720" s="6" t="s">
        <v>4161</v>
      </c>
      <c r="C4720" s="6" t="s">
        <v>4162</v>
      </c>
      <c r="D4720" s="6" t="s">
        <v>9</v>
      </c>
      <c r="E4720" s="6" t="s">
        <v>282</v>
      </c>
      <c r="F4720" s="6">
        <v>9.114106089E9</v>
      </c>
    </row>
    <row r="4721" ht="15.75" customHeight="1">
      <c r="A4721" s="6" t="s">
        <v>367</v>
      </c>
      <c r="B4721" s="6" t="s">
        <v>4163</v>
      </c>
      <c r="C4721" s="6" t="s">
        <v>4164</v>
      </c>
      <c r="D4721" s="6" t="s">
        <v>26</v>
      </c>
      <c r="E4721" s="6" t="s">
        <v>3870</v>
      </c>
      <c r="F4721" s="6">
        <v>6.387307732E9</v>
      </c>
    </row>
    <row r="4722" ht="15.75" customHeight="1">
      <c r="A4722" s="6" t="s">
        <v>4165</v>
      </c>
      <c r="B4722" s="6" t="s">
        <v>522</v>
      </c>
      <c r="C4722" s="6" t="s">
        <v>265</v>
      </c>
      <c r="D4722" s="6" t="s">
        <v>26</v>
      </c>
      <c r="E4722" s="6" t="s">
        <v>19</v>
      </c>
      <c r="F4722" s="6">
        <v>9.470977077E9</v>
      </c>
    </row>
    <row r="4723" ht="15.75" customHeight="1">
      <c r="A4723" s="6" t="s">
        <v>456</v>
      </c>
      <c r="B4723" s="6" t="s">
        <v>55</v>
      </c>
      <c r="C4723" s="6" t="s">
        <v>4166</v>
      </c>
      <c r="D4723" s="6" t="s">
        <v>14</v>
      </c>
      <c r="E4723" s="6" t="s">
        <v>19</v>
      </c>
      <c r="F4723" s="6">
        <v>9.231194731E9</v>
      </c>
    </row>
    <row r="4724" ht="15.75" customHeight="1">
      <c r="A4724" s="6" t="s">
        <v>1289</v>
      </c>
      <c r="B4724" s="6" t="s">
        <v>4167</v>
      </c>
      <c r="C4724" s="6" t="s">
        <v>4162</v>
      </c>
      <c r="D4724" s="6" t="s">
        <v>9</v>
      </c>
      <c r="E4724" s="6" t="s">
        <v>282</v>
      </c>
      <c r="F4724" s="6">
        <v>8.670837827E9</v>
      </c>
    </row>
    <row r="4725" ht="15.75" customHeight="1">
      <c r="A4725" s="6" t="s">
        <v>186</v>
      </c>
      <c r="B4725" s="6" t="s">
        <v>50</v>
      </c>
      <c r="C4725" s="6" t="s">
        <v>265</v>
      </c>
      <c r="D4725" s="6" t="s">
        <v>26</v>
      </c>
      <c r="E4725" s="6" t="s">
        <v>19</v>
      </c>
      <c r="F4725" s="6">
        <v>9.931900041E9</v>
      </c>
    </row>
    <row r="4726" ht="15.75" customHeight="1">
      <c r="A4726" s="6" t="s">
        <v>1011</v>
      </c>
      <c r="B4726" s="6" t="s">
        <v>2015</v>
      </c>
      <c r="C4726" s="6" t="s">
        <v>4168</v>
      </c>
      <c r="D4726" s="6" t="s">
        <v>56</v>
      </c>
      <c r="E4726" s="6" t="s">
        <v>282</v>
      </c>
      <c r="F4726" s="6">
        <v>9.674258902E9</v>
      </c>
    </row>
    <row r="4727" ht="15.75" customHeight="1">
      <c r="A4727" s="6" t="s">
        <v>2293</v>
      </c>
      <c r="B4727" s="6" t="s">
        <v>4169</v>
      </c>
      <c r="C4727" s="6" t="s">
        <v>761</v>
      </c>
      <c r="D4727" s="6" t="s">
        <v>9</v>
      </c>
      <c r="E4727" s="6" t="s">
        <v>19</v>
      </c>
      <c r="F4727" s="6">
        <v>9.931397426E9</v>
      </c>
    </row>
    <row r="4728" ht="15.75" customHeight="1">
      <c r="A4728" s="6" t="s">
        <v>3062</v>
      </c>
      <c r="B4728" s="6" t="s">
        <v>4170</v>
      </c>
      <c r="C4728" s="6" t="s">
        <v>4171</v>
      </c>
      <c r="D4728" s="6" t="s">
        <v>56</v>
      </c>
      <c r="E4728" s="6" t="s">
        <v>282</v>
      </c>
      <c r="F4728" s="6">
        <v>9.903594171E9</v>
      </c>
    </row>
    <row r="4729" ht="15.75" customHeight="1">
      <c r="A4729" s="6" t="s">
        <v>4172</v>
      </c>
      <c r="B4729" s="6" t="s">
        <v>63</v>
      </c>
      <c r="C4729" s="6" t="s">
        <v>1355</v>
      </c>
      <c r="D4729" s="6" t="s">
        <v>29</v>
      </c>
      <c r="E4729" s="6" t="s">
        <v>19</v>
      </c>
      <c r="F4729" s="6">
        <v>9.304726173E9</v>
      </c>
    </row>
    <row r="4730" ht="15.75" customHeight="1">
      <c r="A4730" s="6" t="s">
        <v>1419</v>
      </c>
      <c r="B4730" s="6" t="s">
        <v>1084</v>
      </c>
      <c r="C4730" s="6" t="s">
        <v>235</v>
      </c>
      <c r="D4730" s="6" t="s">
        <v>26</v>
      </c>
      <c r="E4730" s="6" t="s">
        <v>19</v>
      </c>
      <c r="F4730" s="6">
        <v>8.757102442E9</v>
      </c>
    </row>
    <row r="4731" ht="15.75" customHeight="1">
      <c r="A4731" s="6" t="s">
        <v>4173</v>
      </c>
      <c r="B4731" s="6" t="s">
        <v>922</v>
      </c>
      <c r="C4731" s="6" t="s">
        <v>4166</v>
      </c>
      <c r="D4731" s="6" t="s">
        <v>14</v>
      </c>
      <c r="E4731" s="6" t="s">
        <v>19</v>
      </c>
      <c r="F4731" s="6">
        <v>7.209449331E9</v>
      </c>
    </row>
    <row r="4732" ht="15.75" customHeight="1">
      <c r="A4732" s="6" t="s">
        <v>3380</v>
      </c>
      <c r="B4732" s="6" t="s">
        <v>4174</v>
      </c>
      <c r="C4732" s="6" t="s">
        <v>974</v>
      </c>
      <c r="D4732" s="6" t="s">
        <v>14</v>
      </c>
      <c r="E4732" s="6" t="s">
        <v>282</v>
      </c>
      <c r="F4732" s="6">
        <v>8.777367232E9</v>
      </c>
    </row>
    <row r="4733" ht="15.75" customHeight="1">
      <c r="A4733" s="6" t="s">
        <v>4175</v>
      </c>
      <c r="B4733" s="6" t="s">
        <v>4175</v>
      </c>
      <c r="C4733" s="6" t="s">
        <v>1113</v>
      </c>
      <c r="D4733" s="6" t="s">
        <v>26</v>
      </c>
      <c r="E4733" s="6" t="s">
        <v>19</v>
      </c>
      <c r="F4733" s="6">
        <v>6.202276712E9</v>
      </c>
    </row>
    <row r="4734" ht="15.75" customHeight="1">
      <c r="A4734" s="6" t="s">
        <v>1426</v>
      </c>
      <c r="B4734" s="6" t="s">
        <v>63</v>
      </c>
      <c r="C4734" s="6" t="s">
        <v>1798</v>
      </c>
      <c r="D4734" s="6" t="s">
        <v>29</v>
      </c>
      <c r="E4734" s="6" t="s">
        <v>19</v>
      </c>
      <c r="F4734" s="6">
        <v>6.203518926E9</v>
      </c>
    </row>
    <row r="4735" ht="15.75" customHeight="1">
      <c r="A4735" s="6" t="s">
        <v>524</v>
      </c>
      <c r="B4735" s="6" t="s">
        <v>50</v>
      </c>
      <c r="C4735" s="6" t="s">
        <v>265</v>
      </c>
      <c r="D4735" s="6" t="s">
        <v>26</v>
      </c>
      <c r="E4735" s="6" t="s">
        <v>19</v>
      </c>
      <c r="F4735" s="6">
        <v>8.873693184E9</v>
      </c>
    </row>
    <row r="4736" ht="15.75" customHeight="1">
      <c r="A4736" s="6" t="s">
        <v>590</v>
      </c>
      <c r="B4736" s="6" t="s">
        <v>4170</v>
      </c>
      <c r="C4736" s="6" t="s">
        <v>4176</v>
      </c>
      <c r="D4736" s="6" t="s">
        <v>29</v>
      </c>
      <c r="E4736" s="6" t="s">
        <v>282</v>
      </c>
      <c r="F4736" s="6">
        <v>6.204886651E9</v>
      </c>
    </row>
    <row r="4737" ht="15.75" customHeight="1">
      <c r="A4737" s="6" t="s">
        <v>4177</v>
      </c>
      <c r="B4737" s="6" t="s">
        <v>71</v>
      </c>
      <c r="C4737" s="6" t="s">
        <v>510</v>
      </c>
      <c r="D4737" s="6" t="s">
        <v>26</v>
      </c>
      <c r="E4737" s="6" t="s">
        <v>19</v>
      </c>
      <c r="F4737" s="6">
        <v>6.203568299E9</v>
      </c>
    </row>
    <row r="4738" ht="15.75" customHeight="1">
      <c r="A4738" s="6" t="s">
        <v>4178</v>
      </c>
      <c r="B4738" s="6" t="s">
        <v>1287</v>
      </c>
      <c r="C4738" s="6" t="s">
        <v>235</v>
      </c>
      <c r="D4738" s="6" t="s">
        <v>26</v>
      </c>
      <c r="E4738" s="6" t="s">
        <v>19</v>
      </c>
      <c r="F4738" s="6">
        <v>9.93965499E9</v>
      </c>
    </row>
    <row r="4739" ht="15.75" customHeight="1">
      <c r="A4739" s="6" t="s">
        <v>4179</v>
      </c>
      <c r="B4739" s="6" t="s">
        <v>621</v>
      </c>
      <c r="C4739" s="6" t="s">
        <v>2647</v>
      </c>
      <c r="D4739" s="6" t="s">
        <v>56</v>
      </c>
      <c r="E4739" s="6" t="s">
        <v>282</v>
      </c>
      <c r="F4739" s="6">
        <v>9.328222176E9</v>
      </c>
    </row>
    <row r="4740" ht="15.75" customHeight="1">
      <c r="A4740" s="6" t="s">
        <v>4180</v>
      </c>
      <c r="B4740" s="6" t="s">
        <v>4181</v>
      </c>
      <c r="C4740" s="6" t="s">
        <v>1072</v>
      </c>
      <c r="D4740" s="6" t="s">
        <v>44</v>
      </c>
      <c r="E4740" s="6" t="s">
        <v>19</v>
      </c>
      <c r="F4740" s="6">
        <v>9.162902037E9</v>
      </c>
    </row>
    <row r="4741" ht="15.75" customHeight="1">
      <c r="A4741" s="6" t="s">
        <v>2908</v>
      </c>
      <c r="B4741" s="6" t="s">
        <v>50</v>
      </c>
      <c r="C4741" s="6" t="s">
        <v>1375</v>
      </c>
      <c r="D4741" s="6" t="s">
        <v>26</v>
      </c>
      <c r="E4741" s="6" t="s">
        <v>19</v>
      </c>
      <c r="F4741" s="6">
        <v>8.292707033E9</v>
      </c>
    </row>
    <row r="4742" ht="15.75" customHeight="1">
      <c r="A4742" s="6" t="s">
        <v>4182</v>
      </c>
      <c r="B4742" s="6" t="s">
        <v>621</v>
      </c>
      <c r="C4742" s="6" t="s">
        <v>4183</v>
      </c>
      <c r="D4742" s="6" t="s">
        <v>102</v>
      </c>
      <c r="E4742" s="6" t="s">
        <v>282</v>
      </c>
      <c r="F4742" s="6">
        <v>9.825064254E9</v>
      </c>
    </row>
    <row r="4743" ht="15.75" customHeight="1">
      <c r="A4743" s="6" t="s">
        <v>4184</v>
      </c>
      <c r="B4743" s="6" t="s">
        <v>153</v>
      </c>
      <c r="C4743" s="6" t="s">
        <v>4185</v>
      </c>
      <c r="D4743" s="6" t="s">
        <v>14</v>
      </c>
      <c r="E4743" s="6" t="s">
        <v>282</v>
      </c>
      <c r="F4743" s="6">
        <v>9.327038496E9</v>
      </c>
    </row>
    <row r="4744" ht="15.75" customHeight="1">
      <c r="A4744" s="6" t="s">
        <v>4186</v>
      </c>
      <c r="B4744" s="6" t="s">
        <v>63</v>
      </c>
      <c r="C4744" s="6" t="s">
        <v>4166</v>
      </c>
      <c r="D4744" s="6" t="s">
        <v>14</v>
      </c>
      <c r="E4744" s="6" t="s">
        <v>19</v>
      </c>
      <c r="F4744" s="6">
        <v>8.340411311E9</v>
      </c>
    </row>
    <row r="4745" ht="15.75" customHeight="1">
      <c r="A4745" s="6" t="s">
        <v>4187</v>
      </c>
      <c r="B4745" s="6" t="s">
        <v>4188</v>
      </c>
      <c r="C4745" s="6" t="s">
        <v>4189</v>
      </c>
      <c r="D4745" s="6" t="s">
        <v>29</v>
      </c>
      <c r="E4745" s="6" t="s">
        <v>282</v>
      </c>
      <c r="F4745" s="6">
        <v>9.327103585E9</v>
      </c>
    </row>
    <row r="4746" ht="15.75" customHeight="1">
      <c r="A4746" s="6" t="s">
        <v>3422</v>
      </c>
      <c r="B4746" s="6" t="s">
        <v>382</v>
      </c>
      <c r="C4746" s="6" t="s">
        <v>265</v>
      </c>
      <c r="D4746" s="6" t="s">
        <v>26</v>
      </c>
      <c r="E4746" s="6" t="s">
        <v>19</v>
      </c>
      <c r="F4746" s="6">
        <v>8.863904495E9</v>
      </c>
    </row>
    <row r="4747" ht="15.75" customHeight="1">
      <c r="A4747" s="6" t="s">
        <v>146</v>
      </c>
      <c r="B4747" s="6" t="s">
        <v>485</v>
      </c>
      <c r="C4747" s="6" t="s">
        <v>1004</v>
      </c>
      <c r="D4747" s="6" t="s">
        <v>14</v>
      </c>
      <c r="E4747" s="6" t="s">
        <v>19</v>
      </c>
      <c r="F4747" s="6">
        <v>9.631348765E9</v>
      </c>
    </row>
    <row r="4748" ht="15.75" customHeight="1">
      <c r="A4748" s="6" t="s">
        <v>2431</v>
      </c>
      <c r="B4748" s="6" t="s">
        <v>50</v>
      </c>
      <c r="C4748" s="6" t="s">
        <v>543</v>
      </c>
      <c r="D4748" s="6" t="s">
        <v>9</v>
      </c>
      <c r="E4748" s="6" t="s">
        <v>19</v>
      </c>
      <c r="F4748" s="6">
        <v>9.894561825E9</v>
      </c>
    </row>
    <row r="4749" ht="15.75" customHeight="1">
      <c r="A4749" s="6" t="s">
        <v>4190</v>
      </c>
      <c r="B4749" s="6" t="s">
        <v>4191</v>
      </c>
      <c r="C4749" s="6" t="s">
        <v>83</v>
      </c>
      <c r="D4749" s="6" t="s">
        <v>26</v>
      </c>
      <c r="E4749" s="6" t="s">
        <v>282</v>
      </c>
      <c r="F4749" s="6">
        <v>9.913012052E9</v>
      </c>
    </row>
    <row r="4750" ht="15.75" customHeight="1">
      <c r="A4750" s="6" t="s">
        <v>283</v>
      </c>
      <c r="B4750" s="6" t="s">
        <v>1258</v>
      </c>
      <c r="C4750" s="6" t="s">
        <v>1004</v>
      </c>
      <c r="D4750" s="6" t="s">
        <v>29</v>
      </c>
      <c r="E4750" s="6" t="s">
        <v>19</v>
      </c>
      <c r="F4750" s="6">
        <v>7.739921666E9</v>
      </c>
    </row>
    <row r="4751" ht="15.75" customHeight="1">
      <c r="A4751" s="6" t="s">
        <v>4192</v>
      </c>
      <c r="B4751" s="6" t="s">
        <v>621</v>
      </c>
      <c r="C4751" s="6" t="s">
        <v>4193</v>
      </c>
      <c r="D4751" s="6" t="s">
        <v>9</v>
      </c>
      <c r="E4751" s="6" t="s">
        <v>282</v>
      </c>
      <c r="F4751" s="6">
        <v>9.825048421E9</v>
      </c>
    </row>
    <row r="4752" ht="15.75" customHeight="1">
      <c r="A4752" s="6" t="s">
        <v>4194</v>
      </c>
      <c r="B4752" s="6" t="s">
        <v>4194</v>
      </c>
      <c r="C4752" s="6" t="s">
        <v>4195</v>
      </c>
      <c r="D4752" s="6" t="s">
        <v>26</v>
      </c>
      <c r="E4752" s="6" t="s">
        <v>23</v>
      </c>
      <c r="F4752" s="6">
        <v>7.667221547E9</v>
      </c>
    </row>
    <row r="4753" ht="15.75" customHeight="1">
      <c r="A4753" s="6" t="s">
        <v>4196</v>
      </c>
      <c r="B4753" s="6" t="s">
        <v>50</v>
      </c>
      <c r="C4753" s="6" t="s">
        <v>4166</v>
      </c>
      <c r="D4753" s="6" t="s">
        <v>44</v>
      </c>
      <c r="E4753" s="6" t="s">
        <v>19</v>
      </c>
      <c r="F4753" s="6">
        <v>6.204807463E9</v>
      </c>
    </row>
    <row r="4754" ht="15.75" customHeight="1">
      <c r="A4754" s="6" t="s">
        <v>4197</v>
      </c>
      <c r="B4754" s="6" t="s">
        <v>4198</v>
      </c>
      <c r="C4754" s="6" t="s">
        <v>576</v>
      </c>
      <c r="D4754" s="6" t="s">
        <v>14</v>
      </c>
      <c r="E4754" s="6" t="s">
        <v>282</v>
      </c>
      <c r="F4754" s="6">
        <v>9.22735039E9</v>
      </c>
    </row>
    <row r="4755" ht="15.75" customHeight="1">
      <c r="A4755" s="6" t="s">
        <v>4199</v>
      </c>
      <c r="B4755" s="6" t="s">
        <v>63</v>
      </c>
      <c r="C4755" s="6" t="s">
        <v>4200</v>
      </c>
      <c r="D4755" s="6" t="s">
        <v>102</v>
      </c>
      <c r="E4755" s="6" t="s">
        <v>4201</v>
      </c>
      <c r="F4755" s="6">
        <v>6.35007786E9</v>
      </c>
    </row>
    <row r="4756" ht="15.75" customHeight="1">
      <c r="A4756" s="6" t="s">
        <v>1255</v>
      </c>
      <c r="B4756" s="6" t="s">
        <v>50</v>
      </c>
      <c r="C4756" s="6" t="s">
        <v>1375</v>
      </c>
      <c r="D4756" s="6" t="s">
        <v>26</v>
      </c>
      <c r="E4756" s="6" t="s">
        <v>19</v>
      </c>
      <c r="F4756" s="6">
        <v>6.207337252E9</v>
      </c>
    </row>
    <row r="4757" ht="15.75" customHeight="1">
      <c r="A4757" s="6" t="s">
        <v>4202</v>
      </c>
      <c r="B4757" s="6" t="s">
        <v>119</v>
      </c>
      <c r="C4757" s="6" t="s">
        <v>1113</v>
      </c>
      <c r="D4757" s="6" t="s">
        <v>26</v>
      </c>
      <c r="E4757" s="6" t="s">
        <v>19</v>
      </c>
      <c r="F4757" s="6">
        <v>9.835907058E9</v>
      </c>
    </row>
    <row r="4758" ht="15.75" customHeight="1">
      <c r="A4758" s="6" t="s">
        <v>2046</v>
      </c>
      <c r="B4758" s="6" t="s">
        <v>4203</v>
      </c>
      <c r="C4758" s="6" t="s">
        <v>576</v>
      </c>
      <c r="D4758" s="6" t="s">
        <v>44</v>
      </c>
      <c r="E4758" s="6" t="s">
        <v>282</v>
      </c>
      <c r="F4758" s="6">
        <v>7.698424939E9</v>
      </c>
    </row>
    <row r="4759" ht="15.75" customHeight="1">
      <c r="A4759" s="6" t="s">
        <v>52</v>
      </c>
      <c r="B4759" s="6" t="s">
        <v>4204</v>
      </c>
      <c r="C4759" s="6" t="s">
        <v>905</v>
      </c>
      <c r="D4759" s="6" t="s">
        <v>44</v>
      </c>
      <c r="E4759" s="6" t="s">
        <v>19</v>
      </c>
      <c r="F4759" s="6">
        <v>9.693567832E9</v>
      </c>
    </row>
    <row r="4760" ht="15.75" customHeight="1">
      <c r="A4760" s="6" t="s">
        <v>2768</v>
      </c>
      <c r="B4760" s="6" t="s">
        <v>4205</v>
      </c>
      <c r="C4760" s="6" t="s">
        <v>4206</v>
      </c>
      <c r="D4760" s="6" t="s">
        <v>14</v>
      </c>
      <c r="E4760" s="6" t="s">
        <v>282</v>
      </c>
      <c r="F4760" s="6">
        <v>9.8244120021E10</v>
      </c>
    </row>
    <row r="4761" ht="15.75" customHeight="1">
      <c r="A4761" s="6" t="s">
        <v>3422</v>
      </c>
      <c r="B4761" s="6" t="s">
        <v>328</v>
      </c>
      <c r="C4761" s="6" t="s">
        <v>4166</v>
      </c>
      <c r="D4761" s="6" t="s">
        <v>14</v>
      </c>
      <c r="E4761" s="6" t="s">
        <v>19</v>
      </c>
      <c r="F4761" s="6">
        <v>6.201552419E9</v>
      </c>
    </row>
    <row r="4762" ht="15.75" customHeight="1">
      <c r="A4762" s="6" t="s">
        <v>4207</v>
      </c>
      <c r="B4762" s="6" t="s">
        <v>621</v>
      </c>
      <c r="C4762" s="6" t="s">
        <v>4208</v>
      </c>
      <c r="D4762" s="6" t="s">
        <v>102</v>
      </c>
      <c r="E4762" s="6" t="s">
        <v>282</v>
      </c>
      <c r="F4762" s="6">
        <v>9.408720985E9</v>
      </c>
    </row>
    <row r="4763" ht="15.75" customHeight="1">
      <c r="A4763" s="6" t="s">
        <v>4209</v>
      </c>
      <c r="B4763" s="6" t="s">
        <v>63</v>
      </c>
      <c r="C4763" s="6" t="s">
        <v>4210</v>
      </c>
      <c r="D4763" s="6" t="s">
        <v>44</v>
      </c>
      <c r="E4763" s="6" t="s">
        <v>19</v>
      </c>
      <c r="F4763" s="6">
        <v>8.420039902E9</v>
      </c>
    </row>
    <row r="4764" ht="15.75" customHeight="1">
      <c r="A4764" s="6" t="s">
        <v>1483</v>
      </c>
      <c r="B4764" s="6" t="s">
        <v>52</v>
      </c>
      <c r="C4764" s="6" t="s">
        <v>230</v>
      </c>
      <c r="D4764" s="6" t="s">
        <v>29</v>
      </c>
      <c r="E4764" s="6" t="s">
        <v>19</v>
      </c>
      <c r="F4764" s="6">
        <v>7.675326289E9</v>
      </c>
    </row>
    <row r="4765" ht="15.75" customHeight="1">
      <c r="A4765" s="6" t="s">
        <v>1515</v>
      </c>
      <c r="B4765" s="6" t="s">
        <v>153</v>
      </c>
      <c r="C4765" s="6" t="s">
        <v>4211</v>
      </c>
      <c r="D4765" s="6" t="s">
        <v>44</v>
      </c>
      <c r="E4765" s="6" t="s">
        <v>4212</v>
      </c>
      <c r="F4765" s="6">
        <v>7.838464513E9</v>
      </c>
    </row>
    <row r="4766" ht="15.75" customHeight="1">
      <c r="A4766" s="6" t="s">
        <v>4213</v>
      </c>
      <c r="B4766" s="6" t="s">
        <v>63</v>
      </c>
      <c r="C4766" s="6" t="s">
        <v>230</v>
      </c>
      <c r="D4766" s="6" t="s">
        <v>29</v>
      </c>
      <c r="E4766" s="6" t="s">
        <v>19</v>
      </c>
      <c r="F4766" s="6">
        <v>9.431176137E9</v>
      </c>
    </row>
    <row r="4767" ht="15.75" customHeight="1">
      <c r="A4767" s="6" t="s">
        <v>777</v>
      </c>
      <c r="B4767" s="6" t="s">
        <v>50</v>
      </c>
      <c r="C4767" s="6" t="s">
        <v>4166</v>
      </c>
      <c r="D4767" s="6" t="s">
        <v>44</v>
      </c>
      <c r="E4767" s="6" t="s">
        <v>19</v>
      </c>
      <c r="F4767" s="6">
        <v>8.986767319E9</v>
      </c>
    </row>
    <row r="4768" ht="15.75" customHeight="1">
      <c r="A4768" s="6" t="s">
        <v>4214</v>
      </c>
      <c r="B4768" s="6" t="s">
        <v>50</v>
      </c>
      <c r="C4768" s="6" t="s">
        <v>1375</v>
      </c>
      <c r="D4768" s="6" t="s">
        <v>26</v>
      </c>
      <c r="E4768" s="6" t="s">
        <v>19</v>
      </c>
      <c r="F4768" s="6">
        <v>6.20674725E9</v>
      </c>
    </row>
    <row r="4769" ht="15.75" customHeight="1">
      <c r="A4769" s="6" t="s">
        <v>4215</v>
      </c>
      <c r="B4769" s="6" t="s">
        <v>50</v>
      </c>
      <c r="C4769" s="6" t="s">
        <v>79</v>
      </c>
      <c r="D4769" s="6" t="s">
        <v>56</v>
      </c>
      <c r="E4769" s="6" t="s">
        <v>19</v>
      </c>
      <c r="F4769" s="6">
        <v>6.20575836E9</v>
      </c>
    </row>
    <row r="4770" ht="15.75" customHeight="1">
      <c r="A4770" s="6" t="s">
        <v>535</v>
      </c>
      <c r="B4770" s="6" t="s">
        <v>52</v>
      </c>
      <c r="C4770" s="6" t="s">
        <v>2958</v>
      </c>
      <c r="D4770" s="6" t="s">
        <v>44</v>
      </c>
      <c r="E4770" s="6" t="s">
        <v>19</v>
      </c>
      <c r="F4770" s="6">
        <v>7.485093949E9</v>
      </c>
    </row>
    <row r="4771" ht="15.75" customHeight="1">
      <c r="A4771" s="6" t="s">
        <v>4216</v>
      </c>
      <c r="B4771" s="6" t="s">
        <v>4217</v>
      </c>
      <c r="C4771" s="6" t="s">
        <v>4218</v>
      </c>
      <c r="D4771" s="6" t="s">
        <v>9</v>
      </c>
      <c r="E4771" s="6" t="s">
        <v>4007</v>
      </c>
      <c r="F4771" s="6">
        <v>9.810300843E9</v>
      </c>
    </row>
    <row r="4772" ht="15.75" customHeight="1">
      <c r="A4772" s="6" t="s">
        <v>125</v>
      </c>
      <c r="B4772" s="6" t="s">
        <v>50</v>
      </c>
      <c r="C4772" s="6" t="s">
        <v>729</v>
      </c>
      <c r="D4772" s="6" t="s">
        <v>56</v>
      </c>
      <c r="E4772" s="6" t="s">
        <v>19</v>
      </c>
      <c r="F4772" s="6">
        <v>6.202456789E9</v>
      </c>
    </row>
    <row r="4773" ht="15.75" customHeight="1">
      <c r="A4773" s="6" t="s">
        <v>4219</v>
      </c>
      <c r="B4773" s="6" t="s">
        <v>389</v>
      </c>
      <c r="C4773" s="6" t="s">
        <v>1150</v>
      </c>
      <c r="D4773" s="6" t="s">
        <v>44</v>
      </c>
      <c r="E4773" s="6" t="s">
        <v>282</v>
      </c>
      <c r="F4773" s="6">
        <v>9.998800305E9</v>
      </c>
    </row>
    <row r="4774" ht="15.75" customHeight="1">
      <c r="A4774" s="6" t="s">
        <v>565</v>
      </c>
      <c r="B4774" s="6" t="s">
        <v>63</v>
      </c>
      <c r="C4774" s="6" t="s">
        <v>83</v>
      </c>
      <c r="D4774" s="6" t="s">
        <v>44</v>
      </c>
      <c r="E4774" s="6" t="s">
        <v>19</v>
      </c>
      <c r="F4774" s="6">
        <v>8.249634829E9</v>
      </c>
    </row>
    <row r="4775" ht="15.75" customHeight="1">
      <c r="A4775" s="6" t="s">
        <v>892</v>
      </c>
      <c r="B4775" s="6" t="s">
        <v>4220</v>
      </c>
      <c r="C4775" s="6" t="s">
        <v>4221</v>
      </c>
      <c r="D4775" s="6" t="s">
        <v>14</v>
      </c>
      <c r="E4775" s="6" t="s">
        <v>282</v>
      </c>
      <c r="F4775" s="6">
        <v>8.007774148E9</v>
      </c>
    </row>
    <row r="4776" ht="15.75" customHeight="1">
      <c r="A4776" s="6" t="s">
        <v>547</v>
      </c>
      <c r="B4776" s="6" t="s">
        <v>119</v>
      </c>
      <c r="C4776" s="6" t="s">
        <v>230</v>
      </c>
      <c r="D4776" s="6" t="s">
        <v>29</v>
      </c>
      <c r="E4776" s="6" t="s">
        <v>19</v>
      </c>
      <c r="F4776" s="6">
        <v>9.234738162E9</v>
      </c>
    </row>
    <row r="4777" ht="15.75" customHeight="1">
      <c r="A4777" s="6" t="s">
        <v>1290</v>
      </c>
      <c r="B4777" s="6" t="s">
        <v>50</v>
      </c>
      <c r="C4777" s="6" t="s">
        <v>4222</v>
      </c>
      <c r="D4777" s="6" t="s">
        <v>56</v>
      </c>
      <c r="E4777" s="6" t="s">
        <v>19</v>
      </c>
      <c r="F4777" s="6">
        <v>9.738439328E9</v>
      </c>
    </row>
    <row r="4778" ht="15.75" customHeight="1">
      <c r="A4778" s="6" t="s">
        <v>4223</v>
      </c>
      <c r="B4778" s="6" t="s">
        <v>63</v>
      </c>
      <c r="C4778" s="6" t="s">
        <v>226</v>
      </c>
      <c r="D4778" s="6" t="s">
        <v>56</v>
      </c>
      <c r="E4778" s="6" t="s">
        <v>19</v>
      </c>
      <c r="F4778" s="6">
        <v>6.204567322E9</v>
      </c>
    </row>
    <row r="4779" ht="15.75" customHeight="1">
      <c r="A4779" s="6" t="s">
        <v>4224</v>
      </c>
      <c r="B4779" s="6" t="s">
        <v>50</v>
      </c>
      <c r="C4779" s="6" t="s">
        <v>4166</v>
      </c>
      <c r="D4779" s="6" t="s">
        <v>14</v>
      </c>
      <c r="E4779" s="6" t="s">
        <v>19</v>
      </c>
      <c r="F4779" s="6">
        <v>9.431510921E9</v>
      </c>
    </row>
    <row r="4780" ht="15.75" customHeight="1">
      <c r="A4780" s="6" t="s">
        <v>450</v>
      </c>
      <c r="B4780" s="6" t="s">
        <v>3460</v>
      </c>
      <c r="C4780" s="6" t="s">
        <v>761</v>
      </c>
      <c r="D4780" s="6" t="s">
        <v>56</v>
      </c>
      <c r="E4780" s="6" t="s">
        <v>19</v>
      </c>
      <c r="F4780" s="6">
        <v>9.334837669E9</v>
      </c>
    </row>
    <row r="4781" ht="15.75" customHeight="1">
      <c r="A4781" s="6" t="s">
        <v>565</v>
      </c>
      <c r="B4781" s="6" t="s">
        <v>50</v>
      </c>
      <c r="C4781" s="6" t="s">
        <v>4225</v>
      </c>
      <c r="D4781" s="6" t="s">
        <v>9</v>
      </c>
      <c r="E4781" s="6" t="s">
        <v>19</v>
      </c>
      <c r="F4781" s="6">
        <v>9.931593584E9</v>
      </c>
    </row>
    <row r="4782" ht="15.75" customHeight="1">
      <c r="A4782" s="6" t="s">
        <v>4226</v>
      </c>
      <c r="B4782" s="6" t="s">
        <v>4227</v>
      </c>
      <c r="C4782" s="6" t="s">
        <v>576</v>
      </c>
      <c r="D4782" s="6" t="s">
        <v>14</v>
      </c>
      <c r="E4782" s="6" t="s">
        <v>282</v>
      </c>
      <c r="F4782" s="6">
        <v>9.824657159E9</v>
      </c>
    </row>
    <row r="4783" ht="15.75" customHeight="1">
      <c r="A4783" s="6" t="s">
        <v>764</v>
      </c>
      <c r="B4783" s="6" t="s">
        <v>50</v>
      </c>
      <c r="C4783" s="6" t="s">
        <v>4228</v>
      </c>
      <c r="D4783" s="6" t="s">
        <v>9</v>
      </c>
      <c r="E4783" s="6" t="s">
        <v>19</v>
      </c>
      <c r="F4783" s="6">
        <v>9.097554477E9</v>
      </c>
    </row>
    <row r="4784" ht="15.75" customHeight="1">
      <c r="A4784" s="6" t="s">
        <v>2650</v>
      </c>
      <c r="B4784" s="6" t="s">
        <v>4229</v>
      </c>
      <c r="C4784" s="6" t="s">
        <v>4230</v>
      </c>
      <c r="D4784" s="6" t="s">
        <v>26</v>
      </c>
      <c r="E4784" s="6" t="s">
        <v>282</v>
      </c>
      <c r="F4784" s="6">
        <v>7.490015773E9</v>
      </c>
    </row>
    <row r="4785" ht="15.75" customHeight="1">
      <c r="A4785" s="6" t="s">
        <v>1654</v>
      </c>
      <c r="B4785" s="6" t="s">
        <v>1426</v>
      </c>
      <c r="C4785" s="6" t="s">
        <v>4166</v>
      </c>
      <c r="D4785" s="6" t="s">
        <v>44</v>
      </c>
      <c r="E4785" s="6" t="s">
        <v>19</v>
      </c>
      <c r="F4785" s="6">
        <v>7.479776285E9</v>
      </c>
    </row>
    <row r="4786" ht="15.75" customHeight="1">
      <c r="A4786" s="6" t="s">
        <v>3728</v>
      </c>
      <c r="B4786" s="6" t="s">
        <v>4231</v>
      </c>
      <c r="C4786" s="6" t="s">
        <v>4221</v>
      </c>
      <c r="D4786" s="6" t="s">
        <v>56</v>
      </c>
      <c r="E4786" s="6" t="s">
        <v>282</v>
      </c>
      <c r="F4786" s="6">
        <v>8.238894987E9</v>
      </c>
    </row>
    <row r="4787" ht="15.75" customHeight="1">
      <c r="A4787" s="6" t="s">
        <v>4232</v>
      </c>
      <c r="B4787" s="6" t="s">
        <v>485</v>
      </c>
      <c r="C4787" s="6" t="s">
        <v>4233</v>
      </c>
      <c r="D4787" s="6" t="s">
        <v>102</v>
      </c>
      <c r="E4787" s="6" t="s">
        <v>4234</v>
      </c>
      <c r="F4787" s="6">
        <v>6.290298648E9</v>
      </c>
    </row>
    <row r="4788" ht="15.75" customHeight="1">
      <c r="A4788" s="6" t="s">
        <v>6</v>
      </c>
      <c r="B4788" s="6" t="s">
        <v>65</v>
      </c>
      <c r="C4788" s="6" t="s">
        <v>4235</v>
      </c>
      <c r="D4788" s="6" t="s">
        <v>26</v>
      </c>
      <c r="E4788" s="6" t="s">
        <v>282</v>
      </c>
      <c r="F4788" s="6">
        <v>7.698977944E9</v>
      </c>
    </row>
    <row r="4789" ht="15.75" customHeight="1">
      <c r="A4789" s="6" t="s">
        <v>764</v>
      </c>
      <c r="B4789" s="6" t="s">
        <v>63</v>
      </c>
      <c r="C4789" s="6" t="s">
        <v>289</v>
      </c>
      <c r="D4789" s="6" t="s">
        <v>102</v>
      </c>
      <c r="E4789" s="6" t="s">
        <v>19</v>
      </c>
      <c r="F4789" s="6">
        <v>9.835576295E9</v>
      </c>
    </row>
    <row r="4790" ht="15.75" customHeight="1">
      <c r="A4790" s="6" t="s">
        <v>4236</v>
      </c>
      <c r="B4790" s="6" t="s">
        <v>63</v>
      </c>
      <c r="C4790" s="6" t="s">
        <v>3461</v>
      </c>
      <c r="D4790" s="6" t="s">
        <v>26</v>
      </c>
      <c r="E4790" s="6" t="s">
        <v>19</v>
      </c>
      <c r="F4790" s="6">
        <v>9.875433677E9</v>
      </c>
    </row>
    <row r="4791" ht="15.75" customHeight="1">
      <c r="A4791" s="6" t="s">
        <v>4237</v>
      </c>
      <c r="B4791" s="6" t="s">
        <v>1343</v>
      </c>
      <c r="C4791" s="6" t="s">
        <v>4238</v>
      </c>
      <c r="D4791" s="6" t="s">
        <v>56</v>
      </c>
      <c r="E4791" s="6" t="s">
        <v>494</v>
      </c>
      <c r="F4791" s="6">
        <v>9.055525254E9</v>
      </c>
    </row>
    <row r="4792" ht="15.75" customHeight="1">
      <c r="A4792" s="6" t="s">
        <v>518</v>
      </c>
      <c r="B4792" s="6" t="s">
        <v>4239</v>
      </c>
      <c r="C4792" s="6" t="s">
        <v>3272</v>
      </c>
      <c r="D4792" s="6" t="s">
        <v>44</v>
      </c>
      <c r="E4792" s="6" t="s">
        <v>19</v>
      </c>
      <c r="F4792" s="6">
        <v>7.004774989E9</v>
      </c>
    </row>
    <row r="4793" ht="15.75" customHeight="1">
      <c r="A4793" s="6" t="s">
        <v>871</v>
      </c>
      <c r="B4793" s="6" t="s">
        <v>4240</v>
      </c>
      <c r="C4793" s="6" t="s">
        <v>4221</v>
      </c>
      <c r="D4793" s="6" t="s">
        <v>14</v>
      </c>
      <c r="E4793" s="6" t="s">
        <v>282</v>
      </c>
      <c r="F4793" s="6">
        <v>9.167126136E9</v>
      </c>
    </row>
    <row r="4794" ht="15.75" customHeight="1">
      <c r="A4794" s="6" t="s">
        <v>4241</v>
      </c>
      <c r="B4794" s="6" t="s">
        <v>930</v>
      </c>
      <c r="C4794" s="6" t="s">
        <v>4242</v>
      </c>
      <c r="D4794" s="6" t="s">
        <v>14</v>
      </c>
      <c r="E4794" s="6" t="s">
        <v>3870</v>
      </c>
      <c r="F4794" s="6">
        <v>9.452826955E9</v>
      </c>
    </row>
    <row r="4795" ht="15.75" customHeight="1">
      <c r="A4795" s="6" t="s">
        <v>1838</v>
      </c>
      <c r="B4795" s="6" t="s">
        <v>50</v>
      </c>
      <c r="C4795" s="6" t="s">
        <v>4243</v>
      </c>
      <c r="D4795" s="6" t="s">
        <v>29</v>
      </c>
      <c r="E4795" s="6" t="s">
        <v>19</v>
      </c>
      <c r="F4795" s="6">
        <v>9.835516355E9</v>
      </c>
    </row>
    <row r="4796" ht="15.75" customHeight="1">
      <c r="A4796" s="6" t="s">
        <v>1380</v>
      </c>
      <c r="B4796" s="6" t="s">
        <v>2417</v>
      </c>
      <c r="C4796" s="6" t="s">
        <v>4244</v>
      </c>
      <c r="D4796" s="6" t="s">
        <v>14</v>
      </c>
      <c r="E4796" s="6" t="s">
        <v>19</v>
      </c>
      <c r="F4796" s="6">
        <v>9.430172671E9</v>
      </c>
    </row>
    <row r="4797" ht="15.75" customHeight="1">
      <c r="A4797" s="6" t="s">
        <v>290</v>
      </c>
      <c r="B4797" s="6" t="s">
        <v>746</v>
      </c>
      <c r="C4797" s="6" t="s">
        <v>4245</v>
      </c>
      <c r="D4797" s="6" t="s">
        <v>9</v>
      </c>
      <c r="E4797" s="6" t="s">
        <v>19</v>
      </c>
      <c r="F4797" s="6">
        <v>8.780945673E9</v>
      </c>
    </row>
    <row r="4798" ht="15.75" customHeight="1">
      <c r="A4798" s="6" t="s">
        <v>4246</v>
      </c>
      <c r="B4798" s="6" t="s">
        <v>3112</v>
      </c>
      <c r="C4798" s="6" t="s">
        <v>2918</v>
      </c>
      <c r="D4798" s="6" t="s">
        <v>26</v>
      </c>
      <c r="E4798" s="6" t="s">
        <v>19</v>
      </c>
      <c r="F4798" s="6">
        <v>7.004893965E9</v>
      </c>
    </row>
    <row r="4799" ht="15.75" customHeight="1">
      <c r="A4799" s="6" t="s">
        <v>4247</v>
      </c>
      <c r="B4799" s="6" t="s">
        <v>55</v>
      </c>
      <c r="C4799" s="6" t="s">
        <v>1798</v>
      </c>
      <c r="D4799" s="6" t="s">
        <v>26</v>
      </c>
      <c r="E4799" s="6" t="s">
        <v>19</v>
      </c>
      <c r="F4799" s="6">
        <v>9.431593687E9</v>
      </c>
    </row>
    <row r="4800" ht="15.75" customHeight="1">
      <c r="A4800" s="6" t="s">
        <v>4248</v>
      </c>
      <c r="B4800" s="6" t="s">
        <v>2612</v>
      </c>
      <c r="C4800" s="6" t="s">
        <v>4249</v>
      </c>
      <c r="D4800" s="6" t="s">
        <v>26</v>
      </c>
      <c r="E4800" s="6" t="s">
        <v>282</v>
      </c>
      <c r="F4800" s="6">
        <v>8.657270488E9</v>
      </c>
    </row>
    <row r="4801" ht="15.75" customHeight="1">
      <c r="A4801" s="6" t="s">
        <v>4250</v>
      </c>
      <c r="B4801" s="6" t="s">
        <v>55</v>
      </c>
      <c r="C4801" s="6" t="s">
        <v>330</v>
      </c>
      <c r="D4801" s="6" t="s">
        <v>44</v>
      </c>
      <c r="E4801" s="6" t="s">
        <v>19</v>
      </c>
      <c r="F4801" s="6">
        <v>7.07091261E9</v>
      </c>
    </row>
    <row r="4802" ht="15.75" customHeight="1">
      <c r="A4802" s="6" t="s">
        <v>3022</v>
      </c>
      <c r="B4802" s="6" t="s">
        <v>71</v>
      </c>
      <c r="C4802" s="6" t="s">
        <v>230</v>
      </c>
      <c r="D4802" s="6" t="s">
        <v>14</v>
      </c>
      <c r="E4802" s="6" t="s">
        <v>19</v>
      </c>
      <c r="F4802" s="6">
        <v>9.431325478E9</v>
      </c>
    </row>
    <row r="4803" ht="15.75" customHeight="1">
      <c r="A4803" s="6" t="s">
        <v>3084</v>
      </c>
      <c r="B4803" s="6" t="s">
        <v>112</v>
      </c>
      <c r="C4803" s="6" t="s">
        <v>4166</v>
      </c>
      <c r="D4803" s="6" t="s">
        <v>14</v>
      </c>
      <c r="E4803" s="6" t="s">
        <v>19</v>
      </c>
      <c r="F4803" s="6">
        <v>9.931136904E9</v>
      </c>
    </row>
    <row r="4804" ht="15.75" customHeight="1">
      <c r="A4804" s="6" t="s">
        <v>617</v>
      </c>
      <c r="B4804" s="6" t="s">
        <v>1660</v>
      </c>
      <c r="C4804" s="6" t="s">
        <v>354</v>
      </c>
      <c r="D4804" s="6" t="s">
        <v>26</v>
      </c>
      <c r="E4804" s="6" t="s">
        <v>19</v>
      </c>
      <c r="F4804" s="6">
        <v>6.201590591E9</v>
      </c>
    </row>
    <row r="4805" ht="15.75" customHeight="1">
      <c r="A4805" s="6" t="s">
        <v>1035</v>
      </c>
      <c r="B4805" s="6" t="s">
        <v>55</v>
      </c>
      <c r="C4805" s="6" t="s">
        <v>4166</v>
      </c>
      <c r="D4805" s="6" t="s">
        <v>44</v>
      </c>
      <c r="E4805" s="6" t="s">
        <v>19</v>
      </c>
      <c r="F4805" s="6">
        <v>9.934325692E9</v>
      </c>
    </row>
    <row r="4806" ht="15.75" customHeight="1">
      <c r="A4806" s="6" t="s">
        <v>2919</v>
      </c>
      <c r="B4806" s="6" t="s">
        <v>4251</v>
      </c>
      <c r="C4806" s="6" t="s">
        <v>4166</v>
      </c>
      <c r="D4806" s="6" t="s">
        <v>14</v>
      </c>
      <c r="E4806" s="6" t="s">
        <v>19</v>
      </c>
      <c r="F4806" s="6">
        <v>9.386955847E9</v>
      </c>
    </row>
    <row r="4807" ht="15.75" customHeight="1">
      <c r="A4807" s="6" t="s">
        <v>843</v>
      </c>
      <c r="B4807" s="6" t="s">
        <v>220</v>
      </c>
      <c r="C4807" s="6" t="s">
        <v>655</v>
      </c>
      <c r="D4807" s="6" t="s">
        <v>44</v>
      </c>
      <c r="E4807" s="6" t="s">
        <v>19</v>
      </c>
      <c r="F4807" s="6">
        <v>9.431173886E9</v>
      </c>
    </row>
    <row r="4808" ht="15.75" customHeight="1">
      <c r="A4808" s="6" t="s">
        <v>4252</v>
      </c>
      <c r="B4808" s="6" t="s">
        <v>50</v>
      </c>
      <c r="C4808" s="6" t="s">
        <v>354</v>
      </c>
      <c r="D4808" s="6" t="s">
        <v>26</v>
      </c>
      <c r="E4808" s="6" t="s">
        <v>19</v>
      </c>
      <c r="F4808" s="6">
        <v>9.162360724E9</v>
      </c>
    </row>
    <row r="4809" ht="15.75" customHeight="1">
      <c r="A4809" s="6" t="s">
        <v>2899</v>
      </c>
      <c r="B4809" s="6" t="s">
        <v>63</v>
      </c>
      <c r="C4809" s="6" t="s">
        <v>655</v>
      </c>
      <c r="D4809" s="6" t="s">
        <v>26</v>
      </c>
      <c r="E4809" s="6" t="s">
        <v>19</v>
      </c>
      <c r="F4809" s="6">
        <v>7.909063157E9</v>
      </c>
    </row>
    <row r="4810" ht="15.75" customHeight="1">
      <c r="A4810" s="6" t="s">
        <v>4253</v>
      </c>
      <c r="B4810" s="6" t="s">
        <v>63</v>
      </c>
      <c r="C4810" s="6" t="s">
        <v>4254</v>
      </c>
      <c r="D4810" s="6" t="s">
        <v>56</v>
      </c>
      <c r="E4810" s="6" t="s">
        <v>19</v>
      </c>
      <c r="F4810" s="6">
        <v>9.955315343E9</v>
      </c>
    </row>
    <row r="4811" ht="15.75" customHeight="1">
      <c r="A4811" s="6" t="s">
        <v>3415</v>
      </c>
      <c r="B4811" s="6" t="s">
        <v>1630</v>
      </c>
      <c r="C4811" s="6" t="s">
        <v>655</v>
      </c>
      <c r="D4811" s="6" t="s">
        <v>9</v>
      </c>
      <c r="E4811" s="6" t="s">
        <v>19</v>
      </c>
      <c r="F4811" s="6">
        <v>9.905686161E9</v>
      </c>
    </row>
    <row r="4812" ht="15.75" customHeight="1">
      <c r="A4812" s="6" t="s">
        <v>1389</v>
      </c>
      <c r="B4812" s="6" t="s">
        <v>4255</v>
      </c>
      <c r="C4812" s="6" t="s">
        <v>235</v>
      </c>
      <c r="D4812" s="6" t="s">
        <v>26</v>
      </c>
      <c r="E4812" s="6" t="s">
        <v>19</v>
      </c>
      <c r="F4812" s="6">
        <v>6.202520978E9</v>
      </c>
    </row>
    <row r="4813" ht="15.75" customHeight="1">
      <c r="A4813" s="6" t="s">
        <v>1380</v>
      </c>
      <c r="B4813" s="6" t="s">
        <v>3293</v>
      </c>
      <c r="C4813" s="6" t="s">
        <v>4256</v>
      </c>
      <c r="D4813" s="6" t="s">
        <v>26</v>
      </c>
      <c r="E4813" s="6" t="s">
        <v>19</v>
      </c>
      <c r="F4813" s="6">
        <v>8.580022893E9</v>
      </c>
    </row>
    <row r="4814" ht="15.75" customHeight="1">
      <c r="A4814" s="6" t="s">
        <v>777</v>
      </c>
      <c r="B4814" s="6" t="s">
        <v>47</v>
      </c>
      <c r="C4814" s="6" t="s">
        <v>200</v>
      </c>
      <c r="D4814" s="6" t="s">
        <v>26</v>
      </c>
      <c r="E4814" s="6" t="s">
        <v>19</v>
      </c>
      <c r="F4814" s="6">
        <v>9.304969406E9</v>
      </c>
    </row>
    <row r="4815" ht="15.75" customHeight="1">
      <c r="A4815" s="6" t="s">
        <v>110</v>
      </c>
      <c r="B4815" s="6" t="s">
        <v>63</v>
      </c>
      <c r="C4815" s="6" t="s">
        <v>655</v>
      </c>
      <c r="D4815" s="6" t="s">
        <v>44</v>
      </c>
      <c r="E4815" s="6" t="s">
        <v>19</v>
      </c>
      <c r="F4815" s="6">
        <v>7.004815861E9</v>
      </c>
    </row>
    <row r="4816" ht="15.75" customHeight="1">
      <c r="A4816" s="6" t="s">
        <v>3354</v>
      </c>
      <c r="B4816" s="6" t="s">
        <v>2417</v>
      </c>
      <c r="C4816" s="6" t="s">
        <v>655</v>
      </c>
      <c r="D4816" s="6" t="s">
        <v>44</v>
      </c>
      <c r="E4816" s="6" t="s">
        <v>19</v>
      </c>
      <c r="F4816" s="6">
        <v>8.409528779E9</v>
      </c>
    </row>
    <row r="4817" ht="15.75" customHeight="1">
      <c r="A4817" s="6" t="s">
        <v>1092</v>
      </c>
      <c r="B4817" s="6" t="s">
        <v>675</v>
      </c>
      <c r="C4817" s="6" t="s">
        <v>4257</v>
      </c>
      <c r="D4817" s="6" t="s">
        <v>44</v>
      </c>
      <c r="E4817" s="6" t="s">
        <v>434</v>
      </c>
      <c r="F4817" s="6">
        <v>8.828370181E9</v>
      </c>
    </row>
    <row r="4818" ht="15.75" customHeight="1">
      <c r="A4818" s="6" t="s">
        <v>4258</v>
      </c>
      <c r="B4818" s="6" t="s">
        <v>4259</v>
      </c>
      <c r="C4818" s="6" t="s">
        <v>1286</v>
      </c>
      <c r="D4818" s="6" t="s">
        <v>102</v>
      </c>
      <c r="E4818" s="6" t="s">
        <v>282</v>
      </c>
      <c r="F4818" s="6">
        <v>9.152061302E9</v>
      </c>
    </row>
    <row r="4819" ht="15.75" customHeight="1">
      <c r="A4819" s="6" t="s">
        <v>1654</v>
      </c>
      <c r="B4819" s="6" t="s">
        <v>606</v>
      </c>
      <c r="C4819" s="6" t="s">
        <v>828</v>
      </c>
      <c r="D4819" s="6" t="s">
        <v>56</v>
      </c>
      <c r="E4819" s="6" t="s">
        <v>19</v>
      </c>
      <c r="F4819" s="6">
        <v>7.654983131E9</v>
      </c>
    </row>
    <row r="4820" ht="15.75" customHeight="1">
      <c r="A4820" s="6" t="s">
        <v>4260</v>
      </c>
      <c r="B4820" s="6" t="s">
        <v>4261</v>
      </c>
      <c r="C4820" s="6" t="s">
        <v>4230</v>
      </c>
      <c r="D4820" s="6" t="s">
        <v>102</v>
      </c>
      <c r="E4820" s="6" t="s">
        <v>282</v>
      </c>
      <c r="F4820" s="6">
        <v>9.368501146E9</v>
      </c>
    </row>
    <row r="4821" ht="15.75" customHeight="1">
      <c r="A4821" s="6" t="s">
        <v>2191</v>
      </c>
      <c r="B4821" s="6" t="s">
        <v>65</v>
      </c>
      <c r="C4821" s="6" t="s">
        <v>655</v>
      </c>
      <c r="D4821" s="6" t="s">
        <v>56</v>
      </c>
      <c r="E4821" s="6" t="s">
        <v>19</v>
      </c>
      <c r="F4821" s="6">
        <v>9.334896104E9</v>
      </c>
    </row>
    <row r="4822" ht="15.75" customHeight="1">
      <c r="A4822" s="6" t="s">
        <v>4262</v>
      </c>
      <c r="B4822" s="6" t="s">
        <v>693</v>
      </c>
      <c r="C4822" s="6" t="s">
        <v>4193</v>
      </c>
      <c r="D4822" s="6" t="s">
        <v>9</v>
      </c>
      <c r="E4822" s="6" t="s">
        <v>282</v>
      </c>
      <c r="F4822" s="6">
        <v>9.328265638E9</v>
      </c>
    </row>
    <row r="4823" ht="15.75" customHeight="1">
      <c r="A4823" s="6" t="s">
        <v>856</v>
      </c>
      <c r="B4823" s="6" t="s">
        <v>65</v>
      </c>
      <c r="C4823" s="6" t="s">
        <v>4263</v>
      </c>
      <c r="D4823" s="6" t="s">
        <v>56</v>
      </c>
      <c r="E4823" s="6" t="s">
        <v>19</v>
      </c>
      <c r="F4823" s="6">
        <v>9.985413139E9</v>
      </c>
    </row>
    <row r="4824" ht="15.75" customHeight="1">
      <c r="A4824" s="6" t="s">
        <v>636</v>
      </c>
      <c r="B4824" s="6" t="s">
        <v>1418</v>
      </c>
      <c r="C4824" s="6" t="s">
        <v>729</v>
      </c>
      <c r="D4824" s="6" t="s">
        <v>56</v>
      </c>
      <c r="E4824" s="6" t="s">
        <v>19</v>
      </c>
      <c r="F4824" s="6">
        <v>9.835123631E9</v>
      </c>
    </row>
    <row r="4825" ht="15.75" customHeight="1">
      <c r="A4825" s="6" t="s">
        <v>4264</v>
      </c>
      <c r="B4825" s="6" t="s">
        <v>191</v>
      </c>
      <c r="C4825" s="6" t="s">
        <v>235</v>
      </c>
      <c r="D4825" s="6" t="s">
        <v>26</v>
      </c>
      <c r="E4825" s="6" t="s">
        <v>19</v>
      </c>
      <c r="F4825" s="6">
        <v>9.162360724E9</v>
      </c>
    </row>
    <row r="4826" ht="15.75" customHeight="1">
      <c r="A4826" s="6" t="s">
        <v>1468</v>
      </c>
      <c r="B4826" s="6" t="s">
        <v>47</v>
      </c>
      <c r="C4826" s="6" t="s">
        <v>655</v>
      </c>
      <c r="D4826" s="6" t="s">
        <v>44</v>
      </c>
      <c r="E4826" s="6" t="s">
        <v>19</v>
      </c>
      <c r="F4826" s="6">
        <v>9.234240998E9</v>
      </c>
    </row>
    <row r="4827" ht="15.75" customHeight="1">
      <c r="A4827" s="6" t="s">
        <v>4265</v>
      </c>
      <c r="B4827" s="6" t="s">
        <v>693</v>
      </c>
      <c r="C4827" s="6" t="s">
        <v>1935</v>
      </c>
      <c r="D4827" s="6" t="s">
        <v>29</v>
      </c>
      <c r="E4827" s="6" t="s">
        <v>282</v>
      </c>
      <c r="F4827" s="6">
        <v>8.160378775E9</v>
      </c>
    </row>
    <row r="4828" ht="15.75" customHeight="1">
      <c r="A4828" s="6" t="s">
        <v>52</v>
      </c>
      <c r="B4828" s="6" t="s">
        <v>50</v>
      </c>
      <c r="C4828" s="6" t="s">
        <v>1036</v>
      </c>
      <c r="D4828" s="6" t="s">
        <v>56</v>
      </c>
      <c r="E4828" s="6" t="s">
        <v>19</v>
      </c>
      <c r="F4828" s="6">
        <v>9.386766366E9</v>
      </c>
    </row>
    <row r="4829" ht="15.75" customHeight="1">
      <c r="A4829" s="6" t="s">
        <v>4266</v>
      </c>
      <c r="B4829" s="6" t="s">
        <v>693</v>
      </c>
      <c r="C4829" s="6" t="s">
        <v>4193</v>
      </c>
      <c r="D4829" s="6" t="s">
        <v>14</v>
      </c>
      <c r="E4829" s="6" t="s">
        <v>282</v>
      </c>
      <c r="F4829" s="6">
        <v>9.825405859E9</v>
      </c>
    </row>
    <row r="4830" ht="15.75" customHeight="1">
      <c r="A4830" s="6" t="s">
        <v>1813</v>
      </c>
      <c r="B4830" s="6" t="s">
        <v>50</v>
      </c>
      <c r="C4830" s="6" t="s">
        <v>226</v>
      </c>
      <c r="D4830" s="6" t="s">
        <v>44</v>
      </c>
      <c r="E4830" s="6" t="s">
        <v>19</v>
      </c>
      <c r="F4830" s="6">
        <v>7.091517135E9</v>
      </c>
    </row>
    <row r="4831" ht="15.75" customHeight="1">
      <c r="A4831" s="6" t="s">
        <v>4267</v>
      </c>
      <c r="B4831" s="6" t="s">
        <v>1436</v>
      </c>
      <c r="C4831" s="6" t="s">
        <v>576</v>
      </c>
      <c r="D4831" s="6" t="s">
        <v>44</v>
      </c>
      <c r="E4831" s="6" t="s">
        <v>282</v>
      </c>
      <c r="F4831" s="6">
        <v>9.909002385E9</v>
      </c>
    </row>
    <row r="4832" ht="15.75" customHeight="1">
      <c r="A4832" s="6" t="s">
        <v>748</v>
      </c>
      <c r="B4832" s="6" t="s">
        <v>50</v>
      </c>
      <c r="C4832" s="6" t="s">
        <v>729</v>
      </c>
      <c r="D4832" s="6" t="s">
        <v>56</v>
      </c>
      <c r="E4832" s="6" t="s">
        <v>19</v>
      </c>
      <c r="F4832" s="6">
        <v>9.430724331E9</v>
      </c>
    </row>
    <row r="4833" ht="15.75" customHeight="1">
      <c r="A4833" s="6" t="s">
        <v>4268</v>
      </c>
      <c r="B4833" s="6" t="s">
        <v>4269</v>
      </c>
      <c r="C4833" s="6" t="s">
        <v>576</v>
      </c>
      <c r="D4833" s="6" t="s">
        <v>14</v>
      </c>
      <c r="E4833" s="6" t="s">
        <v>282</v>
      </c>
      <c r="F4833" s="6">
        <v>8.14199341E9</v>
      </c>
    </row>
    <row r="4834" ht="15.75" customHeight="1">
      <c r="A4834" s="6" t="s">
        <v>4270</v>
      </c>
      <c r="B4834" s="6" t="s">
        <v>63</v>
      </c>
      <c r="C4834" s="6" t="s">
        <v>226</v>
      </c>
      <c r="D4834" s="6" t="s">
        <v>9</v>
      </c>
      <c r="E4834" s="6" t="s">
        <v>19</v>
      </c>
      <c r="F4834" s="6">
        <v>7.903419553E9</v>
      </c>
    </row>
    <row r="4835" ht="15.75" customHeight="1">
      <c r="A4835" s="6" t="s">
        <v>2438</v>
      </c>
      <c r="B4835" s="6" t="s">
        <v>4271</v>
      </c>
      <c r="C4835" s="6" t="s">
        <v>4272</v>
      </c>
      <c r="D4835" s="6" t="s">
        <v>44</v>
      </c>
      <c r="E4835" s="6" t="s">
        <v>282</v>
      </c>
      <c r="F4835" s="6">
        <v>9.374887373E9</v>
      </c>
    </row>
    <row r="4836" ht="15.75" customHeight="1">
      <c r="A4836" s="6" t="s">
        <v>1213</v>
      </c>
      <c r="B4836" s="6" t="s">
        <v>63</v>
      </c>
      <c r="C4836" s="6" t="s">
        <v>453</v>
      </c>
      <c r="D4836" s="6" t="s">
        <v>56</v>
      </c>
      <c r="E4836" s="6" t="s">
        <v>19</v>
      </c>
      <c r="F4836" s="6">
        <v>7.808450555E9</v>
      </c>
    </row>
    <row r="4837" ht="15.75" customHeight="1">
      <c r="A4837" s="6" t="s">
        <v>113</v>
      </c>
      <c r="B4837" s="6" t="s">
        <v>2238</v>
      </c>
      <c r="C4837" s="6" t="s">
        <v>4273</v>
      </c>
      <c r="D4837" s="6" t="s">
        <v>44</v>
      </c>
      <c r="E4837" s="6" t="s">
        <v>19</v>
      </c>
      <c r="F4837" s="6">
        <v>7.762888908E9</v>
      </c>
    </row>
    <row r="4838" ht="15.75" customHeight="1">
      <c r="A4838" s="6" t="s">
        <v>3773</v>
      </c>
      <c r="B4838" s="6" t="s">
        <v>4274</v>
      </c>
      <c r="C4838" s="6" t="s">
        <v>4275</v>
      </c>
      <c r="D4838" s="6" t="s">
        <v>9</v>
      </c>
      <c r="E4838" s="6" t="s">
        <v>4276</v>
      </c>
      <c r="F4838" s="6">
        <v>9.58110101E9</v>
      </c>
    </row>
    <row r="4839" ht="15.75" customHeight="1">
      <c r="A4839" s="6" t="s">
        <v>186</v>
      </c>
      <c r="B4839" s="6" t="s">
        <v>50</v>
      </c>
      <c r="C4839" s="6" t="s">
        <v>330</v>
      </c>
      <c r="D4839" s="6" t="s">
        <v>44</v>
      </c>
      <c r="E4839" s="6" t="s">
        <v>19</v>
      </c>
      <c r="F4839" s="6">
        <v>9.852168601E9</v>
      </c>
    </row>
    <row r="4840" ht="15.75" customHeight="1">
      <c r="A4840" s="6" t="s">
        <v>4277</v>
      </c>
      <c r="B4840" s="6" t="s">
        <v>4278</v>
      </c>
      <c r="C4840" s="6" t="s">
        <v>4279</v>
      </c>
      <c r="D4840" s="6" t="s">
        <v>26</v>
      </c>
      <c r="E4840" s="6" t="s">
        <v>282</v>
      </c>
      <c r="F4840" s="6">
        <v>9.825853373E9</v>
      </c>
    </row>
    <row r="4841" ht="15.75" customHeight="1">
      <c r="A4841" s="6" t="s">
        <v>516</v>
      </c>
      <c r="B4841" s="6" t="s">
        <v>47</v>
      </c>
      <c r="C4841" s="6" t="s">
        <v>655</v>
      </c>
      <c r="D4841" s="6" t="s">
        <v>56</v>
      </c>
      <c r="E4841" s="6" t="s">
        <v>19</v>
      </c>
      <c r="F4841" s="6">
        <v>9.470999911E9</v>
      </c>
    </row>
    <row r="4842" ht="15.75" customHeight="1">
      <c r="A4842" s="6" t="s">
        <v>4280</v>
      </c>
      <c r="B4842" s="6" t="s">
        <v>4281</v>
      </c>
      <c r="C4842" s="6" t="s">
        <v>4282</v>
      </c>
      <c r="D4842" s="6" t="s">
        <v>14</v>
      </c>
      <c r="E4842" s="6" t="s">
        <v>282</v>
      </c>
      <c r="F4842" s="6">
        <v>9.998958915E9</v>
      </c>
    </row>
    <row r="4843" ht="15.75" customHeight="1">
      <c r="A4843" s="6" t="s">
        <v>4283</v>
      </c>
      <c r="B4843" s="6" t="s">
        <v>153</v>
      </c>
      <c r="C4843" s="6" t="s">
        <v>2518</v>
      </c>
      <c r="D4843" s="6" t="s">
        <v>44</v>
      </c>
      <c r="E4843" s="6" t="s">
        <v>19</v>
      </c>
      <c r="F4843" s="6">
        <v>8.70907818E9</v>
      </c>
    </row>
    <row r="4844" ht="15.75" customHeight="1">
      <c r="A4844" s="6" t="s">
        <v>4284</v>
      </c>
      <c r="B4844" s="6" t="s">
        <v>4188</v>
      </c>
      <c r="C4844" s="6" t="s">
        <v>4193</v>
      </c>
      <c r="D4844" s="6" t="s">
        <v>56</v>
      </c>
      <c r="E4844" s="6" t="s">
        <v>282</v>
      </c>
      <c r="F4844" s="6">
        <v>9.426322214E9</v>
      </c>
    </row>
    <row r="4845" ht="15.75" customHeight="1">
      <c r="A4845" s="6" t="s">
        <v>3708</v>
      </c>
      <c r="B4845" s="6" t="s">
        <v>4285</v>
      </c>
      <c r="C4845" s="6" t="s">
        <v>4189</v>
      </c>
      <c r="D4845" s="6" t="s">
        <v>44</v>
      </c>
      <c r="E4845" s="6" t="s">
        <v>282</v>
      </c>
      <c r="F4845" s="6">
        <v>9.624126129E9</v>
      </c>
    </row>
    <row r="4846" ht="15.75" customHeight="1">
      <c r="A4846" s="6" t="s">
        <v>1377</v>
      </c>
      <c r="B4846" s="6" t="s">
        <v>50</v>
      </c>
      <c r="C4846" s="6" t="s">
        <v>4286</v>
      </c>
      <c r="D4846" s="6" t="s">
        <v>44</v>
      </c>
      <c r="E4846" s="6" t="s">
        <v>19</v>
      </c>
      <c r="F4846" s="6">
        <v>7.461057582E9</v>
      </c>
    </row>
    <row r="4847" ht="15.75" customHeight="1">
      <c r="A4847" s="6" t="s">
        <v>1672</v>
      </c>
      <c r="B4847" s="6" t="s">
        <v>4287</v>
      </c>
      <c r="C4847" s="6" t="s">
        <v>4189</v>
      </c>
      <c r="D4847" s="6" t="s">
        <v>9</v>
      </c>
      <c r="E4847" s="6" t="s">
        <v>282</v>
      </c>
      <c r="F4847" s="6">
        <v>9.624126129E9</v>
      </c>
    </row>
    <row r="4848" ht="15.75" customHeight="1">
      <c r="A4848" s="6" t="s">
        <v>4288</v>
      </c>
      <c r="B4848" s="6" t="s">
        <v>1507</v>
      </c>
      <c r="C4848" s="6" t="s">
        <v>4289</v>
      </c>
      <c r="D4848" s="6" t="s">
        <v>26</v>
      </c>
      <c r="E4848" s="6" t="s">
        <v>282</v>
      </c>
      <c r="F4848" s="6">
        <v>9.824823899E9</v>
      </c>
    </row>
    <row r="4849" ht="15.75" customHeight="1">
      <c r="A4849" s="6" t="s">
        <v>4290</v>
      </c>
      <c r="B4849" s="6" t="s">
        <v>4291</v>
      </c>
      <c r="C4849" s="6" t="s">
        <v>3916</v>
      </c>
      <c r="D4849" s="6" t="s">
        <v>14</v>
      </c>
      <c r="E4849" s="6" t="s">
        <v>282</v>
      </c>
      <c r="F4849" s="6">
        <v>9.662779762E9</v>
      </c>
    </row>
    <row r="4850" ht="15.75" customHeight="1">
      <c r="A4850" s="6" t="s">
        <v>2438</v>
      </c>
      <c r="B4850" s="6" t="s">
        <v>4292</v>
      </c>
      <c r="C4850" s="6" t="s">
        <v>2659</v>
      </c>
      <c r="D4850" s="6" t="s">
        <v>56</v>
      </c>
      <c r="E4850" s="6" t="s">
        <v>282</v>
      </c>
      <c r="F4850" s="6">
        <v>9.727721401E9</v>
      </c>
    </row>
    <row r="4851" ht="15.75" customHeight="1">
      <c r="A4851" s="6" t="s">
        <v>4293</v>
      </c>
      <c r="B4851" s="6" t="s">
        <v>269</v>
      </c>
      <c r="C4851" s="6" t="s">
        <v>3294</v>
      </c>
      <c r="D4851" s="6" t="s">
        <v>102</v>
      </c>
      <c r="E4851" s="6" t="s">
        <v>282</v>
      </c>
      <c r="F4851" s="6">
        <v>9.427617274E9</v>
      </c>
    </row>
    <row r="4852" ht="15.75" customHeight="1">
      <c r="A4852" s="6" t="s">
        <v>4294</v>
      </c>
      <c r="B4852" s="6" t="s">
        <v>269</v>
      </c>
      <c r="C4852" s="6" t="s">
        <v>4295</v>
      </c>
      <c r="D4852" s="6" t="s">
        <v>9</v>
      </c>
      <c r="E4852" s="6" t="s">
        <v>282</v>
      </c>
      <c r="F4852" s="6">
        <v>9.982232648E9</v>
      </c>
    </row>
    <row r="4853" ht="15.75" customHeight="1">
      <c r="A4853" s="6" t="s">
        <v>3291</v>
      </c>
      <c r="B4853" s="6" t="s">
        <v>276</v>
      </c>
      <c r="C4853" s="6" t="s">
        <v>655</v>
      </c>
      <c r="D4853" s="6" t="s">
        <v>9</v>
      </c>
      <c r="E4853" s="6" t="s">
        <v>19</v>
      </c>
      <c r="F4853" s="6">
        <v>7.061079045E9</v>
      </c>
    </row>
    <row r="4854" ht="15.75" customHeight="1">
      <c r="A4854" s="6" t="s">
        <v>4296</v>
      </c>
      <c r="B4854" s="6" t="s">
        <v>4297</v>
      </c>
      <c r="C4854" s="6" t="s">
        <v>4298</v>
      </c>
      <c r="D4854" s="6" t="s">
        <v>44</v>
      </c>
      <c r="E4854" s="6" t="s">
        <v>282</v>
      </c>
      <c r="F4854" s="6">
        <v>9.377477493E9</v>
      </c>
    </row>
    <row r="4855" ht="15.75" customHeight="1">
      <c r="A4855" s="6" t="s">
        <v>3016</v>
      </c>
      <c r="B4855" s="6" t="s">
        <v>63</v>
      </c>
      <c r="C4855" s="6" t="s">
        <v>655</v>
      </c>
      <c r="D4855" s="6" t="s">
        <v>14</v>
      </c>
      <c r="E4855" s="6" t="s">
        <v>19</v>
      </c>
      <c r="F4855" s="6">
        <v>8.877500449E9</v>
      </c>
    </row>
    <row r="4856" ht="15.75" customHeight="1">
      <c r="A4856" s="6" t="s">
        <v>4299</v>
      </c>
      <c r="B4856" s="6" t="s">
        <v>4300</v>
      </c>
      <c r="C4856" s="6" t="s">
        <v>4193</v>
      </c>
      <c r="D4856" s="6" t="s">
        <v>14</v>
      </c>
      <c r="E4856" s="6" t="s">
        <v>282</v>
      </c>
      <c r="F4856" s="6">
        <v>9.42676135E9</v>
      </c>
    </row>
    <row r="4857" ht="15.75" customHeight="1">
      <c r="A4857" s="6" t="s">
        <v>4301</v>
      </c>
      <c r="B4857" s="6" t="s">
        <v>52</v>
      </c>
      <c r="C4857" s="6" t="s">
        <v>655</v>
      </c>
      <c r="D4857" s="6" t="s">
        <v>56</v>
      </c>
      <c r="E4857" s="6" t="s">
        <v>19</v>
      </c>
      <c r="F4857" s="6">
        <v>7.488667811E9</v>
      </c>
    </row>
    <row r="4858" ht="15.75" customHeight="1">
      <c r="A4858" s="6" t="s">
        <v>4302</v>
      </c>
      <c r="B4858" s="6" t="s">
        <v>1888</v>
      </c>
      <c r="C4858" s="6" t="s">
        <v>756</v>
      </c>
      <c r="D4858" s="6" t="s">
        <v>14</v>
      </c>
      <c r="E4858" s="6" t="s">
        <v>195</v>
      </c>
      <c r="F4858" s="6">
        <v>9.98710483E9</v>
      </c>
    </row>
    <row r="4859" ht="15.75" customHeight="1">
      <c r="A4859" s="6" t="s">
        <v>805</v>
      </c>
      <c r="B4859" s="6" t="s">
        <v>88</v>
      </c>
      <c r="C4859" s="6" t="s">
        <v>1039</v>
      </c>
      <c r="D4859" s="6" t="s">
        <v>56</v>
      </c>
      <c r="E4859" s="6" t="s">
        <v>19</v>
      </c>
      <c r="F4859" s="6">
        <v>7.050891872E9</v>
      </c>
    </row>
    <row r="4860" ht="15.75" customHeight="1">
      <c r="A4860" s="6" t="s">
        <v>4303</v>
      </c>
      <c r="B4860" s="6" t="s">
        <v>1888</v>
      </c>
      <c r="C4860" s="6" t="s">
        <v>756</v>
      </c>
      <c r="D4860" s="6" t="s">
        <v>14</v>
      </c>
      <c r="E4860" s="6" t="s">
        <v>195</v>
      </c>
      <c r="F4860" s="6">
        <v>9.821859302E9</v>
      </c>
    </row>
    <row r="4861" ht="15.75" customHeight="1">
      <c r="A4861" s="6" t="s">
        <v>1294</v>
      </c>
      <c r="B4861" s="6" t="s">
        <v>212</v>
      </c>
      <c r="C4861" s="6" t="s">
        <v>655</v>
      </c>
      <c r="D4861" s="6" t="s">
        <v>44</v>
      </c>
      <c r="E4861" s="6" t="s">
        <v>19</v>
      </c>
      <c r="F4861" s="6">
        <v>7.004458616E9</v>
      </c>
    </row>
    <row r="4862" ht="15.75" customHeight="1">
      <c r="A4862" s="6" t="s">
        <v>4304</v>
      </c>
      <c r="B4862" s="6" t="s">
        <v>50</v>
      </c>
      <c r="C4862" s="6" t="s">
        <v>226</v>
      </c>
      <c r="D4862" s="6" t="s">
        <v>44</v>
      </c>
      <c r="E4862" s="6" t="s">
        <v>19</v>
      </c>
      <c r="F4862" s="6">
        <v>9.708869595E9</v>
      </c>
    </row>
    <row r="4863" ht="15.75" customHeight="1">
      <c r="A4863" s="6" t="s">
        <v>1209</v>
      </c>
      <c r="B4863" s="6" t="s">
        <v>212</v>
      </c>
      <c r="C4863" s="6" t="s">
        <v>4305</v>
      </c>
      <c r="D4863" s="6" t="s">
        <v>44</v>
      </c>
      <c r="E4863" s="6" t="s">
        <v>19</v>
      </c>
      <c r="F4863" s="6">
        <v>7.673757325E9</v>
      </c>
    </row>
    <row r="4864" ht="15.75" customHeight="1">
      <c r="A4864" s="6" t="s">
        <v>4306</v>
      </c>
      <c r="B4864" s="6" t="s">
        <v>4307</v>
      </c>
      <c r="C4864" s="6" t="s">
        <v>4193</v>
      </c>
      <c r="D4864" s="6" t="s">
        <v>26</v>
      </c>
      <c r="E4864" s="6" t="s">
        <v>282</v>
      </c>
      <c r="F4864" s="6">
        <v>9.173600505E9</v>
      </c>
    </row>
    <row r="4865" ht="15.75" customHeight="1">
      <c r="A4865" s="6" t="s">
        <v>1153</v>
      </c>
      <c r="B4865" s="6" t="s">
        <v>4308</v>
      </c>
      <c r="C4865" s="6" t="s">
        <v>729</v>
      </c>
      <c r="D4865" s="6" t="s">
        <v>26</v>
      </c>
      <c r="E4865" s="6" t="s">
        <v>19</v>
      </c>
      <c r="F4865" s="6">
        <v>9.83595565E9</v>
      </c>
    </row>
    <row r="4866" ht="15.75" customHeight="1">
      <c r="A4866" s="6" t="s">
        <v>4309</v>
      </c>
      <c r="B4866" s="6" t="s">
        <v>55</v>
      </c>
      <c r="C4866" s="6" t="s">
        <v>226</v>
      </c>
      <c r="D4866" s="6" t="s">
        <v>44</v>
      </c>
      <c r="E4866" s="6" t="s">
        <v>19</v>
      </c>
      <c r="F4866" s="6">
        <v>7.579635942E9</v>
      </c>
    </row>
    <row r="4867" ht="15.75" customHeight="1">
      <c r="A4867" s="6" t="s">
        <v>776</v>
      </c>
      <c r="B4867" s="6" t="s">
        <v>212</v>
      </c>
      <c r="C4867" s="6" t="s">
        <v>226</v>
      </c>
      <c r="D4867" s="6" t="s">
        <v>44</v>
      </c>
      <c r="E4867" s="6" t="s">
        <v>19</v>
      </c>
      <c r="F4867" s="6">
        <v>8.789465101E9</v>
      </c>
    </row>
    <row r="4868" ht="15.75" customHeight="1">
      <c r="A4868" s="6" t="s">
        <v>4310</v>
      </c>
      <c r="B4868" s="6" t="s">
        <v>269</v>
      </c>
      <c r="C4868" s="6" t="s">
        <v>4311</v>
      </c>
      <c r="D4868" s="6" t="s">
        <v>29</v>
      </c>
      <c r="E4868" s="6" t="s">
        <v>282</v>
      </c>
      <c r="F4868" s="6">
        <v>7.984449433E9</v>
      </c>
    </row>
    <row r="4869" ht="15.75" customHeight="1">
      <c r="A4869" s="6" t="s">
        <v>2514</v>
      </c>
      <c r="B4869" s="6" t="s">
        <v>52</v>
      </c>
      <c r="C4869" s="6" t="s">
        <v>226</v>
      </c>
      <c r="D4869" s="6" t="s">
        <v>44</v>
      </c>
      <c r="E4869" s="6" t="s">
        <v>19</v>
      </c>
      <c r="F4869" s="6">
        <v>8.789656187E9</v>
      </c>
    </row>
    <row r="4870" ht="15.75" customHeight="1">
      <c r="A4870" s="6" t="s">
        <v>4312</v>
      </c>
      <c r="B4870" s="6" t="s">
        <v>985</v>
      </c>
      <c r="C4870" s="6" t="s">
        <v>655</v>
      </c>
      <c r="D4870" s="6" t="s">
        <v>56</v>
      </c>
      <c r="E4870" s="6" t="s">
        <v>19</v>
      </c>
      <c r="F4870" s="6">
        <v>9.334084824E9</v>
      </c>
    </row>
    <row r="4871" ht="15.75" customHeight="1">
      <c r="A4871" s="6" t="s">
        <v>2368</v>
      </c>
      <c r="B4871" s="6" t="s">
        <v>4313</v>
      </c>
      <c r="C4871" s="6" t="s">
        <v>226</v>
      </c>
      <c r="D4871" s="6" t="s">
        <v>29</v>
      </c>
      <c r="E4871" s="6" t="s">
        <v>19</v>
      </c>
      <c r="F4871" s="6">
        <v>9.893859675E9</v>
      </c>
    </row>
    <row r="4872" ht="15.75" customHeight="1">
      <c r="A4872" s="6" t="s">
        <v>989</v>
      </c>
      <c r="B4872" s="6" t="s">
        <v>4314</v>
      </c>
      <c r="C4872" s="6" t="s">
        <v>4315</v>
      </c>
      <c r="D4872" s="6" t="s">
        <v>44</v>
      </c>
      <c r="E4872" s="6" t="s">
        <v>282</v>
      </c>
      <c r="F4872" s="6">
        <v>9.48330894E8</v>
      </c>
    </row>
    <row r="4873" ht="15.75" customHeight="1">
      <c r="A4873" s="6" t="s">
        <v>524</v>
      </c>
      <c r="B4873" s="6" t="s">
        <v>108</v>
      </c>
      <c r="C4873" s="6" t="s">
        <v>58</v>
      </c>
      <c r="D4873" s="6" t="s">
        <v>14</v>
      </c>
      <c r="E4873" s="6" t="s">
        <v>19</v>
      </c>
      <c r="F4873" s="6">
        <v>7.488370112E9</v>
      </c>
    </row>
    <row r="4874" ht="15.75" customHeight="1">
      <c r="A4874" s="6" t="s">
        <v>311</v>
      </c>
      <c r="B4874" s="6" t="s">
        <v>145</v>
      </c>
      <c r="C4874" s="6" t="s">
        <v>2518</v>
      </c>
      <c r="D4874" s="6" t="s">
        <v>44</v>
      </c>
      <c r="E4874" s="6" t="s">
        <v>19</v>
      </c>
      <c r="F4874" s="6">
        <v>9.835156002E9</v>
      </c>
    </row>
    <row r="4875" ht="15.75" customHeight="1">
      <c r="A4875" s="6" t="s">
        <v>4316</v>
      </c>
      <c r="B4875" s="6" t="s">
        <v>2041</v>
      </c>
      <c r="C4875" s="6" t="s">
        <v>3299</v>
      </c>
      <c r="D4875" s="6" t="s">
        <v>56</v>
      </c>
      <c r="E4875" s="6" t="s">
        <v>282</v>
      </c>
      <c r="F4875" s="6">
        <v>7.984748977E9</v>
      </c>
    </row>
    <row r="4876" ht="15.75" customHeight="1">
      <c r="A4876" s="6" t="s">
        <v>1092</v>
      </c>
      <c r="B4876" s="6" t="s">
        <v>1258</v>
      </c>
      <c r="C4876" s="6" t="s">
        <v>1405</v>
      </c>
      <c r="D4876" s="6" t="s">
        <v>9</v>
      </c>
      <c r="E4876" s="6" t="s">
        <v>19</v>
      </c>
      <c r="F4876" s="6">
        <v>9.896765641E9</v>
      </c>
    </row>
    <row r="4877" ht="15.75" customHeight="1">
      <c r="A4877" s="6" t="s">
        <v>1197</v>
      </c>
      <c r="B4877" s="6" t="s">
        <v>4317</v>
      </c>
      <c r="C4877" s="6" t="s">
        <v>4295</v>
      </c>
      <c r="D4877" s="6" t="s">
        <v>44</v>
      </c>
      <c r="E4877" s="6" t="s">
        <v>282</v>
      </c>
      <c r="F4877" s="6">
        <v>9.904363555E9</v>
      </c>
    </row>
    <row r="4878" ht="15.75" customHeight="1">
      <c r="A4878" s="6" t="s">
        <v>1915</v>
      </c>
      <c r="B4878" s="6" t="s">
        <v>119</v>
      </c>
      <c r="C4878" s="6" t="s">
        <v>133</v>
      </c>
      <c r="D4878" s="6" t="s">
        <v>44</v>
      </c>
      <c r="E4878" s="6" t="s">
        <v>4318</v>
      </c>
      <c r="F4878" s="6">
        <v>7.870417942E9</v>
      </c>
    </row>
    <row r="4879" ht="15.75" customHeight="1">
      <c r="A4879" s="6" t="s">
        <v>1220</v>
      </c>
      <c r="B4879" s="6" t="s">
        <v>1466</v>
      </c>
      <c r="C4879" s="6" t="s">
        <v>3921</v>
      </c>
      <c r="D4879" s="6" t="s">
        <v>56</v>
      </c>
      <c r="E4879" s="6" t="s">
        <v>45</v>
      </c>
      <c r="F4879" s="6">
        <v>9.772205011E9</v>
      </c>
    </row>
    <row r="4880" ht="15.75" customHeight="1">
      <c r="A4880" s="6" t="s">
        <v>4319</v>
      </c>
      <c r="B4880" s="6" t="s">
        <v>91</v>
      </c>
      <c r="C4880" s="6" t="s">
        <v>4083</v>
      </c>
      <c r="D4880" s="6" t="s">
        <v>26</v>
      </c>
      <c r="E4880" s="6" t="s">
        <v>4320</v>
      </c>
      <c r="F4880" s="6">
        <v>8.8888888E7</v>
      </c>
    </row>
    <row r="4881" ht="15.75" customHeight="1">
      <c r="A4881" s="6" t="s">
        <v>400</v>
      </c>
      <c r="B4881" s="6" t="s">
        <v>225</v>
      </c>
      <c r="C4881" s="6" t="s">
        <v>4321</v>
      </c>
      <c r="D4881" s="6" t="s">
        <v>26</v>
      </c>
      <c r="E4881" s="6" t="s">
        <v>4322</v>
      </c>
      <c r="F4881" s="6">
        <v>9.818136951E9</v>
      </c>
    </row>
    <row r="4882" ht="15.75" customHeight="1">
      <c r="A4882" s="6" t="s">
        <v>895</v>
      </c>
      <c r="B4882" s="6" t="s">
        <v>4323</v>
      </c>
      <c r="C4882" s="6" t="s">
        <v>4324</v>
      </c>
      <c r="D4882" s="6" t="s">
        <v>9</v>
      </c>
      <c r="E4882" s="6" t="s">
        <v>3395</v>
      </c>
      <c r="F4882" s="6">
        <v>7.567198858E9</v>
      </c>
    </row>
    <row r="4883" ht="15.75" customHeight="1">
      <c r="A4883" s="6" t="s">
        <v>3469</v>
      </c>
      <c r="B4883" s="6" t="s">
        <v>4325</v>
      </c>
      <c r="C4883" s="6" t="s">
        <v>4326</v>
      </c>
      <c r="D4883" s="6" t="s">
        <v>14</v>
      </c>
      <c r="E4883" s="6" t="s">
        <v>15</v>
      </c>
      <c r="F4883" s="6">
        <v>9.467303065E9</v>
      </c>
    </row>
    <row r="4884" ht="15.75" customHeight="1">
      <c r="A4884" s="6" t="s">
        <v>4327</v>
      </c>
      <c r="B4884" s="6" t="s">
        <v>2612</v>
      </c>
      <c r="C4884" s="6" t="s">
        <v>4249</v>
      </c>
      <c r="D4884" s="6" t="s">
        <v>29</v>
      </c>
      <c r="E4884" s="6" t="s">
        <v>434</v>
      </c>
      <c r="F4884" s="6">
        <v>9.152061301E9</v>
      </c>
    </row>
    <row r="4885" ht="15.75" customHeight="1">
      <c r="A4885" s="6" t="s">
        <v>4328</v>
      </c>
      <c r="B4885" s="6" t="s">
        <v>108</v>
      </c>
      <c r="C4885" s="6" t="s">
        <v>4329</v>
      </c>
      <c r="D4885" s="6" t="s">
        <v>9</v>
      </c>
      <c r="E4885" s="6" t="s">
        <v>1102</v>
      </c>
      <c r="F4885" s="6">
        <v>7.982757248E9</v>
      </c>
    </row>
    <row r="4886" ht="15.75" customHeight="1">
      <c r="A4886" s="6" t="s">
        <v>4330</v>
      </c>
      <c r="B4886" s="6" t="s">
        <v>65</v>
      </c>
      <c r="C4886" s="6" t="s">
        <v>4331</v>
      </c>
      <c r="D4886" s="6" t="s">
        <v>9</v>
      </c>
      <c r="E4886" s="6" t="s">
        <v>4332</v>
      </c>
      <c r="F4886" s="6">
        <v>9.467351048E9</v>
      </c>
    </row>
    <row r="4887" ht="15.75" customHeight="1">
      <c r="A4887" s="6" t="s">
        <v>4333</v>
      </c>
      <c r="B4887" s="6" t="s">
        <v>47</v>
      </c>
      <c r="C4887" s="6" t="s">
        <v>4334</v>
      </c>
      <c r="D4887" s="6" t="s">
        <v>44</v>
      </c>
      <c r="E4887" s="6" t="s">
        <v>2025</v>
      </c>
      <c r="F4887" s="6">
        <v>8.588010998E9</v>
      </c>
    </row>
    <row r="4888" ht="15.75" customHeight="1">
      <c r="A4888" s="6" t="s">
        <v>1260</v>
      </c>
      <c r="B4888" s="6" t="s">
        <v>4335</v>
      </c>
      <c r="C4888" s="6" t="s">
        <v>4336</v>
      </c>
      <c r="D4888" s="6" t="s">
        <v>26</v>
      </c>
      <c r="E4888" s="6" t="s">
        <v>434</v>
      </c>
      <c r="F4888" s="6">
        <v>9.967192991E9</v>
      </c>
    </row>
    <row r="4889" ht="15.75" customHeight="1">
      <c r="A4889" s="6" t="s">
        <v>4337</v>
      </c>
      <c r="B4889" s="6" t="s">
        <v>55</v>
      </c>
      <c r="C4889" s="6" t="s">
        <v>4338</v>
      </c>
      <c r="D4889" s="6" t="s">
        <v>29</v>
      </c>
      <c r="E4889" s="6" t="s">
        <v>2575</v>
      </c>
      <c r="F4889" s="6">
        <v>8.939721508E9</v>
      </c>
    </row>
    <row r="4890" ht="15.75" customHeight="1">
      <c r="A4890" s="6" t="s">
        <v>4339</v>
      </c>
      <c r="B4890" s="6" t="s">
        <v>654</v>
      </c>
      <c r="C4890" s="6" t="s">
        <v>106</v>
      </c>
      <c r="D4890" s="6" t="s">
        <v>29</v>
      </c>
      <c r="E4890" s="6" t="s">
        <v>4340</v>
      </c>
      <c r="F4890" s="6">
        <v>8.167270795E9</v>
      </c>
    </row>
    <row r="4891" ht="15.75" customHeight="1">
      <c r="A4891" s="6" t="s">
        <v>4341</v>
      </c>
      <c r="B4891" s="6" t="s">
        <v>4342</v>
      </c>
      <c r="C4891" s="6" t="s">
        <v>4343</v>
      </c>
      <c r="D4891" s="6" t="s">
        <v>26</v>
      </c>
      <c r="E4891" s="6" t="s">
        <v>3870</v>
      </c>
      <c r="F4891" s="6">
        <v>8.052218183E9</v>
      </c>
    </row>
    <row r="4892" ht="15.75" customHeight="1">
      <c r="A4892" s="6" t="s">
        <v>4344</v>
      </c>
      <c r="B4892" s="6" t="s">
        <v>4345</v>
      </c>
      <c r="C4892" s="6" t="s">
        <v>4275</v>
      </c>
      <c r="D4892" s="6" t="s">
        <v>9</v>
      </c>
      <c r="E4892" s="6" t="s">
        <v>4276</v>
      </c>
      <c r="F4892" s="6">
        <v>9.58110101E9</v>
      </c>
    </row>
    <row r="4893" ht="15.75" customHeight="1">
      <c r="A4893" s="6" t="s">
        <v>2594</v>
      </c>
      <c r="B4893" s="6" t="s">
        <v>108</v>
      </c>
      <c r="C4893" s="6" t="s">
        <v>4346</v>
      </c>
      <c r="D4893" s="6" t="s">
        <v>26</v>
      </c>
      <c r="E4893" s="6" t="s">
        <v>4347</v>
      </c>
      <c r="F4893" s="6">
        <v>8.459799195E9</v>
      </c>
    </row>
    <row r="4894" ht="15.75" customHeight="1">
      <c r="A4894" s="6" t="s">
        <v>4348</v>
      </c>
      <c r="B4894" s="6" t="s">
        <v>3739</v>
      </c>
      <c r="C4894" s="6" t="s">
        <v>4349</v>
      </c>
      <c r="D4894" s="6" t="s">
        <v>26</v>
      </c>
      <c r="E4894" s="6" t="s">
        <v>4350</v>
      </c>
      <c r="F4894" s="6">
        <v>9.727747179E9</v>
      </c>
    </row>
    <row r="4895" ht="15.75" customHeight="1">
      <c r="A4895" s="6" t="s">
        <v>3751</v>
      </c>
      <c r="B4895" s="6" t="s">
        <v>65</v>
      </c>
      <c r="C4895" s="6" t="s">
        <v>4351</v>
      </c>
      <c r="D4895" s="6" t="s">
        <v>9</v>
      </c>
      <c r="E4895" s="6" t="s">
        <v>4352</v>
      </c>
      <c r="F4895" s="6">
        <v>9.569812277E9</v>
      </c>
    </row>
    <row r="4896" ht="15.75" customHeight="1">
      <c r="A4896" s="6" t="s">
        <v>545</v>
      </c>
      <c r="B4896" s="6" t="s">
        <v>55</v>
      </c>
      <c r="C4896" s="6" t="s">
        <v>4353</v>
      </c>
      <c r="D4896" s="6" t="s">
        <v>9</v>
      </c>
      <c r="E4896" s="6" t="s">
        <v>4354</v>
      </c>
      <c r="F4896" s="6">
        <v>6.391185535E9</v>
      </c>
    </row>
    <row r="4897" ht="15.75" customHeight="1">
      <c r="A4897" s="6" t="s">
        <v>4355</v>
      </c>
      <c r="B4897" s="6" t="s">
        <v>4356</v>
      </c>
      <c r="C4897" s="6" t="s">
        <v>4357</v>
      </c>
      <c r="D4897" s="6" t="s">
        <v>29</v>
      </c>
      <c r="E4897" s="6" t="s">
        <v>4358</v>
      </c>
      <c r="F4897" s="6">
        <v>7.489023452E9</v>
      </c>
    </row>
    <row r="4898" ht="15.75" customHeight="1">
      <c r="A4898" s="6" t="s">
        <v>4359</v>
      </c>
      <c r="B4898" s="6" t="s">
        <v>1090</v>
      </c>
      <c r="C4898" s="6" t="s">
        <v>4360</v>
      </c>
      <c r="D4898" s="6" t="s">
        <v>9</v>
      </c>
      <c r="E4898" s="6" t="s">
        <v>494</v>
      </c>
      <c r="F4898" s="6">
        <v>9.205310191E9</v>
      </c>
    </row>
    <row r="4899" ht="15.75" customHeight="1">
      <c r="A4899" s="6" t="s">
        <v>3596</v>
      </c>
      <c r="B4899" s="6" t="s">
        <v>3658</v>
      </c>
      <c r="C4899" s="6" t="s">
        <v>4361</v>
      </c>
      <c r="D4899" s="6" t="s">
        <v>56</v>
      </c>
      <c r="E4899" s="6" t="s">
        <v>434</v>
      </c>
      <c r="F4899" s="6">
        <v>9.820725484E9</v>
      </c>
    </row>
    <row r="4900" ht="15.75" customHeight="1">
      <c r="A4900" s="6" t="s">
        <v>3361</v>
      </c>
      <c r="B4900" s="6" t="s">
        <v>63</v>
      </c>
      <c r="C4900" s="6" t="s">
        <v>4083</v>
      </c>
      <c r="D4900" s="6" t="s">
        <v>26</v>
      </c>
      <c r="E4900" s="6" t="s">
        <v>3870</v>
      </c>
      <c r="F4900" s="6">
        <v>8.400412983E9</v>
      </c>
    </row>
    <row r="4901" ht="15.75" customHeight="1">
      <c r="A4901" s="6" t="s">
        <v>4362</v>
      </c>
      <c r="B4901" s="6" t="s">
        <v>125</v>
      </c>
      <c r="C4901" s="6" t="s">
        <v>4363</v>
      </c>
      <c r="D4901" s="6" t="s">
        <v>9</v>
      </c>
      <c r="E4901" s="6" t="s">
        <v>4364</v>
      </c>
      <c r="F4901" s="6">
        <v>6.204022762E9</v>
      </c>
    </row>
    <row r="4902" ht="15.75" customHeight="1">
      <c r="A4902" s="6" t="s">
        <v>339</v>
      </c>
      <c r="B4902" s="6" t="s">
        <v>47</v>
      </c>
      <c r="C4902" s="6" t="s">
        <v>4365</v>
      </c>
      <c r="D4902" s="6" t="s">
        <v>14</v>
      </c>
      <c r="E4902" s="6" t="s">
        <v>4366</v>
      </c>
      <c r="F4902" s="6">
        <v>8.506874894E9</v>
      </c>
    </row>
    <row r="4903" ht="15.75" customHeight="1">
      <c r="A4903" s="6" t="s">
        <v>174</v>
      </c>
      <c r="B4903" s="6" t="s">
        <v>4008</v>
      </c>
      <c r="C4903" s="6" t="s">
        <v>3322</v>
      </c>
      <c r="D4903" s="6" t="s">
        <v>56</v>
      </c>
      <c r="E4903" s="6" t="s">
        <v>434</v>
      </c>
      <c r="F4903" s="6">
        <v>7.021247178E9</v>
      </c>
    </row>
    <row r="4904" ht="15.75" customHeight="1">
      <c r="A4904" s="6" t="s">
        <v>3355</v>
      </c>
      <c r="B4904" s="6" t="s">
        <v>4367</v>
      </c>
      <c r="C4904" s="6" t="s">
        <v>4083</v>
      </c>
      <c r="D4904" s="6" t="s">
        <v>56</v>
      </c>
      <c r="E4904" s="6" t="s">
        <v>3870</v>
      </c>
      <c r="F4904" s="6">
        <v>8.707263503E9</v>
      </c>
    </row>
    <row r="4905" ht="15.75" customHeight="1">
      <c r="A4905" s="6" t="s">
        <v>1389</v>
      </c>
      <c r="B4905" s="6" t="s">
        <v>4342</v>
      </c>
      <c r="C4905" s="6" t="s">
        <v>4368</v>
      </c>
      <c r="D4905" s="6" t="s">
        <v>9</v>
      </c>
      <c r="E4905" s="6" t="s">
        <v>4369</v>
      </c>
      <c r="F4905" s="6">
        <v>9.903035602E9</v>
      </c>
    </row>
    <row r="4906" ht="15.75" customHeight="1">
      <c r="A4906" s="6" t="s">
        <v>4370</v>
      </c>
      <c r="B4906" s="6" t="s">
        <v>715</v>
      </c>
      <c r="C4906" s="6" t="s">
        <v>4371</v>
      </c>
      <c r="D4906" s="6" t="s">
        <v>9</v>
      </c>
      <c r="E4906" s="6" t="s">
        <v>4369</v>
      </c>
      <c r="F4906" s="6">
        <v>7.908981033E9</v>
      </c>
    </row>
    <row r="4907" ht="15.75" customHeight="1">
      <c r="A4907" s="6" t="s">
        <v>4372</v>
      </c>
      <c r="B4907" s="6" t="s">
        <v>47</v>
      </c>
      <c r="C4907" s="6" t="s">
        <v>4373</v>
      </c>
      <c r="D4907" s="6" t="s">
        <v>44</v>
      </c>
      <c r="E4907" s="6" t="s">
        <v>3870</v>
      </c>
      <c r="F4907" s="6">
        <v>6.392565438E9</v>
      </c>
    </row>
    <row r="4908" ht="15.75" customHeight="1">
      <c r="A4908" s="6" t="s">
        <v>4374</v>
      </c>
      <c r="B4908" s="6" t="s">
        <v>4375</v>
      </c>
      <c r="C4908" s="6" t="s">
        <v>4376</v>
      </c>
      <c r="D4908" s="6" t="s">
        <v>26</v>
      </c>
      <c r="E4908" s="6" t="s">
        <v>2115</v>
      </c>
      <c r="F4908" s="6">
        <v>7.439284858E9</v>
      </c>
    </row>
    <row r="4909" ht="15.75" customHeight="1">
      <c r="A4909" s="6" t="s">
        <v>4377</v>
      </c>
      <c r="B4909" s="6" t="s">
        <v>65</v>
      </c>
      <c r="C4909" s="6" t="s">
        <v>4378</v>
      </c>
      <c r="D4909" s="6" t="s">
        <v>9</v>
      </c>
      <c r="E4909" s="6" t="s">
        <v>2579</v>
      </c>
      <c r="F4909" s="6">
        <v>9.017049526E9</v>
      </c>
    </row>
    <row r="4910" ht="15.75" customHeight="1">
      <c r="A4910" s="6" t="s">
        <v>1824</v>
      </c>
      <c r="B4910" s="6" t="s">
        <v>4379</v>
      </c>
      <c r="C4910" s="6" t="s">
        <v>4380</v>
      </c>
      <c r="D4910" s="6" t="s">
        <v>9</v>
      </c>
      <c r="E4910" s="6" t="s">
        <v>4381</v>
      </c>
      <c r="F4910" s="6">
        <v>8.934096862E9</v>
      </c>
    </row>
    <row r="4911" ht="15.75" customHeight="1">
      <c r="A4911" s="6" t="s">
        <v>4382</v>
      </c>
      <c r="B4911" s="6" t="s">
        <v>4383</v>
      </c>
      <c r="C4911" s="6" t="s">
        <v>4384</v>
      </c>
      <c r="D4911" s="6" t="s">
        <v>44</v>
      </c>
      <c r="E4911" s="6" t="s">
        <v>4385</v>
      </c>
      <c r="F4911" s="6">
        <v>9.353762669E9</v>
      </c>
    </row>
    <row r="4912" ht="15.75" customHeight="1">
      <c r="A4912" s="6" t="s">
        <v>961</v>
      </c>
      <c r="B4912" s="6" t="s">
        <v>1712</v>
      </c>
      <c r="C4912" s="6" t="s">
        <v>4371</v>
      </c>
      <c r="D4912" s="6" t="s">
        <v>29</v>
      </c>
      <c r="E4912" s="6" t="s">
        <v>2115</v>
      </c>
      <c r="F4912" s="6">
        <v>8.777724098E9</v>
      </c>
    </row>
    <row r="4913" ht="15.75" customHeight="1">
      <c r="A4913" s="6" t="s">
        <v>3526</v>
      </c>
      <c r="B4913" s="6" t="s">
        <v>112</v>
      </c>
      <c r="C4913" s="6" t="s">
        <v>4386</v>
      </c>
      <c r="D4913" s="6" t="s">
        <v>26</v>
      </c>
      <c r="E4913" s="6" t="s">
        <v>4387</v>
      </c>
      <c r="F4913" s="6">
        <v>7.003822042E9</v>
      </c>
    </row>
    <row r="4914" ht="15.75" customHeight="1">
      <c r="A4914" s="6" t="s">
        <v>4388</v>
      </c>
      <c r="B4914" s="6" t="s">
        <v>63</v>
      </c>
      <c r="C4914" s="6" t="s">
        <v>4389</v>
      </c>
      <c r="D4914" s="6" t="s">
        <v>44</v>
      </c>
      <c r="E4914" s="6" t="s">
        <v>3870</v>
      </c>
      <c r="F4914" s="6">
        <v>9.455209004E9</v>
      </c>
    </row>
    <row r="4915" ht="15.75" customHeight="1">
      <c r="A4915" s="6" t="s">
        <v>4390</v>
      </c>
      <c r="B4915" s="6" t="s">
        <v>4391</v>
      </c>
      <c r="C4915" s="6" t="s">
        <v>4371</v>
      </c>
      <c r="D4915" s="6" t="s">
        <v>26</v>
      </c>
      <c r="E4915" s="6" t="s">
        <v>4392</v>
      </c>
      <c r="F4915" s="6">
        <v>9.051078383E9</v>
      </c>
    </row>
    <row r="4916" ht="15.75" customHeight="1">
      <c r="A4916" s="6" t="s">
        <v>3449</v>
      </c>
      <c r="B4916" s="6" t="s">
        <v>4393</v>
      </c>
      <c r="C4916" s="6" t="s">
        <v>4394</v>
      </c>
      <c r="D4916" s="6" t="s">
        <v>9</v>
      </c>
      <c r="E4916" s="6" t="s">
        <v>3399</v>
      </c>
      <c r="F4916" s="6">
        <v>9.810256234E9</v>
      </c>
    </row>
    <row r="4917" ht="15.75" customHeight="1">
      <c r="A4917" s="6" t="s">
        <v>4395</v>
      </c>
      <c r="B4917" s="6" t="s">
        <v>4396</v>
      </c>
      <c r="C4917" s="6" t="s">
        <v>4083</v>
      </c>
      <c r="D4917" s="6" t="s">
        <v>56</v>
      </c>
      <c r="E4917" s="6" t="s">
        <v>3870</v>
      </c>
      <c r="F4917" s="6">
        <v>9.555525397E9</v>
      </c>
    </row>
    <row r="4918" ht="15.75" customHeight="1">
      <c r="A4918" s="6" t="s">
        <v>189</v>
      </c>
      <c r="B4918" s="6" t="s">
        <v>63</v>
      </c>
      <c r="C4918" s="6" t="s">
        <v>4397</v>
      </c>
      <c r="D4918" s="6" t="s">
        <v>9</v>
      </c>
      <c r="E4918" s="6" t="s">
        <v>3870</v>
      </c>
      <c r="F4918" s="6">
        <v>7.641841636E9</v>
      </c>
    </row>
    <row r="4919" ht="15.75" customHeight="1">
      <c r="A4919" s="6" t="s">
        <v>4398</v>
      </c>
      <c r="B4919" s="6" t="s">
        <v>108</v>
      </c>
      <c r="C4919" s="6" t="s">
        <v>4399</v>
      </c>
      <c r="D4919" s="6" t="s">
        <v>44</v>
      </c>
      <c r="E4919" s="6" t="s">
        <v>3870</v>
      </c>
      <c r="F4919" s="6">
        <v>7.607194463E9</v>
      </c>
    </row>
    <row r="4920" ht="15.75" customHeight="1">
      <c r="A4920" s="6" t="s">
        <v>1562</v>
      </c>
      <c r="B4920" s="6" t="s">
        <v>1867</v>
      </c>
      <c r="C4920" s="6" t="s">
        <v>4329</v>
      </c>
      <c r="D4920" s="6" t="s">
        <v>9</v>
      </c>
      <c r="E4920" s="6" t="s">
        <v>4400</v>
      </c>
      <c r="F4920" s="6">
        <v>9.870528378E9</v>
      </c>
    </row>
    <row r="4921" ht="15.75" customHeight="1">
      <c r="A4921" s="6" t="s">
        <v>318</v>
      </c>
      <c r="B4921" s="6" t="s">
        <v>4401</v>
      </c>
      <c r="C4921" s="6" t="s">
        <v>4402</v>
      </c>
      <c r="D4921" s="6" t="s">
        <v>56</v>
      </c>
      <c r="E4921" s="6" t="s">
        <v>4403</v>
      </c>
      <c r="F4921" s="6">
        <v>7.980367148E9</v>
      </c>
    </row>
    <row r="4922" ht="15.75" customHeight="1">
      <c r="A4922" s="6" t="s">
        <v>4404</v>
      </c>
      <c r="B4922" s="6" t="s">
        <v>4405</v>
      </c>
      <c r="C4922" s="6" t="s">
        <v>4406</v>
      </c>
      <c r="D4922" s="6" t="s">
        <v>44</v>
      </c>
      <c r="E4922" s="6" t="s">
        <v>4276</v>
      </c>
      <c r="F4922" s="6">
        <v>9.19618888463E11</v>
      </c>
    </row>
    <row r="4923" ht="15.75" customHeight="1">
      <c r="A4923" s="6" t="s">
        <v>4407</v>
      </c>
      <c r="B4923" s="6" t="s">
        <v>4408</v>
      </c>
      <c r="C4923" s="6" t="s">
        <v>4409</v>
      </c>
      <c r="D4923" s="6" t="s">
        <v>9</v>
      </c>
      <c r="E4923" s="6" t="s">
        <v>4410</v>
      </c>
      <c r="F4923" s="6">
        <v>9.433110781E9</v>
      </c>
    </row>
    <row r="4924" ht="15.75" customHeight="1">
      <c r="A4924" s="6" t="s">
        <v>4411</v>
      </c>
      <c r="B4924" s="6" t="s">
        <v>4411</v>
      </c>
      <c r="C4924" s="6" t="s">
        <v>4411</v>
      </c>
      <c r="D4924" s="6" t="s">
        <v>102</v>
      </c>
      <c r="E4924" s="6" t="s">
        <v>4412</v>
      </c>
      <c r="F4924" s="6">
        <v>9.404040455E9</v>
      </c>
    </row>
    <row r="4925" ht="15.75" customHeight="1">
      <c r="A4925" s="6" t="s">
        <v>4413</v>
      </c>
      <c r="B4925" s="6" t="s">
        <v>4414</v>
      </c>
      <c r="C4925" s="6" t="s">
        <v>4415</v>
      </c>
      <c r="D4925" s="6" t="s">
        <v>9</v>
      </c>
      <c r="E4925" s="6" t="s">
        <v>4416</v>
      </c>
      <c r="F4925" s="6">
        <v>9.719928772E9</v>
      </c>
    </row>
    <row r="4926" ht="15.75" customHeight="1">
      <c r="A4926" s="6" t="s">
        <v>1700</v>
      </c>
      <c r="B4926" s="6" t="s">
        <v>4417</v>
      </c>
      <c r="C4926" s="6" t="s">
        <v>4418</v>
      </c>
      <c r="D4926" s="6" t="s">
        <v>9</v>
      </c>
      <c r="E4926" s="6" t="s">
        <v>1102</v>
      </c>
      <c r="F4926" s="6">
        <v>8.700305545E9</v>
      </c>
    </row>
    <row r="4927" ht="15.75" customHeight="1">
      <c r="A4927" s="6" t="s">
        <v>4419</v>
      </c>
      <c r="B4927" s="6" t="s">
        <v>1663</v>
      </c>
      <c r="C4927" s="6" t="s">
        <v>4420</v>
      </c>
      <c r="D4927" s="6" t="s">
        <v>9</v>
      </c>
      <c r="E4927" s="6" t="s">
        <v>4416</v>
      </c>
      <c r="F4927" s="6">
        <v>7.454952309E9</v>
      </c>
    </row>
    <row r="4928" ht="15.75" customHeight="1">
      <c r="A4928" s="6" t="s">
        <v>4421</v>
      </c>
      <c r="B4928" s="6" t="s">
        <v>4422</v>
      </c>
      <c r="C4928" s="6" t="s">
        <v>4423</v>
      </c>
      <c r="D4928" s="6" t="s">
        <v>26</v>
      </c>
      <c r="E4928" s="6" t="s">
        <v>137</v>
      </c>
      <c r="F4928" s="6">
        <v>9.903180082E9</v>
      </c>
    </row>
    <row r="4929" ht="15.75" customHeight="1">
      <c r="A4929" s="6" t="s">
        <v>3988</v>
      </c>
      <c r="B4929" s="6" t="s">
        <v>4424</v>
      </c>
      <c r="C4929" s="6" t="s">
        <v>4425</v>
      </c>
      <c r="D4929" s="6" t="s">
        <v>14</v>
      </c>
      <c r="E4929" s="6" t="s">
        <v>4426</v>
      </c>
      <c r="F4929" s="6">
        <v>7.511105506E9</v>
      </c>
    </row>
    <row r="4930" ht="15.75" customHeight="1">
      <c r="A4930" s="6" t="s">
        <v>4427</v>
      </c>
      <c r="B4930" s="6" t="s">
        <v>125</v>
      </c>
      <c r="C4930" s="6" t="s">
        <v>4428</v>
      </c>
      <c r="D4930" s="6" t="s">
        <v>26</v>
      </c>
      <c r="E4930" s="6" t="s">
        <v>4429</v>
      </c>
      <c r="F4930" s="6">
        <v>6.200129442E9</v>
      </c>
    </row>
    <row r="4931" ht="15.75" customHeight="1">
      <c r="A4931" s="6" t="s">
        <v>4430</v>
      </c>
      <c r="B4931" s="6" t="s">
        <v>4431</v>
      </c>
      <c r="C4931" s="6" t="s">
        <v>4432</v>
      </c>
      <c r="D4931" s="6" t="s">
        <v>102</v>
      </c>
      <c r="E4931" s="6" t="s">
        <v>4433</v>
      </c>
      <c r="F4931" s="6">
        <v>8.767288684E9</v>
      </c>
    </row>
    <row r="4932" ht="15.75" customHeight="1">
      <c r="A4932" s="6" t="s">
        <v>4434</v>
      </c>
      <c r="B4932" s="6" t="s">
        <v>1646</v>
      </c>
      <c r="C4932" s="6" t="s">
        <v>4435</v>
      </c>
      <c r="D4932" s="6" t="s">
        <v>9</v>
      </c>
      <c r="E4932" s="6" t="s">
        <v>1095</v>
      </c>
      <c r="F4932" s="6">
        <v>9.870253156E9</v>
      </c>
    </row>
    <row r="4933" ht="15.75" customHeight="1">
      <c r="A4933" s="6" t="s">
        <v>1071</v>
      </c>
      <c r="B4933" s="6" t="s">
        <v>2167</v>
      </c>
      <c r="C4933" s="6" t="s">
        <v>4436</v>
      </c>
      <c r="D4933" s="6" t="s">
        <v>56</v>
      </c>
      <c r="E4933" s="6" t="s">
        <v>434</v>
      </c>
      <c r="F4933" s="6">
        <v>8.433968513E9</v>
      </c>
    </row>
    <row r="4934" ht="15.75" customHeight="1">
      <c r="A4934" s="6" t="s">
        <v>4437</v>
      </c>
      <c r="B4934" s="6" t="s">
        <v>4438</v>
      </c>
      <c r="C4934" s="6" t="s">
        <v>4439</v>
      </c>
      <c r="D4934" s="6" t="s">
        <v>56</v>
      </c>
      <c r="E4934" s="6" t="s">
        <v>4440</v>
      </c>
      <c r="F4934" s="6">
        <v>9.994241212E9</v>
      </c>
    </row>
    <row r="4935" ht="15.75" customHeight="1">
      <c r="A4935" s="6" t="s">
        <v>4441</v>
      </c>
      <c r="B4935" s="6" t="s">
        <v>4442</v>
      </c>
      <c r="C4935" s="6" t="s">
        <v>4443</v>
      </c>
      <c r="D4935" s="6" t="s">
        <v>56</v>
      </c>
      <c r="E4935" s="6" t="s">
        <v>4444</v>
      </c>
      <c r="F4935" s="6">
        <v>7.908417295E9</v>
      </c>
    </row>
    <row r="4936" ht="15.75" customHeight="1">
      <c r="A4936" s="6" t="s">
        <v>4445</v>
      </c>
      <c r="B4936" s="6" t="s">
        <v>4446</v>
      </c>
      <c r="C4936" s="6" t="s">
        <v>4338</v>
      </c>
      <c r="D4936" s="6" t="s">
        <v>9</v>
      </c>
      <c r="E4936" s="6" t="s">
        <v>2575</v>
      </c>
      <c r="F4936" s="6">
        <v>7.397344407E9</v>
      </c>
    </row>
    <row r="4937" ht="15.75" customHeight="1">
      <c r="A4937" s="6" t="s">
        <v>4447</v>
      </c>
      <c r="B4937" s="6" t="s">
        <v>2864</v>
      </c>
      <c r="C4937" s="6" t="s">
        <v>4338</v>
      </c>
      <c r="D4937" s="6" t="s">
        <v>9</v>
      </c>
      <c r="E4937" s="6" t="s">
        <v>2575</v>
      </c>
      <c r="F4937" s="6">
        <v>9.94161458E9</v>
      </c>
    </row>
    <row r="4938" ht="15.75" customHeight="1">
      <c r="A4938" s="6" t="s">
        <v>4448</v>
      </c>
      <c r="B4938" s="6" t="s">
        <v>50</v>
      </c>
      <c r="C4938" s="6" t="s">
        <v>4376</v>
      </c>
      <c r="D4938" s="6" t="s">
        <v>56</v>
      </c>
      <c r="E4938" s="6" t="s">
        <v>4381</v>
      </c>
      <c r="F4938" s="6">
        <v>9.399612602E9</v>
      </c>
    </row>
    <row r="4939" ht="15.75" customHeight="1">
      <c r="A4939" s="6" t="s">
        <v>213</v>
      </c>
      <c r="B4939" s="6" t="s">
        <v>4401</v>
      </c>
      <c r="C4939" s="6" t="s">
        <v>4449</v>
      </c>
      <c r="D4939" s="6" t="s">
        <v>56</v>
      </c>
      <c r="E4939" s="6" t="s">
        <v>4450</v>
      </c>
      <c r="F4939" s="6">
        <v>9.373522879E9</v>
      </c>
    </row>
    <row r="4940" ht="15.75" customHeight="1">
      <c r="A4940" s="6" t="s">
        <v>1463</v>
      </c>
      <c r="B4940" s="6" t="s">
        <v>4451</v>
      </c>
      <c r="C4940" s="6" t="s">
        <v>4338</v>
      </c>
      <c r="D4940" s="6" t="s">
        <v>56</v>
      </c>
      <c r="E4940" s="6" t="s">
        <v>2575</v>
      </c>
      <c r="F4940" s="6">
        <v>8.610060832E9</v>
      </c>
    </row>
    <row r="4941" ht="15.75" customHeight="1">
      <c r="A4941" s="6" t="s">
        <v>4452</v>
      </c>
      <c r="B4941" s="6" t="s">
        <v>4453</v>
      </c>
      <c r="C4941" s="6" t="s">
        <v>4454</v>
      </c>
      <c r="D4941" s="6" t="s">
        <v>44</v>
      </c>
      <c r="E4941" s="6" t="s">
        <v>4455</v>
      </c>
      <c r="F4941" s="6">
        <v>7.660918128E9</v>
      </c>
    </row>
    <row r="4942" ht="15.75" customHeight="1">
      <c r="A4942" s="6" t="s">
        <v>4456</v>
      </c>
      <c r="B4942" s="6" t="s">
        <v>4401</v>
      </c>
      <c r="C4942" s="6" t="s">
        <v>4371</v>
      </c>
      <c r="D4942" s="6" t="s">
        <v>26</v>
      </c>
      <c r="E4942" s="6" t="s">
        <v>2115</v>
      </c>
      <c r="F4942" s="6">
        <v>9.433803945E9</v>
      </c>
    </row>
    <row r="4943" ht="15.75" customHeight="1">
      <c r="A4943" s="6" t="s">
        <v>4457</v>
      </c>
      <c r="B4943" s="6" t="s">
        <v>4458</v>
      </c>
      <c r="C4943" s="6" t="s">
        <v>4376</v>
      </c>
      <c r="D4943" s="6" t="s">
        <v>26</v>
      </c>
      <c r="E4943" s="6" t="s">
        <v>2115</v>
      </c>
      <c r="F4943" s="6">
        <v>9.475846619E9</v>
      </c>
    </row>
    <row r="4944" ht="15.75" customHeight="1">
      <c r="A4944" s="6" t="s">
        <v>4459</v>
      </c>
      <c r="B4944" s="6" t="s">
        <v>119</v>
      </c>
      <c r="C4944" s="6" t="s">
        <v>4460</v>
      </c>
      <c r="D4944" s="6" t="s">
        <v>56</v>
      </c>
      <c r="E4944" s="6" t="s">
        <v>4461</v>
      </c>
      <c r="F4944" s="6">
        <v>6.290126915E9</v>
      </c>
    </row>
    <row r="4945" ht="15.75" customHeight="1">
      <c r="A4945" s="6" t="s">
        <v>4462</v>
      </c>
      <c r="B4945" s="6" t="s">
        <v>63</v>
      </c>
      <c r="C4945" s="6" t="s">
        <v>4376</v>
      </c>
      <c r="D4945" s="6" t="s">
        <v>26</v>
      </c>
      <c r="E4945" s="6" t="s">
        <v>2115</v>
      </c>
      <c r="F4945" s="6">
        <v>9.088982541E9</v>
      </c>
    </row>
    <row r="4946" ht="15.75" customHeight="1">
      <c r="A4946" s="6" t="s">
        <v>4463</v>
      </c>
      <c r="B4946" s="6" t="s">
        <v>4464</v>
      </c>
      <c r="C4946" s="6" t="s">
        <v>4371</v>
      </c>
      <c r="D4946" s="6" t="s">
        <v>9</v>
      </c>
      <c r="E4946" s="6" t="s">
        <v>2115</v>
      </c>
      <c r="F4946" s="6">
        <v>8.240933035E9</v>
      </c>
    </row>
    <row r="4947" ht="15.75" customHeight="1">
      <c r="A4947" s="6" t="s">
        <v>4465</v>
      </c>
      <c r="B4947" s="6" t="s">
        <v>4466</v>
      </c>
      <c r="C4947" s="6" t="s">
        <v>4467</v>
      </c>
      <c r="D4947" s="6" t="s">
        <v>56</v>
      </c>
      <c r="E4947" s="6" t="s">
        <v>4385</v>
      </c>
      <c r="F4947" s="6">
        <v>8.073136949E9</v>
      </c>
    </row>
    <row r="4948" ht="15.75" customHeight="1">
      <c r="A4948" s="6" t="s">
        <v>4451</v>
      </c>
      <c r="B4948" s="6" t="s">
        <v>4468</v>
      </c>
      <c r="C4948" s="6" t="s">
        <v>4469</v>
      </c>
      <c r="D4948" s="6" t="s">
        <v>26</v>
      </c>
      <c r="E4948" s="6" t="s">
        <v>2575</v>
      </c>
      <c r="F4948" s="6">
        <v>9.962823564E9</v>
      </c>
    </row>
    <row r="4949" ht="15.75" customHeight="1">
      <c r="A4949" s="6" t="s">
        <v>4470</v>
      </c>
      <c r="B4949" s="6" t="s">
        <v>4471</v>
      </c>
      <c r="C4949" s="6" t="s">
        <v>4386</v>
      </c>
      <c r="D4949" s="6" t="s">
        <v>9</v>
      </c>
      <c r="E4949" s="6" t="s">
        <v>4472</v>
      </c>
      <c r="F4949" s="6">
        <v>9.18017500389E11</v>
      </c>
    </row>
    <row r="4950" ht="15.75" customHeight="1">
      <c r="A4950" s="6" t="s">
        <v>400</v>
      </c>
      <c r="B4950" s="6" t="s">
        <v>4473</v>
      </c>
      <c r="C4950" s="6" t="s">
        <v>514</v>
      </c>
      <c r="D4950" s="6" t="s">
        <v>9</v>
      </c>
      <c r="E4950" s="6" t="s">
        <v>1102</v>
      </c>
      <c r="F4950" s="6">
        <v>9.953914319E9</v>
      </c>
    </row>
    <row r="4951" ht="15.75" customHeight="1">
      <c r="A4951" s="6" t="s">
        <v>3641</v>
      </c>
      <c r="B4951" s="6" t="s">
        <v>4474</v>
      </c>
      <c r="C4951" s="6" t="s">
        <v>4475</v>
      </c>
      <c r="D4951" s="6" t="s">
        <v>44</v>
      </c>
      <c r="E4951" s="6" t="s">
        <v>4476</v>
      </c>
      <c r="F4951" s="6">
        <v>8.0</v>
      </c>
    </row>
    <row r="4952" ht="15.75" customHeight="1">
      <c r="A4952" s="6" t="s">
        <v>3629</v>
      </c>
      <c r="B4952" s="6" t="s">
        <v>1646</v>
      </c>
      <c r="C4952" s="6" t="s">
        <v>4477</v>
      </c>
      <c r="D4952" s="6" t="s">
        <v>29</v>
      </c>
      <c r="E4952" s="6" t="s">
        <v>1102</v>
      </c>
      <c r="F4952" s="6">
        <v>8.851846744E9</v>
      </c>
    </row>
    <row r="4953" ht="15.75" customHeight="1">
      <c r="A4953" s="6" t="s">
        <v>4478</v>
      </c>
      <c r="B4953" s="6" t="s">
        <v>4479</v>
      </c>
      <c r="C4953" s="6" t="s">
        <v>4480</v>
      </c>
      <c r="D4953" s="6" t="s">
        <v>56</v>
      </c>
      <c r="E4953" s="6" t="s">
        <v>4481</v>
      </c>
      <c r="F4953" s="6">
        <v>9.690869455E9</v>
      </c>
    </row>
    <row r="4954" ht="15.75" customHeight="1">
      <c r="A4954" s="6" t="s">
        <v>1751</v>
      </c>
      <c r="B4954" s="6" t="s">
        <v>4482</v>
      </c>
      <c r="C4954" s="6" t="s">
        <v>4483</v>
      </c>
      <c r="D4954" s="6" t="s">
        <v>29</v>
      </c>
      <c r="E4954" s="6" t="s">
        <v>4484</v>
      </c>
      <c r="F4954" s="6">
        <v>9.868027835E9</v>
      </c>
    </row>
    <row r="4955" ht="15.75" customHeight="1">
      <c r="A4955" s="6" t="s">
        <v>4485</v>
      </c>
      <c r="B4955" s="6" t="s">
        <v>4486</v>
      </c>
      <c r="C4955" s="6" t="s">
        <v>493</v>
      </c>
      <c r="D4955" s="6" t="s">
        <v>26</v>
      </c>
      <c r="E4955" s="6" t="s">
        <v>1102</v>
      </c>
      <c r="F4955" s="6">
        <v>8.17859854E9</v>
      </c>
    </row>
    <row r="4956" ht="15.75" customHeight="1">
      <c r="A4956" s="6" t="s">
        <v>4487</v>
      </c>
      <c r="B4956" s="6" t="s">
        <v>4488</v>
      </c>
      <c r="C4956" s="6" t="s">
        <v>4489</v>
      </c>
      <c r="D4956" s="6" t="s">
        <v>56</v>
      </c>
      <c r="E4956" s="6" t="s">
        <v>4007</v>
      </c>
      <c r="F4956" s="6">
        <v>9.811930454E9</v>
      </c>
    </row>
    <row r="4957" ht="15.75" customHeight="1">
      <c r="A4957" s="6" t="s">
        <v>4490</v>
      </c>
      <c r="B4957" s="6" t="s">
        <v>3763</v>
      </c>
      <c r="C4957" s="6" t="s">
        <v>4491</v>
      </c>
      <c r="D4957" s="6" t="s">
        <v>56</v>
      </c>
      <c r="E4957" s="6" t="s">
        <v>1008</v>
      </c>
      <c r="F4957" s="6">
        <v>7.573838771E9</v>
      </c>
    </row>
    <row r="4958" ht="15.75" customHeight="1">
      <c r="A4958" s="6" t="s">
        <v>3049</v>
      </c>
      <c r="B4958" s="6" t="s">
        <v>4492</v>
      </c>
      <c r="C4958" s="6" t="s">
        <v>4493</v>
      </c>
      <c r="D4958" s="6" t="s">
        <v>44</v>
      </c>
      <c r="E4958" s="6" t="s">
        <v>434</v>
      </c>
      <c r="F4958" s="6">
        <v>9.082866415E9</v>
      </c>
    </row>
    <row r="4959" ht="15.75" customHeight="1">
      <c r="A4959" s="6" t="s">
        <v>1862</v>
      </c>
      <c r="B4959" s="6" t="s">
        <v>225</v>
      </c>
      <c r="C4959" s="6" t="s">
        <v>4494</v>
      </c>
      <c r="D4959" s="6" t="s">
        <v>9</v>
      </c>
      <c r="E4959" s="6" t="s">
        <v>2579</v>
      </c>
      <c r="F4959" s="6">
        <v>7.827247038E9</v>
      </c>
    </row>
    <row r="4960" ht="15.75" customHeight="1">
      <c r="A4960" s="6" t="s">
        <v>4495</v>
      </c>
      <c r="B4960" s="6" t="s">
        <v>4496</v>
      </c>
      <c r="C4960" s="6" t="s">
        <v>4497</v>
      </c>
      <c r="D4960" s="6" t="s">
        <v>9</v>
      </c>
      <c r="E4960" s="6" t="s">
        <v>4498</v>
      </c>
      <c r="F4960" s="6">
        <v>8.68804597E9</v>
      </c>
    </row>
    <row r="4961" ht="15.75" customHeight="1">
      <c r="A4961" s="6" t="s">
        <v>2883</v>
      </c>
      <c r="B4961" s="6" t="s">
        <v>4499</v>
      </c>
      <c r="C4961" s="6" t="s">
        <v>4500</v>
      </c>
      <c r="D4961" s="6" t="s">
        <v>9</v>
      </c>
      <c r="E4961" s="6" t="s">
        <v>4501</v>
      </c>
      <c r="F4961" s="6">
        <v>8.660134454E9</v>
      </c>
    </row>
    <row r="4962" ht="15.75" customHeight="1">
      <c r="A4962" s="6" t="s">
        <v>4502</v>
      </c>
      <c r="B4962" s="6" t="s">
        <v>112</v>
      </c>
      <c r="C4962" s="6" t="s">
        <v>4503</v>
      </c>
      <c r="D4962" s="6" t="s">
        <v>9</v>
      </c>
      <c r="E4962" s="6" t="s">
        <v>4504</v>
      </c>
      <c r="F4962" s="6">
        <v>8.745951248E9</v>
      </c>
    </row>
    <row r="4963" ht="15.75" customHeight="1">
      <c r="A4963" s="6" t="s">
        <v>4505</v>
      </c>
      <c r="B4963" s="6" t="s">
        <v>3527</v>
      </c>
      <c r="C4963" s="6" t="s">
        <v>4506</v>
      </c>
      <c r="D4963" s="6" t="s">
        <v>9</v>
      </c>
      <c r="E4963" s="6" t="s">
        <v>1102</v>
      </c>
      <c r="F4963" s="6">
        <v>9.718687465E9</v>
      </c>
    </row>
    <row r="4964" ht="15.75" customHeight="1">
      <c r="A4964" s="6" t="s">
        <v>4507</v>
      </c>
      <c r="B4964" s="6" t="s">
        <v>4508</v>
      </c>
      <c r="C4964" s="6" t="s">
        <v>4509</v>
      </c>
      <c r="D4964" s="6" t="s">
        <v>44</v>
      </c>
      <c r="E4964" s="6" t="s">
        <v>4510</v>
      </c>
      <c r="F4964" s="6">
        <v>9.885660067E9</v>
      </c>
    </row>
    <row r="4965" ht="15.75" customHeight="1">
      <c r="A4965" s="6" t="s">
        <v>4511</v>
      </c>
      <c r="B4965" s="6" t="s">
        <v>1090</v>
      </c>
      <c r="C4965" s="6" t="s">
        <v>3790</v>
      </c>
      <c r="D4965" s="6" t="s">
        <v>56</v>
      </c>
      <c r="E4965" s="6" t="s">
        <v>3105</v>
      </c>
      <c r="F4965" s="6">
        <v>9.986019637E9</v>
      </c>
    </row>
    <row r="4966" ht="15.75" customHeight="1">
      <c r="A4966" s="6" t="s">
        <v>4512</v>
      </c>
      <c r="B4966" s="6" t="s">
        <v>4513</v>
      </c>
      <c r="C4966" s="6" t="s">
        <v>493</v>
      </c>
      <c r="D4966" s="6" t="s">
        <v>26</v>
      </c>
      <c r="E4966" s="6" t="s">
        <v>1102</v>
      </c>
      <c r="F4966" s="6">
        <v>9.971027188E9</v>
      </c>
    </row>
    <row r="4967" ht="15.75" customHeight="1">
      <c r="A4967" s="6" t="s">
        <v>4514</v>
      </c>
      <c r="B4967" s="6" t="s">
        <v>4515</v>
      </c>
      <c r="C4967" s="6" t="s">
        <v>4516</v>
      </c>
      <c r="D4967" s="6" t="s">
        <v>29</v>
      </c>
      <c r="E4967" s="6" t="s">
        <v>4517</v>
      </c>
      <c r="F4967" s="6">
        <v>7.21494022E8</v>
      </c>
    </row>
    <row r="4968" ht="15.75" customHeight="1">
      <c r="A4968" s="6" t="s">
        <v>4518</v>
      </c>
      <c r="B4968" s="6" t="s">
        <v>4519</v>
      </c>
      <c r="C4968" s="6" t="s">
        <v>4520</v>
      </c>
      <c r="D4968" s="6" t="s">
        <v>9</v>
      </c>
      <c r="E4968" s="6" t="s">
        <v>4521</v>
      </c>
      <c r="F4968" s="6">
        <v>7.082603924E9</v>
      </c>
    </row>
    <row r="4969" ht="15.75" customHeight="1">
      <c r="A4969" s="6" t="s">
        <v>3857</v>
      </c>
      <c r="B4969" s="6" t="s">
        <v>4522</v>
      </c>
      <c r="C4969" s="6" t="s">
        <v>4523</v>
      </c>
      <c r="D4969" s="6" t="s">
        <v>26</v>
      </c>
      <c r="E4969" s="6" t="s">
        <v>1102</v>
      </c>
      <c r="F4969" s="6">
        <v>9.971079052E9</v>
      </c>
    </row>
    <row r="4970" ht="15.75" customHeight="1">
      <c r="A4970" s="6" t="s">
        <v>4524</v>
      </c>
      <c r="B4970" s="6" t="s">
        <v>4525</v>
      </c>
      <c r="C4970" s="6" t="s">
        <v>4526</v>
      </c>
      <c r="D4970" s="6" t="s">
        <v>44</v>
      </c>
      <c r="E4970" s="6" t="s">
        <v>1345</v>
      </c>
      <c r="F4970" s="6">
        <v>8.867062764E9</v>
      </c>
    </row>
    <row r="4971" ht="15.75" customHeight="1">
      <c r="A4971" s="6" t="s">
        <v>4527</v>
      </c>
      <c r="B4971" s="6" t="s">
        <v>4528</v>
      </c>
      <c r="C4971" s="6" t="s">
        <v>4529</v>
      </c>
      <c r="D4971" s="6" t="s">
        <v>56</v>
      </c>
      <c r="E4971" s="6" t="s">
        <v>4101</v>
      </c>
      <c r="F4971" s="6" t="str">
        <f>+972 56629814</f>
        <v>#ERROR!</v>
      </c>
    </row>
    <row r="4972" ht="15.75" customHeight="1">
      <c r="A4972" s="6" t="s">
        <v>4530</v>
      </c>
      <c r="B4972" s="6" t="s">
        <v>4531</v>
      </c>
      <c r="C4972" s="6" t="s">
        <v>4532</v>
      </c>
      <c r="D4972" s="6" t="s">
        <v>9</v>
      </c>
      <c r="E4972" s="6" t="s">
        <v>421</v>
      </c>
      <c r="F4972" s="6">
        <v>8.903789999E9</v>
      </c>
    </row>
    <row r="4973" ht="15.75" customHeight="1">
      <c r="A4973" s="6" t="s">
        <v>4533</v>
      </c>
      <c r="B4973" s="6" t="s">
        <v>4534</v>
      </c>
      <c r="C4973" s="6" t="s">
        <v>4535</v>
      </c>
      <c r="D4973" s="6" t="s">
        <v>56</v>
      </c>
      <c r="E4973" s="6" t="s">
        <v>4536</v>
      </c>
      <c r="F4973" s="6">
        <v>9.72545819225E11</v>
      </c>
    </row>
    <row r="4974" ht="15.75" customHeight="1">
      <c r="A4974" s="6" t="s">
        <v>4537</v>
      </c>
      <c r="B4974" s="6" t="s">
        <v>4538</v>
      </c>
      <c r="C4974" s="6" t="s">
        <v>4539</v>
      </c>
      <c r="D4974" s="6" t="s">
        <v>44</v>
      </c>
      <c r="E4974" s="6" t="s">
        <v>4540</v>
      </c>
      <c r="F4974" s="6">
        <v>9.431124359E9</v>
      </c>
    </row>
    <row r="4975" ht="15.75" customHeight="1">
      <c r="A4975" s="6" t="s">
        <v>4541</v>
      </c>
      <c r="B4975" s="6" t="s">
        <v>4542</v>
      </c>
      <c r="C4975" s="6" t="s">
        <v>493</v>
      </c>
      <c r="D4975" s="6" t="s">
        <v>26</v>
      </c>
      <c r="E4975" s="6" t="s">
        <v>1102</v>
      </c>
      <c r="F4975" s="6">
        <v>9.355445013E9</v>
      </c>
    </row>
    <row r="4976" ht="15.75" customHeight="1">
      <c r="A4976" s="6" t="s">
        <v>4543</v>
      </c>
      <c r="B4976" s="6" t="s">
        <v>50</v>
      </c>
      <c r="C4976" s="6" t="s">
        <v>493</v>
      </c>
      <c r="D4976" s="6" t="s">
        <v>26</v>
      </c>
      <c r="E4976" s="6" t="s">
        <v>1102</v>
      </c>
      <c r="F4976" s="6">
        <v>9.350348041E9</v>
      </c>
    </row>
    <row r="4977" ht="15.75" customHeight="1">
      <c r="A4977" s="6" t="s">
        <v>4544</v>
      </c>
      <c r="B4977" s="6" t="s">
        <v>4545</v>
      </c>
      <c r="C4977" s="6" t="s">
        <v>4368</v>
      </c>
      <c r="D4977" s="6" t="s">
        <v>9</v>
      </c>
      <c r="E4977" s="6" t="s">
        <v>4546</v>
      </c>
      <c r="F4977" s="6">
        <v>8.707528932E9</v>
      </c>
    </row>
    <row r="4978" ht="15.75" customHeight="1">
      <c r="A4978" s="6" t="s">
        <v>2633</v>
      </c>
      <c r="B4978" s="6" t="s">
        <v>63</v>
      </c>
      <c r="C4978" s="6" t="s">
        <v>4547</v>
      </c>
      <c r="D4978" s="6" t="s">
        <v>29</v>
      </c>
      <c r="E4978" s="6" t="s">
        <v>4015</v>
      </c>
      <c r="F4978" s="6">
        <v>9.18595680612E11</v>
      </c>
    </row>
    <row r="4979" ht="15.75" customHeight="1">
      <c r="A4979" s="6" t="s">
        <v>4548</v>
      </c>
      <c r="B4979" s="6" t="s">
        <v>75</v>
      </c>
      <c r="C4979" s="6" t="s">
        <v>4549</v>
      </c>
      <c r="D4979" s="6" t="s">
        <v>44</v>
      </c>
      <c r="E4979" s="6" t="s">
        <v>4276</v>
      </c>
      <c r="F4979" s="6">
        <v>7.659929077E9</v>
      </c>
    </row>
    <row r="4980" ht="15.75" customHeight="1">
      <c r="A4980" s="6" t="s">
        <v>186</v>
      </c>
      <c r="B4980" s="6" t="s">
        <v>1378</v>
      </c>
      <c r="C4980" s="6" t="s">
        <v>4550</v>
      </c>
      <c r="D4980" s="6" t="s">
        <v>29</v>
      </c>
      <c r="E4980" s="6" t="s">
        <v>19</v>
      </c>
      <c r="F4980" s="6">
        <v>8.102223801E9</v>
      </c>
    </row>
    <row r="4981" ht="15.75" customHeight="1">
      <c r="A4981" s="6" t="s">
        <v>74</v>
      </c>
      <c r="B4981" s="6" t="s">
        <v>1732</v>
      </c>
      <c r="C4981" s="6" t="s">
        <v>4551</v>
      </c>
      <c r="D4981" s="6" t="s">
        <v>9</v>
      </c>
      <c r="E4981" s="6" t="s">
        <v>4318</v>
      </c>
      <c r="F4981" s="6">
        <v>9.709222073E9</v>
      </c>
    </row>
    <row r="4982" ht="15.75" customHeight="1">
      <c r="A4982" s="6" t="s">
        <v>4552</v>
      </c>
      <c r="B4982" s="6" t="s">
        <v>4553</v>
      </c>
      <c r="C4982" s="6" t="s">
        <v>4554</v>
      </c>
      <c r="D4982" s="6" t="s">
        <v>29</v>
      </c>
      <c r="E4982" s="6" t="s">
        <v>282</v>
      </c>
      <c r="F4982" s="6">
        <v>9.510965126E9</v>
      </c>
    </row>
    <row r="4983" ht="15.75" customHeight="1">
      <c r="A4983" s="6" t="s">
        <v>3062</v>
      </c>
      <c r="B4983" s="6" t="s">
        <v>3207</v>
      </c>
      <c r="C4983" s="6" t="s">
        <v>4555</v>
      </c>
      <c r="D4983" s="6" t="s">
        <v>9</v>
      </c>
      <c r="E4983" s="6" t="s">
        <v>4358</v>
      </c>
      <c r="F4983" s="6">
        <v>7.987349835E9</v>
      </c>
    </row>
    <row r="4984" ht="15.75" customHeight="1">
      <c r="A4984" s="6" t="s">
        <v>4556</v>
      </c>
      <c r="B4984" s="6" t="s">
        <v>4557</v>
      </c>
      <c r="C4984" s="6" t="s">
        <v>4558</v>
      </c>
      <c r="D4984" s="6" t="s">
        <v>9</v>
      </c>
      <c r="E4984" s="6" t="s">
        <v>494</v>
      </c>
      <c r="F4984" s="6">
        <v>9.831330112E9</v>
      </c>
    </row>
    <row r="4985" ht="15.75" customHeight="1">
      <c r="A4985" s="6" t="s">
        <v>4559</v>
      </c>
      <c r="B4985" s="6" t="s">
        <v>4560</v>
      </c>
      <c r="C4985" s="6" t="s">
        <v>4561</v>
      </c>
      <c r="D4985" s="6" t="s">
        <v>44</v>
      </c>
      <c r="E4985" s="6" t="s">
        <v>4276</v>
      </c>
      <c r="F4985" s="6">
        <v>7.036019496E9</v>
      </c>
    </row>
    <row r="4986" ht="15.75" customHeight="1">
      <c r="A4986" s="6" t="s">
        <v>4562</v>
      </c>
      <c r="B4986" s="6" t="s">
        <v>4563</v>
      </c>
      <c r="C4986" s="6" t="s">
        <v>4564</v>
      </c>
      <c r="D4986" s="6" t="s">
        <v>9</v>
      </c>
      <c r="E4986" s="6" t="s">
        <v>15</v>
      </c>
      <c r="F4986" s="6">
        <v>7.219407948E9</v>
      </c>
    </row>
    <row r="4987" ht="15.75" customHeight="1">
      <c r="A4987" s="6" t="s">
        <v>468</v>
      </c>
      <c r="B4987" s="6" t="s">
        <v>1343</v>
      </c>
      <c r="C4987" s="6" t="s">
        <v>4565</v>
      </c>
      <c r="D4987" s="6" t="s">
        <v>9</v>
      </c>
      <c r="E4987" s="6" t="s">
        <v>15</v>
      </c>
      <c r="F4987" s="6">
        <v>9.511926546E9</v>
      </c>
    </row>
    <row r="4988" ht="15.75" customHeight="1">
      <c r="A4988" s="6" t="s">
        <v>1193</v>
      </c>
      <c r="B4988" s="6" t="s">
        <v>4566</v>
      </c>
      <c r="C4988" s="6" t="s">
        <v>4565</v>
      </c>
      <c r="D4988" s="6" t="s">
        <v>56</v>
      </c>
      <c r="E4988" s="6" t="s">
        <v>15</v>
      </c>
      <c r="F4988" s="6">
        <v>7.249391027E9</v>
      </c>
    </row>
    <row r="4989" ht="15.75" customHeight="1">
      <c r="A4989" s="6" t="s">
        <v>4567</v>
      </c>
      <c r="B4989" s="6" t="s">
        <v>65</v>
      </c>
      <c r="C4989" s="6" t="s">
        <v>4568</v>
      </c>
      <c r="D4989" s="6" t="s">
        <v>26</v>
      </c>
      <c r="E4989" s="6" t="s">
        <v>494</v>
      </c>
      <c r="F4989" s="6">
        <v>7.042588277E9</v>
      </c>
    </row>
    <row r="4990" ht="15.75" customHeight="1">
      <c r="A4990" s="6" t="s">
        <v>134</v>
      </c>
      <c r="B4990" s="6" t="s">
        <v>4569</v>
      </c>
      <c r="C4990" s="6" t="s">
        <v>4570</v>
      </c>
      <c r="D4990" s="6" t="s">
        <v>26</v>
      </c>
      <c r="E4990" s="6" t="s">
        <v>4571</v>
      </c>
      <c r="F4990" s="6">
        <v>9.571573444E9</v>
      </c>
    </row>
    <row r="4991" ht="15.75" customHeight="1">
      <c r="A4991" s="6" t="s">
        <v>4572</v>
      </c>
      <c r="B4991" s="6" t="s">
        <v>4573</v>
      </c>
      <c r="C4991" s="6" t="s">
        <v>4574</v>
      </c>
      <c r="D4991" s="6" t="s">
        <v>9</v>
      </c>
      <c r="E4991" s="6" t="s">
        <v>4575</v>
      </c>
      <c r="F4991" s="6">
        <v>9.337444306E9</v>
      </c>
    </row>
    <row r="4992" ht="15.75" customHeight="1">
      <c r="A4992" s="6" t="s">
        <v>4359</v>
      </c>
      <c r="B4992" s="6" t="s">
        <v>4576</v>
      </c>
      <c r="C4992" s="6" t="s">
        <v>4577</v>
      </c>
      <c r="D4992" s="6" t="s">
        <v>9</v>
      </c>
      <c r="E4992" s="6" t="s">
        <v>4546</v>
      </c>
      <c r="F4992" s="6">
        <v>8.604596323E9</v>
      </c>
    </row>
    <row r="4993" ht="15.75" customHeight="1">
      <c r="A4993" s="6" t="s">
        <v>3653</v>
      </c>
      <c r="B4993" s="6" t="s">
        <v>108</v>
      </c>
      <c r="C4993" s="6" t="s">
        <v>4578</v>
      </c>
      <c r="D4993" s="6" t="s">
        <v>29</v>
      </c>
      <c r="E4993" s="6" t="s">
        <v>4579</v>
      </c>
      <c r="F4993" s="6">
        <v>8.306709022E9</v>
      </c>
    </row>
    <row r="4994" ht="15.75" customHeight="1">
      <c r="A4994" s="6" t="s">
        <v>4580</v>
      </c>
      <c r="B4994" s="6" t="s">
        <v>4581</v>
      </c>
      <c r="C4994" s="6" t="s">
        <v>4582</v>
      </c>
      <c r="D4994" s="6" t="s">
        <v>56</v>
      </c>
      <c r="E4994" s="6" t="s">
        <v>4583</v>
      </c>
      <c r="F4994" s="6">
        <v>7.064470478E9</v>
      </c>
    </row>
    <row r="4995" ht="15.75" customHeight="1">
      <c r="A4995" s="6" t="s">
        <v>4584</v>
      </c>
      <c r="B4995" s="6" t="s">
        <v>508</v>
      </c>
      <c r="C4995" s="6" t="s">
        <v>4585</v>
      </c>
      <c r="D4995" s="6" t="s">
        <v>9</v>
      </c>
      <c r="E4995" s="6" t="s">
        <v>3870</v>
      </c>
      <c r="F4995" s="6">
        <v>6.387060691E9</v>
      </c>
    </row>
    <row r="4996" ht="15.75" customHeight="1">
      <c r="A4996" s="6" t="s">
        <v>272</v>
      </c>
      <c r="B4996" s="6" t="s">
        <v>1663</v>
      </c>
      <c r="C4996" s="6" t="s">
        <v>4586</v>
      </c>
      <c r="D4996" s="6" t="s">
        <v>9</v>
      </c>
      <c r="E4996" s="6" t="s">
        <v>4587</v>
      </c>
      <c r="F4996" s="6">
        <v>9.109920024E9</v>
      </c>
    </row>
    <row r="4997" ht="15.75" customHeight="1">
      <c r="A4997" s="6" t="s">
        <v>4505</v>
      </c>
      <c r="B4997" s="6" t="s">
        <v>3527</v>
      </c>
      <c r="C4997" s="6" t="s">
        <v>4588</v>
      </c>
      <c r="D4997" s="6" t="s">
        <v>9</v>
      </c>
      <c r="E4997" s="6" t="s">
        <v>1102</v>
      </c>
      <c r="F4997" s="6">
        <v>9.718687465E9</v>
      </c>
    </row>
    <row r="4998" ht="15.75" customHeight="1">
      <c r="A4998" s="6" t="s">
        <v>4589</v>
      </c>
      <c r="B4998" s="6" t="s">
        <v>4590</v>
      </c>
      <c r="C4998" s="6" t="s">
        <v>493</v>
      </c>
      <c r="D4998" s="6" t="s">
        <v>56</v>
      </c>
      <c r="E4998" s="6" t="s">
        <v>494</v>
      </c>
      <c r="F4998" s="6">
        <v>9.711604647E9</v>
      </c>
    </row>
    <row r="4999" ht="15.75" customHeight="1">
      <c r="A4999" s="6" t="s">
        <v>3575</v>
      </c>
      <c r="B4999" s="6" t="s">
        <v>4591</v>
      </c>
      <c r="C4999" s="6" t="s">
        <v>493</v>
      </c>
      <c r="D4999" s="6" t="s">
        <v>56</v>
      </c>
      <c r="E4999" s="6" t="s">
        <v>1102</v>
      </c>
      <c r="F4999" s="6">
        <v>8.810423593E9</v>
      </c>
    </row>
    <row r="5000" ht="15.75" customHeight="1">
      <c r="A5000" s="6" t="s">
        <v>4592</v>
      </c>
      <c r="B5000" s="6" t="s">
        <v>108</v>
      </c>
      <c r="C5000" s="6" t="s">
        <v>514</v>
      </c>
      <c r="D5000" s="6" t="s">
        <v>56</v>
      </c>
      <c r="E5000" s="6" t="s">
        <v>1102</v>
      </c>
      <c r="F5000" s="6">
        <v>9.871575357E9</v>
      </c>
    </row>
    <row r="5001" ht="15.75" customHeight="1">
      <c r="A5001" s="6" t="s">
        <v>4593</v>
      </c>
      <c r="B5001" s="6" t="s">
        <v>3078</v>
      </c>
      <c r="C5001" s="6" t="s">
        <v>4594</v>
      </c>
      <c r="D5001" s="6" t="s">
        <v>56</v>
      </c>
      <c r="E5001" s="6" t="s">
        <v>4595</v>
      </c>
      <c r="F5001" s="6">
        <v>8.073362951E9</v>
      </c>
    </row>
    <row r="5002" ht="15.75" customHeight="1">
      <c r="A5002" s="6" t="s">
        <v>4596</v>
      </c>
      <c r="B5002" s="6" t="s">
        <v>4597</v>
      </c>
      <c r="C5002" s="6" t="s">
        <v>4598</v>
      </c>
      <c r="D5002" s="6" t="s">
        <v>29</v>
      </c>
      <c r="E5002" s="6" t="s">
        <v>4599</v>
      </c>
      <c r="F5002" s="6">
        <v>9.57389224E9</v>
      </c>
    </row>
    <row r="5003" ht="15.75" customHeight="1">
      <c r="A5003" s="6" t="s">
        <v>1092</v>
      </c>
      <c r="B5003" s="6" t="s">
        <v>4600</v>
      </c>
      <c r="C5003" s="6" t="s">
        <v>4420</v>
      </c>
      <c r="D5003" s="6" t="s">
        <v>9</v>
      </c>
      <c r="E5003" s="6" t="s">
        <v>4416</v>
      </c>
      <c r="F5003" s="6">
        <v>6.398782437E9</v>
      </c>
    </row>
    <row r="5004" ht="15.75" customHeight="1">
      <c r="A5004" s="6" t="s">
        <v>4601</v>
      </c>
      <c r="B5004" s="6" t="s">
        <v>225</v>
      </c>
      <c r="C5004" s="6" t="s">
        <v>4477</v>
      </c>
      <c r="D5004" s="6" t="s">
        <v>29</v>
      </c>
      <c r="E5004" s="6" t="s">
        <v>494</v>
      </c>
      <c r="F5004" s="6">
        <v>7.982621722E9</v>
      </c>
    </row>
    <row r="5005" ht="15.75" customHeight="1">
      <c r="A5005" s="6" t="s">
        <v>4602</v>
      </c>
      <c r="B5005" s="6" t="s">
        <v>4603</v>
      </c>
      <c r="C5005" s="6" t="s">
        <v>1344</v>
      </c>
      <c r="D5005" s="6" t="s">
        <v>26</v>
      </c>
      <c r="E5005" s="6" t="s">
        <v>4604</v>
      </c>
      <c r="F5005" s="6">
        <v>8.105691099E9</v>
      </c>
    </row>
    <row r="5006" ht="15.75" customHeight="1">
      <c r="A5006" s="6" t="s">
        <v>4605</v>
      </c>
      <c r="B5006" s="6" t="s">
        <v>4606</v>
      </c>
      <c r="C5006" s="6" t="s">
        <v>4607</v>
      </c>
      <c r="D5006" s="6" t="s">
        <v>44</v>
      </c>
      <c r="E5006" s="6" t="s">
        <v>1102</v>
      </c>
      <c r="F5006" s="6">
        <v>9.773727024E9</v>
      </c>
    </row>
    <row r="5007" ht="15.75" customHeight="1">
      <c r="A5007" s="6" t="s">
        <v>4608</v>
      </c>
      <c r="B5007" s="6" t="s">
        <v>108</v>
      </c>
      <c r="C5007" s="6" t="s">
        <v>4609</v>
      </c>
      <c r="D5007" s="6" t="s">
        <v>44</v>
      </c>
      <c r="E5007" s="6" t="s">
        <v>434</v>
      </c>
      <c r="F5007" s="6">
        <v>9.820057232E9</v>
      </c>
    </row>
    <row r="5008" ht="15.75" customHeight="1">
      <c r="A5008" s="6" t="s">
        <v>4610</v>
      </c>
      <c r="B5008" s="6" t="s">
        <v>4611</v>
      </c>
      <c r="C5008" s="6" t="s">
        <v>4612</v>
      </c>
      <c r="D5008" s="6" t="s">
        <v>44</v>
      </c>
      <c r="E5008" s="6" t="s">
        <v>193</v>
      </c>
      <c r="F5008" s="6">
        <v>9.004299365E9</v>
      </c>
    </row>
    <row r="5009" ht="15.75" customHeight="1">
      <c r="A5009" s="6" t="s">
        <v>1260</v>
      </c>
      <c r="B5009" s="6" t="s">
        <v>4613</v>
      </c>
      <c r="C5009" s="6" t="s">
        <v>493</v>
      </c>
      <c r="D5009" s="6" t="s">
        <v>9</v>
      </c>
      <c r="E5009" s="6" t="s">
        <v>1102</v>
      </c>
      <c r="F5009" s="6">
        <v>8.447872909E9</v>
      </c>
    </row>
    <row r="5010" ht="15.75" customHeight="1">
      <c r="A5010" s="6" t="s">
        <v>4614</v>
      </c>
      <c r="B5010" s="6" t="s">
        <v>4615</v>
      </c>
      <c r="C5010" s="6" t="s">
        <v>4526</v>
      </c>
      <c r="D5010" s="6" t="s">
        <v>26</v>
      </c>
      <c r="E5010" s="6" t="s">
        <v>3105</v>
      </c>
      <c r="F5010" s="6">
        <v>9.90153756E9</v>
      </c>
    </row>
    <row r="5011" ht="15.75" customHeight="1">
      <c r="A5011" s="6" t="s">
        <v>4616</v>
      </c>
      <c r="B5011" s="6" t="s">
        <v>4617</v>
      </c>
      <c r="C5011" s="6" t="s">
        <v>4526</v>
      </c>
      <c r="D5011" s="6" t="s">
        <v>9</v>
      </c>
      <c r="E5011" s="6" t="s">
        <v>4604</v>
      </c>
      <c r="F5011" s="6">
        <v>9.90153756E9</v>
      </c>
    </row>
    <row r="5012" ht="15.75" customHeight="1">
      <c r="A5012" s="6" t="s">
        <v>4618</v>
      </c>
      <c r="B5012" s="6" t="s">
        <v>4619</v>
      </c>
      <c r="C5012" s="6" t="s">
        <v>3100</v>
      </c>
      <c r="D5012" s="6" t="s">
        <v>56</v>
      </c>
      <c r="E5012" s="6" t="s">
        <v>4620</v>
      </c>
      <c r="F5012" s="6">
        <v>7.697971644E9</v>
      </c>
    </row>
    <row r="5013" ht="15.75" customHeight="1">
      <c r="A5013" s="6" t="s">
        <v>1289</v>
      </c>
      <c r="B5013" s="6" t="s">
        <v>499</v>
      </c>
      <c r="C5013" s="6" t="s">
        <v>4621</v>
      </c>
      <c r="D5013" s="6" t="s">
        <v>29</v>
      </c>
      <c r="E5013" s="6" t="s">
        <v>4212</v>
      </c>
      <c r="F5013" s="6">
        <v>1.23456789E8</v>
      </c>
    </row>
    <row r="5014" ht="15.75" customHeight="1">
      <c r="A5014" s="6" t="s">
        <v>4622</v>
      </c>
      <c r="B5014" s="6" t="s">
        <v>4623</v>
      </c>
      <c r="C5014" s="6" t="s">
        <v>4624</v>
      </c>
      <c r="D5014" s="6" t="s">
        <v>56</v>
      </c>
      <c r="E5014" s="6" t="s">
        <v>4385</v>
      </c>
      <c r="F5014" s="6">
        <v>7.019260166E9</v>
      </c>
    </row>
    <row r="5015" ht="15.75" customHeight="1">
      <c r="A5015" s="6" t="s">
        <v>33</v>
      </c>
      <c r="B5015" s="6" t="s">
        <v>33</v>
      </c>
      <c r="C5015" s="6" t="s">
        <v>4449</v>
      </c>
      <c r="D5015" s="6" t="s">
        <v>9</v>
      </c>
      <c r="E5015" s="6" t="s">
        <v>4625</v>
      </c>
      <c r="F5015" s="6">
        <v>9.306959138E9</v>
      </c>
    </row>
    <row r="5016" ht="15.75" customHeight="1">
      <c r="A5016" s="6" t="s">
        <v>182</v>
      </c>
      <c r="B5016" s="6" t="s">
        <v>4626</v>
      </c>
      <c r="C5016" s="6" t="s">
        <v>4627</v>
      </c>
      <c r="D5016" s="6" t="s">
        <v>14</v>
      </c>
      <c r="E5016" s="6" t="s">
        <v>15</v>
      </c>
      <c r="F5016" s="6" t="s">
        <v>4628</v>
      </c>
    </row>
    <row r="5017" ht="15.75" customHeight="1">
      <c r="A5017" s="6" t="s">
        <v>4629</v>
      </c>
      <c r="B5017" s="6" t="s">
        <v>4630</v>
      </c>
      <c r="C5017" s="6" t="s">
        <v>4631</v>
      </c>
      <c r="D5017" s="6" t="s">
        <v>44</v>
      </c>
      <c r="E5017" s="6" t="s">
        <v>4632</v>
      </c>
      <c r="F5017" s="6">
        <v>5.86325659E8</v>
      </c>
    </row>
    <row r="5018" ht="15.75" customHeight="1">
      <c r="A5018" s="6" t="s">
        <v>4633</v>
      </c>
      <c r="B5018" s="6" t="s">
        <v>4634</v>
      </c>
      <c r="C5018" s="6" t="s">
        <v>4635</v>
      </c>
      <c r="D5018" s="6" t="s">
        <v>44</v>
      </c>
      <c r="E5018" s="6" t="s">
        <v>4636</v>
      </c>
      <c r="F5018" s="6">
        <v>9.937560234E9</v>
      </c>
    </row>
    <row r="5019" ht="15.75" customHeight="1">
      <c r="A5019" s="6" t="s">
        <v>4637</v>
      </c>
      <c r="B5019" s="6" t="s">
        <v>4638</v>
      </c>
      <c r="C5019" s="6" t="s">
        <v>4639</v>
      </c>
      <c r="D5019" s="6" t="s">
        <v>14</v>
      </c>
      <c r="E5019" s="6" t="s">
        <v>193</v>
      </c>
      <c r="F5019" s="6">
        <v>8.080236401E9</v>
      </c>
    </row>
    <row r="5020" ht="15.75" customHeight="1">
      <c r="A5020" s="6" t="s">
        <v>4640</v>
      </c>
      <c r="B5020" s="6" t="s">
        <v>4641</v>
      </c>
      <c r="C5020" s="6" t="s">
        <v>4642</v>
      </c>
      <c r="D5020" s="6" t="s">
        <v>26</v>
      </c>
      <c r="E5020" s="6" t="s">
        <v>4643</v>
      </c>
      <c r="F5020" s="6">
        <v>9.444082174E9</v>
      </c>
    </row>
    <row r="5021" ht="15.75" customHeight="1">
      <c r="A5021" s="6" t="s">
        <v>4644</v>
      </c>
      <c r="B5021" s="6" t="s">
        <v>50</v>
      </c>
      <c r="C5021" s="6" t="s">
        <v>4645</v>
      </c>
      <c r="D5021" s="6" t="s">
        <v>56</v>
      </c>
      <c r="E5021" s="6" t="s">
        <v>4015</v>
      </c>
      <c r="F5021" s="6">
        <v>9.810320722E9</v>
      </c>
    </row>
    <row r="5022" ht="15.75" customHeight="1">
      <c r="A5022" s="6" t="s">
        <v>4646</v>
      </c>
      <c r="B5022" s="6" t="s">
        <v>4647</v>
      </c>
      <c r="C5022" s="6" t="s">
        <v>4648</v>
      </c>
      <c r="D5022" s="6" t="s">
        <v>26</v>
      </c>
      <c r="E5022" s="6" t="s">
        <v>4649</v>
      </c>
      <c r="F5022" s="6">
        <v>5.26879909E8</v>
      </c>
    </row>
    <row r="5023" ht="15.75" customHeight="1">
      <c r="A5023" s="6" t="s">
        <v>4593</v>
      </c>
      <c r="B5023" s="6" t="s">
        <v>4650</v>
      </c>
      <c r="C5023" s="6" t="s">
        <v>4651</v>
      </c>
      <c r="D5023" s="6" t="s">
        <v>56</v>
      </c>
      <c r="E5023" s="6" t="s">
        <v>4652</v>
      </c>
      <c r="F5023" s="6">
        <v>7.300705051E9</v>
      </c>
    </row>
    <row r="5024" ht="15.75" customHeight="1">
      <c r="A5024" s="6" t="s">
        <v>4653</v>
      </c>
      <c r="B5024" s="6" t="s">
        <v>4654</v>
      </c>
      <c r="C5024" s="6" t="s">
        <v>4655</v>
      </c>
      <c r="D5024" s="6" t="s">
        <v>9</v>
      </c>
      <c r="E5024" s="6" t="s">
        <v>4656</v>
      </c>
      <c r="F5024" s="6">
        <v>9.564375364E9</v>
      </c>
    </row>
    <row r="5025" ht="15.75" customHeight="1">
      <c r="A5025" s="6" t="s">
        <v>4657</v>
      </c>
      <c r="B5025" s="6" t="s">
        <v>65</v>
      </c>
      <c r="C5025" s="6" t="s">
        <v>4658</v>
      </c>
      <c r="D5025" s="6" t="s">
        <v>56</v>
      </c>
      <c r="E5025" s="6" t="s">
        <v>4652</v>
      </c>
      <c r="F5025" s="6">
        <v>9.458933945E9</v>
      </c>
    </row>
    <row r="5026" ht="15.75" customHeight="1">
      <c r="A5026" s="6" t="s">
        <v>1695</v>
      </c>
      <c r="B5026" s="6" t="s">
        <v>1290</v>
      </c>
      <c r="C5026" s="6" t="s">
        <v>4659</v>
      </c>
      <c r="D5026" s="6" t="s">
        <v>56</v>
      </c>
      <c r="E5026" s="6" t="s">
        <v>15</v>
      </c>
      <c r="F5026" s="6">
        <v>9.654509958E9</v>
      </c>
    </row>
    <row r="5027" ht="15.75" customHeight="1">
      <c r="A5027" s="6" t="s">
        <v>4660</v>
      </c>
      <c r="B5027" s="6" t="s">
        <v>1290</v>
      </c>
      <c r="C5027" s="6" t="s">
        <v>4659</v>
      </c>
      <c r="D5027" s="6" t="s">
        <v>14</v>
      </c>
      <c r="E5027" s="6" t="s">
        <v>15</v>
      </c>
      <c r="F5027" s="6">
        <v>9.654509958E9</v>
      </c>
    </row>
    <row r="5028" ht="15.75" customHeight="1">
      <c r="A5028" s="6" t="s">
        <v>49</v>
      </c>
      <c r="B5028" s="6" t="s">
        <v>4661</v>
      </c>
      <c r="C5028" s="6" t="s">
        <v>4662</v>
      </c>
      <c r="D5028" s="6" t="s">
        <v>26</v>
      </c>
      <c r="E5028" s="6" t="s">
        <v>4587</v>
      </c>
      <c r="F5028" s="6">
        <v>9.009457261E9</v>
      </c>
    </row>
    <row r="5029" ht="15.75" customHeight="1">
      <c r="A5029" s="6" t="s">
        <v>991</v>
      </c>
      <c r="B5029" s="6" t="s">
        <v>3527</v>
      </c>
      <c r="C5029" s="6" t="s">
        <v>4663</v>
      </c>
      <c r="D5029" s="6" t="s">
        <v>1108</v>
      </c>
      <c r="E5029" s="6" t="s">
        <v>494</v>
      </c>
      <c r="F5029" s="6">
        <v>9.19873215171E11</v>
      </c>
    </row>
    <row r="5030" ht="15.75" customHeight="1">
      <c r="A5030" s="6" t="s">
        <v>4664</v>
      </c>
      <c r="B5030" s="6" t="s">
        <v>538</v>
      </c>
      <c r="C5030" s="6" t="s">
        <v>4665</v>
      </c>
      <c r="D5030" s="6" t="s">
        <v>26</v>
      </c>
      <c r="E5030" s="6" t="s">
        <v>1102</v>
      </c>
      <c r="F5030" s="6">
        <v>8.130714007E9</v>
      </c>
    </row>
    <row r="5031" ht="15.75" customHeight="1">
      <c r="A5031" s="6" t="s">
        <v>4666</v>
      </c>
      <c r="B5031" s="6" t="s">
        <v>4667</v>
      </c>
      <c r="C5031" s="6" t="s">
        <v>4668</v>
      </c>
      <c r="D5031" s="6" t="s">
        <v>9</v>
      </c>
      <c r="E5031" s="6" t="s">
        <v>4656</v>
      </c>
      <c r="F5031" s="6">
        <v>7.908824764E9</v>
      </c>
    </row>
    <row r="5032" ht="15.75" customHeight="1">
      <c r="A5032" s="6" t="s">
        <v>4669</v>
      </c>
      <c r="B5032" s="6" t="s">
        <v>4670</v>
      </c>
      <c r="C5032" s="6" t="s">
        <v>4635</v>
      </c>
      <c r="D5032" s="6" t="s">
        <v>14</v>
      </c>
      <c r="E5032" s="6" t="s">
        <v>4636</v>
      </c>
      <c r="F5032" s="6">
        <v>7.735885274E9</v>
      </c>
    </row>
    <row r="5033" ht="15.75" customHeight="1">
      <c r="A5033" s="6" t="s">
        <v>4671</v>
      </c>
      <c r="B5033" s="6" t="s">
        <v>2342</v>
      </c>
      <c r="C5033" s="6" t="s">
        <v>4586</v>
      </c>
      <c r="D5033" s="6" t="s">
        <v>9</v>
      </c>
      <c r="E5033" s="6" t="s">
        <v>4587</v>
      </c>
      <c r="F5033" s="6">
        <v>9.302247166E9</v>
      </c>
    </row>
    <row r="5034" ht="15.75" customHeight="1">
      <c r="A5034" s="6" t="s">
        <v>182</v>
      </c>
      <c r="B5034" s="6" t="s">
        <v>4672</v>
      </c>
      <c r="C5034" s="6" t="s">
        <v>4673</v>
      </c>
      <c r="D5034" s="6" t="s">
        <v>56</v>
      </c>
      <c r="E5034" s="6" t="s">
        <v>4587</v>
      </c>
      <c r="F5034" s="6">
        <v>9.754710278E9</v>
      </c>
    </row>
    <row r="5035" ht="15.75" customHeight="1">
      <c r="A5035" s="6" t="s">
        <v>4674</v>
      </c>
      <c r="B5035" s="6" t="s">
        <v>4675</v>
      </c>
      <c r="C5035" s="6" t="s">
        <v>4006</v>
      </c>
      <c r="D5035" s="6" t="s">
        <v>56</v>
      </c>
      <c r="E5035" s="6" t="s">
        <v>4318</v>
      </c>
      <c r="F5035" s="6">
        <v>9.304309904E9</v>
      </c>
    </row>
    <row r="5036" ht="15.75" customHeight="1">
      <c r="A5036" s="6" t="s">
        <v>4676</v>
      </c>
      <c r="B5036" s="6" t="s">
        <v>1090</v>
      </c>
      <c r="C5036" s="6" t="s">
        <v>4677</v>
      </c>
      <c r="D5036" s="6" t="s">
        <v>9</v>
      </c>
      <c r="E5036" s="6" t="s">
        <v>494</v>
      </c>
      <c r="F5036" s="6">
        <v>9.971522092E9</v>
      </c>
    </row>
    <row r="5037" ht="15.75" customHeight="1">
      <c r="A5037" s="6" t="s">
        <v>4678</v>
      </c>
      <c r="B5037" s="6" t="s">
        <v>4679</v>
      </c>
      <c r="C5037" s="6" t="s">
        <v>4561</v>
      </c>
      <c r="D5037" s="6" t="s">
        <v>44</v>
      </c>
      <c r="E5037" s="6" t="s">
        <v>4276</v>
      </c>
      <c r="F5037" s="6">
        <v>9.866700715E9</v>
      </c>
    </row>
    <row r="5038" ht="15.75" customHeight="1">
      <c r="A5038" s="6" t="s">
        <v>3888</v>
      </c>
      <c r="B5038" s="6" t="s">
        <v>4680</v>
      </c>
      <c r="C5038" s="6" t="s">
        <v>4681</v>
      </c>
      <c r="D5038" s="6" t="s">
        <v>1108</v>
      </c>
      <c r="E5038" s="6" t="s">
        <v>4620</v>
      </c>
      <c r="F5038" s="6">
        <v>7.999445351E9</v>
      </c>
    </row>
    <row r="5039" ht="15.75" customHeight="1">
      <c r="A5039" s="6" t="s">
        <v>4682</v>
      </c>
      <c r="B5039" s="6" t="s">
        <v>4683</v>
      </c>
      <c r="C5039" s="6" t="s">
        <v>4684</v>
      </c>
      <c r="D5039" s="6" t="s">
        <v>9</v>
      </c>
      <c r="E5039" s="6" t="s">
        <v>4685</v>
      </c>
      <c r="F5039" s="6">
        <v>5.37242842E8</v>
      </c>
    </row>
    <row r="5040" ht="15.75" customHeight="1">
      <c r="A5040" s="6" t="s">
        <v>4686</v>
      </c>
      <c r="B5040" s="6" t="s">
        <v>4687</v>
      </c>
      <c r="C5040" s="6" t="s">
        <v>4688</v>
      </c>
      <c r="D5040" s="6" t="s">
        <v>14</v>
      </c>
      <c r="E5040" s="6" t="s">
        <v>15</v>
      </c>
      <c r="F5040" s="6">
        <v>9.881107465E9</v>
      </c>
    </row>
    <row r="5041" ht="15.75" customHeight="1">
      <c r="A5041" s="6" t="s">
        <v>4689</v>
      </c>
      <c r="B5041" s="6" t="s">
        <v>4690</v>
      </c>
      <c r="C5041" s="6" t="s">
        <v>4635</v>
      </c>
      <c r="D5041" s="6" t="s">
        <v>14</v>
      </c>
      <c r="E5041" s="6" t="s">
        <v>4636</v>
      </c>
      <c r="F5041" s="6">
        <v>7.008914812E9</v>
      </c>
    </row>
    <row r="5042" ht="15.75" customHeight="1">
      <c r="A5042" s="6" t="s">
        <v>377</v>
      </c>
      <c r="B5042" s="6" t="s">
        <v>150</v>
      </c>
      <c r="C5042" s="6" t="s">
        <v>4691</v>
      </c>
      <c r="D5042" s="6" t="s">
        <v>9</v>
      </c>
      <c r="E5042" s="6" t="s">
        <v>4546</v>
      </c>
      <c r="F5042" s="6">
        <v>8.299515934E9</v>
      </c>
    </row>
    <row r="5043" ht="15.75" customHeight="1">
      <c r="A5043" s="6" t="s">
        <v>4692</v>
      </c>
      <c r="B5043" s="6" t="s">
        <v>4693</v>
      </c>
      <c r="C5043" s="6" t="s">
        <v>4694</v>
      </c>
      <c r="D5043" s="6" t="s">
        <v>26</v>
      </c>
      <c r="E5043" s="6" t="s">
        <v>4695</v>
      </c>
      <c r="F5043" s="6">
        <v>7.82729663E9</v>
      </c>
    </row>
    <row r="5044" ht="15.75" customHeight="1">
      <c r="A5044" s="6" t="s">
        <v>923</v>
      </c>
      <c r="B5044" s="6" t="s">
        <v>4696</v>
      </c>
      <c r="C5044" s="6" t="s">
        <v>4697</v>
      </c>
      <c r="D5044" s="6" t="s">
        <v>26</v>
      </c>
      <c r="E5044" s="6" t="s">
        <v>494</v>
      </c>
      <c r="F5044" s="6">
        <v>9.896178704E9</v>
      </c>
    </row>
    <row r="5045" ht="15.75" customHeight="1">
      <c r="A5045" s="6" t="s">
        <v>4698</v>
      </c>
      <c r="B5045" s="6" t="s">
        <v>4699</v>
      </c>
      <c r="C5045" s="6" t="s">
        <v>4700</v>
      </c>
      <c r="D5045" s="6" t="s">
        <v>44</v>
      </c>
      <c r="E5045" s="6" t="s">
        <v>4015</v>
      </c>
      <c r="F5045" s="6">
        <v>9.873077235E9</v>
      </c>
    </row>
    <row r="5046" ht="15.75" customHeight="1">
      <c r="A5046" s="6" t="s">
        <v>4701</v>
      </c>
      <c r="B5046" s="6" t="s">
        <v>4702</v>
      </c>
      <c r="C5046" s="6" t="s">
        <v>4703</v>
      </c>
      <c r="D5046" s="6" t="s">
        <v>26</v>
      </c>
      <c r="E5046" s="6" t="s">
        <v>4704</v>
      </c>
      <c r="F5046" s="6">
        <v>9.811888432E9</v>
      </c>
    </row>
    <row r="5047" ht="15.75" customHeight="1">
      <c r="A5047" s="6" t="s">
        <v>4705</v>
      </c>
      <c r="B5047" s="6" t="s">
        <v>4706</v>
      </c>
      <c r="C5047" s="6" t="s">
        <v>4360</v>
      </c>
      <c r="D5047" s="6" t="s">
        <v>9</v>
      </c>
      <c r="E5047" s="6" t="s">
        <v>494</v>
      </c>
      <c r="F5047" s="6">
        <v>9.87136404E9</v>
      </c>
    </row>
    <row r="5048" ht="15.75" customHeight="1">
      <c r="A5048" s="6" t="s">
        <v>4707</v>
      </c>
      <c r="B5048" s="6" t="s">
        <v>4708</v>
      </c>
      <c r="C5048" s="6" t="s">
        <v>4477</v>
      </c>
      <c r="D5048" s="6" t="s">
        <v>26</v>
      </c>
      <c r="E5048" s="6" t="s">
        <v>1102</v>
      </c>
      <c r="F5048" s="6">
        <v>9.213432099E9</v>
      </c>
    </row>
    <row r="5049" ht="15.75" customHeight="1">
      <c r="A5049" s="6" t="s">
        <v>856</v>
      </c>
      <c r="B5049" s="6" t="s">
        <v>78</v>
      </c>
      <c r="C5049" s="6" t="s">
        <v>4709</v>
      </c>
      <c r="D5049" s="6" t="s">
        <v>14</v>
      </c>
      <c r="E5049" s="6" t="s">
        <v>4710</v>
      </c>
      <c r="F5049" s="6">
        <v>8.758407979E9</v>
      </c>
    </row>
    <row r="5050" ht="15.75" customHeight="1">
      <c r="A5050" s="6" t="s">
        <v>189</v>
      </c>
      <c r="B5050" s="6" t="s">
        <v>4711</v>
      </c>
      <c r="C5050" s="6" t="s">
        <v>4712</v>
      </c>
      <c r="D5050" s="6" t="s">
        <v>9</v>
      </c>
      <c r="E5050" s="6" t="s">
        <v>1102</v>
      </c>
      <c r="F5050" s="6">
        <v>9.911270616E9</v>
      </c>
    </row>
    <row r="5051" ht="15.75" customHeight="1">
      <c r="A5051" s="6" t="s">
        <v>4713</v>
      </c>
      <c r="B5051" s="6" t="s">
        <v>108</v>
      </c>
      <c r="C5051" s="6" t="s">
        <v>4714</v>
      </c>
      <c r="D5051" s="6" t="s">
        <v>1108</v>
      </c>
      <c r="E5051" s="6" t="s">
        <v>15</v>
      </c>
      <c r="F5051" s="6">
        <v>9.860470202E9</v>
      </c>
    </row>
    <row r="5052" ht="15.75" customHeight="1">
      <c r="A5052" s="6" t="s">
        <v>2780</v>
      </c>
      <c r="B5052" s="6" t="s">
        <v>382</v>
      </c>
      <c r="C5052" s="6" t="s">
        <v>4715</v>
      </c>
      <c r="D5052" s="6" t="s">
        <v>29</v>
      </c>
      <c r="E5052" s="6" t="s">
        <v>494</v>
      </c>
      <c r="F5052" s="6">
        <v>9.899354272E9</v>
      </c>
    </row>
    <row r="5053" ht="15.75" customHeight="1">
      <c r="A5053" s="6" t="s">
        <v>4716</v>
      </c>
      <c r="B5053" s="6" t="s">
        <v>4717</v>
      </c>
      <c r="C5053" s="6" t="s">
        <v>4483</v>
      </c>
      <c r="D5053" s="6" t="s">
        <v>26</v>
      </c>
      <c r="E5053" s="6" t="s">
        <v>494</v>
      </c>
      <c r="F5053" s="6">
        <v>9.871198034E9</v>
      </c>
    </row>
    <row r="5054" ht="15.75" customHeight="1">
      <c r="A5054" s="6" t="s">
        <v>3787</v>
      </c>
      <c r="B5054" s="6" t="s">
        <v>4718</v>
      </c>
      <c r="C5054" s="6" t="s">
        <v>4719</v>
      </c>
      <c r="D5054" s="6" t="s">
        <v>14</v>
      </c>
      <c r="E5054" s="6" t="s">
        <v>4720</v>
      </c>
      <c r="F5054" s="6">
        <v>8.320499481E9</v>
      </c>
    </row>
    <row r="5055" ht="15.75" customHeight="1">
      <c r="A5055" s="6" t="s">
        <v>4721</v>
      </c>
      <c r="B5055" s="6" t="s">
        <v>3780</v>
      </c>
      <c r="C5055" s="6" t="s">
        <v>4635</v>
      </c>
      <c r="D5055" s="6" t="s">
        <v>44</v>
      </c>
      <c r="E5055" s="6" t="s">
        <v>4636</v>
      </c>
      <c r="F5055" s="6">
        <v>7.008916806E9</v>
      </c>
    </row>
    <row r="5056" ht="15.75" customHeight="1">
      <c r="A5056" s="6" t="s">
        <v>4722</v>
      </c>
      <c r="B5056" s="6" t="s">
        <v>3780</v>
      </c>
      <c r="C5056" s="6" t="s">
        <v>4635</v>
      </c>
      <c r="D5056" s="6" t="s">
        <v>44</v>
      </c>
      <c r="E5056" s="6" t="s">
        <v>4636</v>
      </c>
      <c r="F5056" s="6">
        <v>9.937586404E9</v>
      </c>
    </row>
    <row r="5057" ht="15.75" customHeight="1">
      <c r="A5057" s="6" t="s">
        <v>4723</v>
      </c>
      <c r="B5057" s="6" t="s">
        <v>3126</v>
      </c>
      <c r="C5057" s="6" t="s">
        <v>4635</v>
      </c>
      <c r="D5057" s="6" t="s">
        <v>44</v>
      </c>
      <c r="E5057" s="6" t="s">
        <v>4636</v>
      </c>
      <c r="F5057" s="6">
        <v>7.008662241E9</v>
      </c>
    </row>
    <row r="5058" ht="15.75" customHeight="1">
      <c r="A5058" s="6" t="s">
        <v>4724</v>
      </c>
      <c r="B5058" s="6" t="s">
        <v>1134</v>
      </c>
      <c r="C5058" s="6" t="s">
        <v>4635</v>
      </c>
      <c r="D5058" s="6" t="s">
        <v>44</v>
      </c>
      <c r="E5058" s="6" t="s">
        <v>4636</v>
      </c>
      <c r="F5058" s="6">
        <v>7.008456706E9</v>
      </c>
    </row>
    <row r="5059" ht="15.75" customHeight="1">
      <c r="A5059" s="6" t="s">
        <v>4725</v>
      </c>
      <c r="B5059" s="6" t="s">
        <v>4726</v>
      </c>
      <c r="C5059" s="6" t="s">
        <v>4635</v>
      </c>
      <c r="D5059" s="6" t="s">
        <v>44</v>
      </c>
      <c r="E5059" s="6" t="s">
        <v>4636</v>
      </c>
      <c r="F5059" s="6">
        <v>7.008863381E9</v>
      </c>
    </row>
    <row r="5060" ht="15.75" customHeight="1">
      <c r="A5060" s="6" t="s">
        <v>4727</v>
      </c>
      <c r="B5060" s="6" t="s">
        <v>3126</v>
      </c>
      <c r="C5060" s="6" t="s">
        <v>4635</v>
      </c>
      <c r="D5060" s="6" t="s">
        <v>44</v>
      </c>
      <c r="E5060" s="6" t="s">
        <v>4636</v>
      </c>
      <c r="F5060" s="6">
        <v>9.776105528E9</v>
      </c>
    </row>
    <row r="5061" ht="15.75" customHeight="1">
      <c r="A5061" s="6" t="s">
        <v>189</v>
      </c>
      <c r="B5061" s="6" t="s">
        <v>4728</v>
      </c>
      <c r="C5061" s="6" t="s">
        <v>4635</v>
      </c>
      <c r="D5061" s="6" t="s">
        <v>44</v>
      </c>
      <c r="E5061" s="6" t="s">
        <v>4729</v>
      </c>
      <c r="F5061" s="6">
        <v>7.20520335E9</v>
      </c>
    </row>
    <row r="5062" ht="15.75" customHeight="1">
      <c r="A5062" s="6" t="s">
        <v>1468</v>
      </c>
      <c r="B5062" s="6" t="s">
        <v>47</v>
      </c>
      <c r="C5062" s="6" t="s">
        <v>4730</v>
      </c>
      <c r="D5062" s="6" t="s">
        <v>44</v>
      </c>
      <c r="E5062" s="6" t="s">
        <v>2115</v>
      </c>
      <c r="F5062" s="6">
        <v>8.777427558E9</v>
      </c>
    </row>
    <row r="5063" ht="15.75" customHeight="1">
      <c r="A5063" s="6" t="s">
        <v>930</v>
      </c>
      <c r="B5063" s="6" t="s">
        <v>4731</v>
      </c>
      <c r="C5063" s="6" t="s">
        <v>4732</v>
      </c>
      <c r="D5063" s="6" t="s">
        <v>56</v>
      </c>
      <c r="E5063" s="6" t="s">
        <v>4733</v>
      </c>
      <c r="F5063" s="6">
        <v>9.011834626E9</v>
      </c>
    </row>
    <row r="5064" ht="15.75" customHeight="1">
      <c r="A5064" s="6" t="s">
        <v>4734</v>
      </c>
      <c r="B5064" s="6" t="s">
        <v>4342</v>
      </c>
      <c r="C5064" s="6" t="s">
        <v>4735</v>
      </c>
      <c r="D5064" s="6" t="s">
        <v>44</v>
      </c>
      <c r="E5064" s="6" t="s">
        <v>4015</v>
      </c>
      <c r="F5064" s="6">
        <v>7.038008368E9</v>
      </c>
    </row>
    <row r="5065" ht="15.75" customHeight="1">
      <c r="A5065" s="6" t="s">
        <v>4736</v>
      </c>
      <c r="B5065" s="6" t="s">
        <v>4737</v>
      </c>
      <c r="C5065" s="6" t="s">
        <v>4738</v>
      </c>
      <c r="D5065" s="6" t="s">
        <v>14</v>
      </c>
      <c r="E5065" s="6" t="s">
        <v>494</v>
      </c>
      <c r="F5065" s="6">
        <v>9.711878816E9</v>
      </c>
    </row>
    <row r="5066" ht="15.75" customHeight="1">
      <c r="A5066" s="6" t="s">
        <v>4739</v>
      </c>
      <c r="B5066" s="6" t="s">
        <v>4740</v>
      </c>
      <c r="C5066" s="6" t="s">
        <v>4741</v>
      </c>
      <c r="D5066" s="6" t="s">
        <v>14</v>
      </c>
      <c r="E5066" s="6" t="s">
        <v>4742</v>
      </c>
      <c r="F5066" s="6">
        <v>9.98513081E9</v>
      </c>
    </row>
    <row r="5067" ht="15.75" customHeight="1">
      <c r="A5067" s="6" t="s">
        <v>4743</v>
      </c>
      <c r="B5067" s="6" t="s">
        <v>4744</v>
      </c>
      <c r="C5067" s="6" t="s">
        <v>4745</v>
      </c>
      <c r="D5067" s="6" t="s">
        <v>44</v>
      </c>
      <c r="E5067" s="6" t="s">
        <v>434</v>
      </c>
      <c r="F5067" s="6">
        <v>9.00477011E9</v>
      </c>
    </row>
    <row r="5068" ht="15.75" customHeight="1">
      <c r="A5068" s="6" t="s">
        <v>4746</v>
      </c>
      <c r="B5068" s="6" t="s">
        <v>4747</v>
      </c>
      <c r="C5068" s="6" t="s">
        <v>4748</v>
      </c>
      <c r="D5068" s="6" t="s">
        <v>102</v>
      </c>
      <c r="E5068" s="6" t="s">
        <v>2575</v>
      </c>
      <c r="F5068" s="6">
        <v>8.825829043E9</v>
      </c>
    </row>
    <row r="5069" ht="15.75" customHeight="1">
      <c r="A5069" s="6" t="s">
        <v>1430</v>
      </c>
      <c r="B5069" s="6" t="s">
        <v>4749</v>
      </c>
      <c r="C5069" s="6" t="s">
        <v>4750</v>
      </c>
      <c r="D5069" s="6" t="s">
        <v>44</v>
      </c>
      <c r="E5069" s="6" t="s">
        <v>434</v>
      </c>
      <c r="F5069" s="6">
        <v>7.73851108E9</v>
      </c>
    </row>
    <row r="5070" ht="15.75" customHeight="1">
      <c r="A5070" s="6" t="s">
        <v>4043</v>
      </c>
      <c r="B5070" s="6" t="s">
        <v>4751</v>
      </c>
      <c r="C5070" s="6" t="s">
        <v>4752</v>
      </c>
      <c r="D5070" s="6" t="s">
        <v>9</v>
      </c>
      <c r="E5070" s="6" t="s">
        <v>4604</v>
      </c>
      <c r="F5070" s="6">
        <v>7.619127782E9</v>
      </c>
    </row>
    <row r="5071" ht="15.75" customHeight="1">
      <c r="A5071" s="6" t="s">
        <v>4753</v>
      </c>
      <c r="B5071" s="6" t="s">
        <v>675</v>
      </c>
      <c r="C5071" s="6" t="s">
        <v>4754</v>
      </c>
      <c r="D5071" s="6" t="s">
        <v>44</v>
      </c>
      <c r="E5071" s="6" t="s">
        <v>4755</v>
      </c>
      <c r="F5071" s="6">
        <v>8.281859424E9</v>
      </c>
    </row>
    <row r="5072" ht="15.75" customHeight="1">
      <c r="A5072" s="6" t="s">
        <v>4756</v>
      </c>
      <c r="B5072" s="6" t="s">
        <v>3352</v>
      </c>
      <c r="C5072" s="6" t="s">
        <v>4757</v>
      </c>
      <c r="D5072" s="6" t="s">
        <v>56</v>
      </c>
      <c r="E5072" s="6" t="s">
        <v>1102</v>
      </c>
      <c r="F5072" s="6">
        <v>9.818478583E9</v>
      </c>
    </row>
    <row r="5073" ht="15.75" customHeight="1">
      <c r="A5073" s="6" t="s">
        <v>4758</v>
      </c>
      <c r="B5073" s="6" t="s">
        <v>4759</v>
      </c>
      <c r="C5073" s="6" t="s">
        <v>4760</v>
      </c>
      <c r="D5073" s="6" t="s">
        <v>9</v>
      </c>
      <c r="E5073" s="6" t="s">
        <v>1102</v>
      </c>
      <c r="F5073" s="6">
        <v>8.587987223E9</v>
      </c>
    </row>
    <row r="5074" ht="15.75" customHeight="1">
      <c r="A5074" s="6" t="s">
        <v>4761</v>
      </c>
      <c r="B5074" s="6" t="s">
        <v>125</v>
      </c>
      <c r="C5074" s="6" t="s">
        <v>4762</v>
      </c>
      <c r="D5074" s="6" t="s">
        <v>14</v>
      </c>
      <c r="E5074" s="6" t="s">
        <v>4763</v>
      </c>
      <c r="F5074" s="6">
        <v>9.910067042E9</v>
      </c>
    </row>
    <row r="5075" ht="15.75" customHeight="1">
      <c r="A5075" s="6" t="s">
        <v>4764</v>
      </c>
      <c r="B5075" s="6" t="s">
        <v>1554</v>
      </c>
      <c r="C5075" s="6" t="s">
        <v>4765</v>
      </c>
      <c r="D5075" s="6" t="s">
        <v>14</v>
      </c>
      <c r="E5075" s="6" t="s">
        <v>434</v>
      </c>
      <c r="F5075" s="6">
        <v>8.451870036E9</v>
      </c>
    </row>
    <row r="5076" ht="15.75" customHeight="1">
      <c r="A5076" s="6" t="s">
        <v>4766</v>
      </c>
      <c r="B5076" s="6" t="s">
        <v>108</v>
      </c>
      <c r="C5076" s="6" t="s">
        <v>4767</v>
      </c>
      <c r="D5076" s="6" t="s">
        <v>14</v>
      </c>
      <c r="E5076" s="6" t="s">
        <v>4015</v>
      </c>
      <c r="F5076" s="6">
        <v>8.588079828E9</v>
      </c>
    </row>
    <row r="5077" ht="15.75" customHeight="1">
      <c r="A5077" s="6" t="s">
        <v>4768</v>
      </c>
      <c r="B5077" s="6" t="s">
        <v>4759</v>
      </c>
      <c r="C5077" s="6" t="s">
        <v>4477</v>
      </c>
      <c r="D5077" s="6" t="s">
        <v>26</v>
      </c>
      <c r="E5077" s="6" t="s">
        <v>4769</v>
      </c>
      <c r="F5077" s="6">
        <v>9.81042068E9</v>
      </c>
    </row>
    <row r="5078" ht="15.75" customHeight="1">
      <c r="A5078" s="6" t="s">
        <v>144</v>
      </c>
      <c r="B5078" s="6" t="s">
        <v>4770</v>
      </c>
      <c r="C5078" s="6" t="s">
        <v>4357</v>
      </c>
      <c r="D5078" s="6" t="s">
        <v>26</v>
      </c>
      <c r="E5078" s="6" t="s">
        <v>4358</v>
      </c>
      <c r="F5078" s="6">
        <v>6.232517676E9</v>
      </c>
    </row>
    <row r="5079" ht="15.75" customHeight="1">
      <c r="A5079" s="6" t="s">
        <v>116</v>
      </c>
      <c r="B5079" s="6" t="s">
        <v>4771</v>
      </c>
      <c r="C5079" s="6" t="s">
        <v>4772</v>
      </c>
      <c r="D5079" s="6" t="s">
        <v>14</v>
      </c>
      <c r="E5079" s="6" t="s">
        <v>4015</v>
      </c>
      <c r="F5079" s="6">
        <v>9.999592171E9</v>
      </c>
    </row>
    <row r="5080" ht="15.75" customHeight="1">
      <c r="A5080" s="6" t="s">
        <v>1260</v>
      </c>
      <c r="B5080" s="6" t="s">
        <v>4773</v>
      </c>
      <c r="C5080" s="6" t="s">
        <v>4762</v>
      </c>
      <c r="D5080" s="6" t="s">
        <v>44</v>
      </c>
      <c r="E5080" s="6" t="s">
        <v>1102</v>
      </c>
      <c r="F5080" s="6">
        <v>9.971011554E9</v>
      </c>
    </row>
    <row r="5081" ht="15.75" customHeight="1">
      <c r="A5081" s="6" t="s">
        <v>3327</v>
      </c>
      <c r="B5081" s="6" t="s">
        <v>512</v>
      </c>
      <c r="C5081" s="6" t="s">
        <v>4774</v>
      </c>
      <c r="D5081" s="6" t="s">
        <v>14</v>
      </c>
      <c r="E5081" s="6" t="s">
        <v>434</v>
      </c>
      <c r="F5081" s="6">
        <v>9.867466852E9</v>
      </c>
    </row>
    <row r="5082" ht="15.75" customHeight="1">
      <c r="A5082" s="6" t="s">
        <v>961</v>
      </c>
      <c r="B5082" s="6" t="s">
        <v>4775</v>
      </c>
      <c r="C5082" s="6" t="s">
        <v>4547</v>
      </c>
      <c r="D5082" s="6" t="s">
        <v>56</v>
      </c>
      <c r="E5082" s="6" t="s">
        <v>4015</v>
      </c>
      <c r="F5082" s="6">
        <v>8.130466918E9</v>
      </c>
    </row>
    <row r="5083" ht="15.75" customHeight="1">
      <c r="A5083" s="6" t="s">
        <v>2807</v>
      </c>
      <c r="B5083" s="6" t="s">
        <v>3527</v>
      </c>
      <c r="C5083" s="6" t="s">
        <v>4776</v>
      </c>
      <c r="D5083" s="6" t="s">
        <v>56</v>
      </c>
      <c r="E5083" s="6" t="s">
        <v>4015</v>
      </c>
      <c r="F5083" s="6">
        <v>8.50683367E9</v>
      </c>
    </row>
    <row r="5084" ht="15.75" customHeight="1">
      <c r="A5084" s="6" t="s">
        <v>4777</v>
      </c>
      <c r="B5084" s="6" t="s">
        <v>1999</v>
      </c>
      <c r="C5084" s="6" t="s">
        <v>4778</v>
      </c>
      <c r="D5084" s="6" t="s">
        <v>26</v>
      </c>
      <c r="E5084" s="6" t="s">
        <v>4779</v>
      </c>
      <c r="F5084" s="6">
        <v>6.263607141E9</v>
      </c>
    </row>
    <row r="5085" ht="15.75" customHeight="1">
      <c r="A5085" s="6" t="s">
        <v>4780</v>
      </c>
      <c r="B5085" s="6" t="s">
        <v>4781</v>
      </c>
      <c r="C5085" s="6" t="s">
        <v>4782</v>
      </c>
      <c r="D5085" s="6" t="s">
        <v>14</v>
      </c>
      <c r="E5085" s="6" t="s">
        <v>4212</v>
      </c>
      <c r="F5085" s="6">
        <v>9.810077083E9</v>
      </c>
    </row>
    <row r="5086" ht="15.75" customHeight="1">
      <c r="A5086" s="6" t="s">
        <v>3469</v>
      </c>
      <c r="B5086" s="6" t="s">
        <v>4708</v>
      </c>
      <c r="C5086" s="6" t="s">
        <v>4783</v>
      </c>
      <c r="D5086" s="6" t="s">
        <v>56</v>
      </c>
      <c r="E5086" s="6" t="s">
        <v>494</v>
      </c>
      <c r="F5086" s="6">
        <v>9.650479687E9</v>
      </c>
    </row>
    <row r="5087" ht="15.75" customHeight="1">
      <c r="A5087" s="6" t="s">
        <v>4784</v>
      </c>
      <c r="B5087" s="6" t="s">
        <v>4785</v>
      </c>
      <c r="C5087" s="6" t="s">
        <v>4700</v>
      </c>
      <c r="D5087" s="6" t="s">
        <v>14</v>
      </c>
      <c r="E5087" s="6" t="s">
        <v>4786</v>
      </c>
      <c r="F5087" s="6">
        <v>9.854049774E9</v>
      </c>
    </row>
    <row r="5088" ht="15.75" customHeight="1">
      <c r="A5088" s="6" t="s">
        <v>4787</v>
      </c>
      <c r="B5088" s="6" t="s">
        <v>131</v>
      </c>
      <c r="C5088" s="6" t="s">
        <v>4700</v>
      </c>
      <c r="D5088" s="6" t="s">
        <v>14</v>
      </c>
      <c r="E5088" s="6" t="s">
        <v>4015</v>
      </c>
      <c r="F5088" s="6">
        <v>9.350004339E9</v>
      </c>
    </row>
    <row r="5089" ht="15.75" customHeight="1">
      <c r="A5089" s="6" t="s">
        <v>1193</v>
      </c>
      <c r="B5089" s="6" t="s">
        <v>65</v>
      </c>
      <c r="C5089" s="6" t="s">
        <v>4783</v>
      </c>
      <c r="D5089" s="6" t="s">
        <v>56</v>
      </c>
      <c r="E5089" s="6" t="s">
        <v>494</v>
      </c>
      <c r="F5089" s="6">
        <v>9.811115955E9</v>
      </c>
    </row>
    <row r="5090" ht="15.75" customHeight="1">
      <c r="A5090" s="6" t="s">
        <v>4788</v>
      </c>
      <c r="B5090" s="6" t="s">
        <v>153</v>
      </c>
      <c r="C5090" s="6" t="s">
        <v>4789</v>
      </c>
      <c r="D5090" s="6" t="s">
        <v>29</v>
      </c>
      <c r="E5090" s="6" t="s">
        <v>4790</v>
      </c>
      <c r="F5090" s="6">
        <v>9.311305666E9</v>
      </c>
    </row>
    <row r="5091" ht="15.75" customHeight="1">
      <c r="A5091" s="6" t="s">
        <v>4791</v>
      </c>
      <c r="B5091" s="6" t="s">
        <v>520</v>
      </c>
      <c r="C5091" s="6" t="s">
        <v>4792</v>
      </c>
      <c r="D5091" s="6" t="s">
        <v>9</v>
      </c>
      <c r="E5091" s="6" t="s">
        <v>4793</v>
      </c>
      <c r="F5091" s="6">
        <v>9.34032388E9</v>
      </c>
    </row>
    <row r="5092" ht="15.75" customHeight="1">
      <c r="A5092" s="6" t="s">
        <v>2497</v>
      </c>
      <c r="B5092" s="6" t="s">
        <v>4794</v>
      </c>
      <c r="C5092" s="6" t="s">
        <v>4795</v>
      </c>
      <c r="D5092" s="6" t="s">
        <v>56</v>
      </c>
      <c r="E5092" s="6" t="s">
        <v>4796</v>
      </c>
      <c r="F5092" s="6">
        <v>9.738119655E9</v>
      </c>
    </row>
    <row r="5093" ht="15.75" customHeight="1">
      <c r="A5093" s="6" t="s">
        <v>4797</v>
      </c>
      <c r="B5093" s="6" t="s">
        <v>4798</v>
      </c>
      <c r="C5093" s="6" t="s">
        <v>4799</v>
      </c>
      <c r="D5093" s="6" t="s">
        <v>44</v>
      </c>
      <c r="E5093" s="6" t="s">
        <v>4800</v>
      </c>
      <c r="F5093" s="6">
        <v>9.953088881E9</v>
      </c>
    </row>
    <row r="5094" ht="15.75" customHeight="1">
      <c r="A5094" s="6" t="s">
        <v>4801</v>
      </c>
      <c r="B5094" s="6" t="s">
        <v>65</v>
      </c>
      <c r="C5094" s="6" t="s">
        <v>4802</v>
      </c>
      <c r="D5094" s="6" t="s">
        <v>9</v>
      </c>
      <c r="E5094" s="6" t="s">
        <v>4150</v>
      </c>
      <c r="F5094" s="6">
        <v>7.018440235E9</v>
      </c>
    </row>
    <row r="5095" ht="15.75" customHeight="1">
      <c r="A5095" s="6" t="s">
        <v>4803</v>
      </c>
      <c r="B5095" s="6" t="s">
        <v>1239</v>
      </c>
      <c r="C5095" s="6" t="s">
        <v>4804</v>
      </c>
      <c r="D5095" s="6" t="s">
        <v>44</v>
      </c>
      <c r="E5095" s="6" t="s">
        <v>4805</v>
      </c>
      <c r="F5095" s="6">
        <v>9.967227385E9</v>
      </c>
    </row>
    <row r="5096" ht="15.75" customHeight="1">
      <c r="A5096" s="6" t="s">
        <v>4806</v>
      </c>
      <c r="B5096" s="6" t="s">
        <v>4807</v>
      </c>
      <c r="C5096" s="6" t="s">
        <v>4795</v>
      </c>
      <c r="D5096" s="6" t="s">
        <v>56</v>
      </c>
      <c r="E5096" s="6" t="s">
        <v>4643</v>
      </c>
      <c r="F5096" s="6">
        <v>9.741091581E9</v>
      </c>
    </row>
    <row r="5097" ht="15.75" customHeight="1">
      <c r="A5097" s="6" t="s">
        <v>762</v>
      </c>
      <c r="B5097" s="6" t="s">
        <v>50</v>
      </c>
      <c r="C5097" s="6" t="s">
        <v>4795</v>
      </c>
      <c r="D5097" s="6" t="s">
        <v>56</v>
      </c>
      <c r="E5097" s="6" t="s">
        <v>4796</v>
      </c>
      <c r="F5097" s="6">
        <v>9.738119768E9</v>
      </c>
    </row>
    <row r="5098" ht="15.75" customHeight="1">
      <c r="A5098" s="6" t="s">
        <v>2592</v>
      </c>
      <c r="B5098" s="6" t="s">
        <v>65</v>
      </c>
      <c r="C5098" s="6" t="s">
        <v>4477</v>
      </c>
      <c r="D5098" s="6" t="s">
        <v>26</v>
      </c>
      <c r="E5098" s="6" t="s">
        <v>1095</v>
      </c>
      <c r="F5098" s="6">
        <v>9.315204562E9</v>
      </c>
    </row>
    <row r="5099" ht="15.75" customHeight="1">
      <c r="A5099" s="6" t="s">
        <v>795</v>
      </c>
      <c r="B5099" s="6" t="s">
        <v>4808</v>
      </c>
      <c r="C5099" s="6" t="s">
        <v>4809</v>
      </c>
      <c r="D5099" s="6" t="s">
        <v>102</v>
      </c>
      <c r="E5099" s="6" t="s">
        <v>4810</v>
      </c>
      <c r="F5099" s="6">
        <v>9.19429433889E11</v>
      </c>
    </row>
    <row r="5100" ht="15.75" customHeight="1">
      <c r="A5100" s="6" t="s">
        <v>4811</v>
      </c>
      <c r="B5100" s="6" t="s">
        <v>4812</v>
      </c>
      <c r="C5100" s="6" t="s">
        <v>4813</v>
      </c>
      <c r="D5100" s="6" t="s">
        <v>26</v>
      </c>
      <c r="E5100" s="6" t="s">
        <v>4814</v>
      </c>
      <c r="F5100" s="6">
        <v>7.21777847E9</v>
      </c>
    </row>
    <row r="5101" ht="15.75" customHeight="1">
      <c r="A5101" s="6" t="s">
        <v>4815</v>
      </c>
      <c r="B5101" s="6" t="s">
        <v>4519</v>
      </c>
      <c r="C5101" s="6" t="s">
        <v>4816</v>
      </c>
      <c r="D5101" s="6" t="s">
        <v>9</v>
      </c>
      <c r="E5101" s="6" t="s">
        <v>1102</v>
      </c>
      <c r="F5101" s="6">
        <v>9.810863971E9</v>
      </c>
    </row>
    <row r="5102" ht="15.75" customHeight="1">
      <c r="A5102" s="6" t="s">
        <v>4817</v>
      </c>
      <c r="B5102" s="6" t="s">
        <v>4818</v>
      </c>
      <c r="C5102" s="6" t="s">
        <v>4819</v>
      </c>
      <c r="D5102" s="6" t="s">
        <v>29</v>
      </c>
      <c r="E5102" s="6" t="s">
        <v>3105</v>
      </c>
      <c r="F5102" s="6">
        <v>9.448359847E9</v>
      </c>
    </row>
    <row r="5103" ht="15.75" customHeight="1">
      <c r="A5103" s="6" t="s">
        <v>1218</v>
      </c>
      <c r="B5103" s="6" t="s">
        <v>4820</v>
      </c>
      <c r="C5103" s="6" t="s">
        <v>4821</v>
      </c>
      <c r="D5103" s="6" t="s">
        <v>26</v>
      </c>
      <c r="E5103" s="6" t="s">
        <v>1102</v>
      </c>
      <c r="F5103" s="6">
        <v>9.625916855E9</v>
      </c>
    </row>
    <row r="5104" ht="15.75" customHeight="1">
      <c r="A5104" s="6" t="s">
        <v>4822</v>
      </c>
      <c r="B5104" s="6" t="s">
        <v>4823</v>
      </c>
      <c r="C5104" s="6" t="s">
        <v>4824</v>
      </c>
      <c r="D5104" s="6" t="s">
        <v>44</v>
      </c>
      <c r="E5104" s="6" t="s">
        <v>4136</v>
      </c>
      <c r="F5104" s="6">
        <v>5.46233092E8</v>
      </c>
    </row>
    <row r="5105" ht="15.75" customHeight="1">
      <c r="A5105" s="6" t="s">
        <v>3361</v>
      </c>
      <c r="B5105" s="6" t="s">
        <v>3015</v>
      </c>
      <c r="C5105" s="6" t="s">
        <v>4449</v>
      </c>
      <c r="D5105" s="6" t="s">
        <v>9</v>
      </c>
      <c r="E5105" s="6" t="s">
        <v>4625</v>
      </c>
      <c r="F5105" s="6">
        <v>8.059940309E9</v>
      </c>
    </row>
    <row r="5106" ht="15.75" customHeight="1">
      <c r="A5106" s="6" t="s">
        <v>4825</v>
      </c>
      <c r="B5106" s="6" t="s">
        <v>4826</v>
      </c>
      <c r="C5106" s="6" t="s">
        <v>4827</v>
      </c>
      <c r="D5106" s="6" t="s">
        <v>26</v>
      </c>
      <c r="E5106" s="6" t="s">
        <v>4828</v>
      </c>
      <c r="F5106" s="6">
        <v>8.8245246E9</v>
      </c>
    </row>
    <row r="5107" ht="15.75" customHeight="1">
      <c r="A5107" s="6" t="s">
        <v>1273</v>
      </c>
      <c r="B5107" s="6" t="s">
        <v>4829</v>
      </c>
      <c r="C5107" s="6" t="s">
        <v>4830</v>
      </c>
      <c r="D5107" s="6" t="s">
        <v>44</v>
      </c>
      <c r="E5107" s="6" t="s">
        <v>4796</v>
      </c>
      <c r="F5107" s="6">
        <v>9.845474112E9</v>
      </c>
    </row>
    <row r="5108" ht="15.75" customHeight="1">
      <c r="A5108" s="6" t="s">
        <v>4831</v>
      </c>
      <c r="B5108" s="6" t="s">
        <v>299</v>
      </c>
      <c r="C5108" s="6" t="s">
        <v>4832</v>
      </c>
      <c r="D5108" s="6" t="s">
        <v>56</v>
      </c>
      <c r="E5108" s="6" t="s">
        <v>4318</v>
      </c>
      <c r="F5108" s="6">
        <v>8.986457144E9</v>
      </c>
    </row>
    <row r="5109" ht="15.75" customHeight="1">
      <c r="A5109" s="6" t="s">
        <v>4833</v>
      </c>
      <c r="B5109" s="6" t="s">
        <v>4650</v>
      </c>
      <c r="C5109" s="6" t="s">
        <v>3322</v>
      </c>
      <c r="D5109" s="6" t="s">
        <v>44</v>
      </c>
      <c r="E5109" s="6" t="s">
        <v>434</v>
      </c>
      <c r="F5109" s="6">
        <v>9.987997016E9</v>
      </c>
    </row>
    <row r="5110" ht="15.75" customHeight="1">
      <c r="A5110" s="6" t="s">
        <v>4834</v>
      </c>
      <c r="B5110" s="6" t="s">
        <v>4835</v>
      </c>
      <c r="C5110" s="6" t="s">
        <v>4547</v>
      </c>
      <c r="D5110" s="6" t="s">
        <v>14</v>
      </c>
      <c r="E5110" s="6" t="s">
        <v>4015</v>
      </c>
      <c r="F5110" s="6">
        <v>9.95304321E9</v>
      </c>
    </row>
    <row r="5111" ht="15.75" customHeight="1">
      <c r="A5111" s="6" t="s">
        <v>4836</v>
      </c>
      <c r="B5111" s="6" t="s">
        <v>4837</v>
      </c>
      <c r="C5111" s="6" t="s">
        <v>4838</v>
      </c>
      <c r="D5111" s="6" t="s">
        <v>44</v>
      </c>
      <c r="E5111" s="6" t="s">
        <v>4839</v>
      </c>
      <c r="F5111" s="6">
        <v>9.19873604942E11</v>
      </c>
    </row>
    <row r="5112" ht="15.75" customHeight="1">
      <c r="A5112" s="6" t="s">
        <v>4057</v>
      </c>
      <c r="B5112" s="6" t="s">
        <v>499</v>
      </c>
      <c r="C5112" s="6" t="s">
        <v>4795</v>
      </c>
      <c r="D5112" s="6" t="s">
        <v>9</v>
      </c>
      <c r="E5112" s="6" t="s">
        <v>4643</v>
      </c>
      <c r="F5112" s="6">
        <v>8.892797628E9</v>
      </c>
    </row>
    <row r="5113" ht="15.75" customHeight="1">
      <c r="A5113" s="6" t="s">
        <v>304</v>
      </c>
      <c r="B5113" s="6" t="s">
        <v>4840</v>
      </c>
      <c r="C5113" s="6" t="s">
        <v>4841</v>
      </c>
      <c r="D5113" s="6" t="s">
        <v>44</v>
      </c>
      <c r="E5113" s="6" t="s">
        <v>2579</v>
      </c>
      <c r="F5113" s="6">
        <v>9.485853762E9</v>
      </c>
    </row>
    <row r="5114" ht="15.75" customHeight="1">
      <c r="A5114" s="6" t="s">
        <v>446</v>
      </c>
      <c r="B5114" s="6" t="s">
        <v>4842</v>
      </c>
      <c r="C5114" s="6" t="s">
        <v>4843</v>
      </c>
      <c r="D5114" s="6" t="s">
        <v>1108</v>
      </c>
      <c r="E5114" s="6" t="s">
        <v>2025</v>
      </c>
      <c r="F5114" s="6">
        <v>9.868740519E9</v>
      </c>
    </row>
    <row r="5115" ht="15.75" customHeight="1">
      <c r="A5115" s="6" t="s">
        <v>189</v>
      </c>
      <c r="B5115" s="6" t="s">
        <v>1587</v>
      </c>
      <c r="C5115" s="6" t="s">
        <v>4844</v>
      </c>
      <c r="D5115" s="6" t="s">
        <v>26</v>
      </c>
      <c r="E5115" s="6" t="s">
        <v>1102</v>
      </c>
      <c r="F5115" s="6">
        <v>8.800389872E9</v>
      </c>
    </row>
    <row r="5116" ht="15.75" customHeight="1">
      <c r="A5116" s="6" t="s">
        <v>2605</v>
      </c>
      <c r="B5116" s="6" t="s">
        <v>924</v>
      </c>
      <c r="C5116" s="6" t="s">
        <v>4845</v>
      </c>
      <c r="D5116" s="6" t="s">
        <v>44</v>
      </c>
      <c r="E5116" s="6" t="s">
        <v>4015</v>
      </c>
      <c r="F5116" s="6">
        <v>9.910414033E9</v>
      </c>
    </row>
    <row r="5117" ht="15.75" customHeight="1">
      <c r="A5117" s="6" t="s">
        <v>4846</v>
      </c>
      <c r="B5117" s="6" t="s">
        <v>4696</v>
      </c>
      <c r="C5117" s="6" t="s">
        <v>4847</v>
      </c>
      <c r="D5117" s="6" t="s">
        <v>44</v>
      </c>
      <c r="E5117" s="6" t="s">
        <v>4015</v>
      </c>
      <c r="F5117" s="6">
        <v>9.760419619E9</v>
      </c>
    </row>
    <row r="5118" ht="15.75" customHeight="1">
      <c r="A5118" s="6" t="s">
        <v>4848</v>
      </c>
      <c r="B5118" s="6" t="s">
        <v>4849</v>
      </c>
      <c r="C5118" s="6" t="s">
        <v>4850</v>
      </c>
      <c r="D5118" s="6" t="s">
        <v>29</v>
      </c>
      <c r="E5118" s="6" t="s">
        <v>4851</v>
      </c>
      <c r="F5118" s="6">
        <v>9.515228536E9</v>
      </c>
    </row>
    <row r="5119" ht="15.75" customHeight="1">
      <c r="A5119" s="6" t="s">
        <v>4852</v>
      </c>
      <c r="B5119" s="6" t="s">
        <v>4853</v>
      </c>
      <c r="C5119" s="6" t="s">
        <v>4854</v>
      </c>
      <c r="D5119" s="6" t="s">
        <v>14</v>
      </c>
      <c r="E5119" s="6" t="s">
        <v>4855</v>
      </c>
      <c r="F5119" s="6">
        <v>9.495116487E9</v>
      </c>
    </row>
    <row r="5120" ht="15.75" customHeight="1">
      <c r="A5120" s="6" t="s">
        <v>4856</v>
      </c>
      <c r="B5120" s="6" t="s">
        <v>4856</v>
      </c>
      <c r="C5120" s="6">
        <v>11.0</v>
      </c>
      <c r="D5120" s="6" t="s">
        <v>102</v>
      </c>
      <c r="E5120" s="6" t="s">
        <v>4857</v>
      </c>
      <c r="F5120" s="6">
        <v>1.111111111E9</v>
      </c>
    </row>
    <row r="5121" ht="15.75" customHeight="1">
      <c r="A5121" s="6" t="s">
        <v>4858</v>
      </c>
      <c r="B5121" s="6" t="s">
        <v>4859</v>
      </c>
      <c r="C5121" s="6" t="s">
        <v>4860</v>
      </c>
      <c r="D5121" s="6" t="s">
        <v>56</v>
      </c>
      <c r="E5121" s="6" t="s">
        <v>4276</v>
      </c>
      <c r="F5121" s="6">
        <v>9.490078022E9</v>
      </c>
    </row>
    <row r="5122" ht="15.75" customHeight="1">
      <c r="A5122" s="6" t="s">
        <v>4861</v>
      </c>
      <c r="B5122" s="6" t="s">
        <v>4862</v>
      </c>
      <c r="C5122" s="6" t="s">
        <v>4860</v>
      </c>
      <c r="D5122" s="6" t="s">
        <v>56</v>
      </c>
      <c r="E5122" s="6" t="s">
        <v>4276</v>
      </c>
      <c r="F5122" s="6">
        <v>9.966698596E9</v>
      </c>
    </row>
    <row r="5123" ht="15.75" customHeight="1">
      <c r="A5123" s="6" t="s">
        <v>2451</v>
      </c>
      <c r="B5123" s="6" t="s">
        <v>4863</v>
      </c>
      <c r="C5123" s="6" t="s">
        <v>4864</v>
      </c>
      <c r="D5123" s="6" t="s">
        <v>26</v>
      </c>
      <c r="E5123" s="6" t="s">
        <v>4865</v>
      </c>
      <c r="F5123" s="6">
        <v>9.353646679E9</v>
      </c>
    </row>
    <row r="5124" ht="15.75" customHeight="1">
      <c r="A5124" s="6" t="s">
        <v>2286</v>
      </c>
      <c r="B5124" s="6" t="s">
        <v>108</v>
      </c>
      <c r="C5124" s="6" t="s">
        <v>4866</v>
      </c>
      <c r="D5124" s="6" t="s">
        <v>26</v>
      </c>
      <c r="E5124" s="6" t="s">
        <v>4867</v>
      </c>
      <c r="F5124" s="6">
        <v>6.204419527E9</v>
      </c>
    </row>
    <row r="5125" ht="15.75" customHeight="1">
      <c r="A5125" s="6" t="s">
        <v>4868</v>
      </c>
      <c r="B5125" s="6" t="s">
        <v>4869</v>
      </c>
      <c r="C5125" s="6" t="s">
        <v>4870</v>
      </c>
      <c r="D5125" s="6" t="s">
        <v>26</v>
      </c>
      <c r="E5125" s="6" t="s">
        <v>3105</v>
      </c>
      <c r="F5125" s="6">
        <v>7.89280751E8</v>
      </c>
    </row>
    <row r="5126" ht="15.75" customHeight="1">
      <c r="A5126" s="6" t="s">
        <v>4871</v>
      </c>
      <c r="B5126" s="6" t="s">
        <v>4872</v>
      </c>
      <c r="C5126" s="6" t="s">
        <v>4873</v>
      </c>
      <c r="D5126" s="6" t="s">
        <v>56</v>
      </c>
      <c r="E5126" s="6" t="s">
        <v>4874</v>
      </c>
      <c r="F5126" s="6">
        <v>9.416479613E9</v>
      </c>
    </row>
    <row r="5127" ht="15.75" customHeight="1">
      <c r="A5127" s="6" t="s">
        <v>4875</v>
      </c>
      <c r="B5127" s="6" t="s">
        <v>2678</v>
      </c>
      <c r="C5127" s="6" t="s">
        <v>4876</v>
      </c>
      <c r="D5127" s="6" t="s">
        <v>29</v>
      </c>
      <c r="E5127" s="6" t="s">
        <v>4877</v>
      </c>
      <c r="F5127" s="6">
        <v>9.17062142441E11</v>
      </c>
    </row>
    <row r="5128" ht="15.75" customHeight="1">
      <c r="A5128" s="6" t="s">
        <v>110</v>
      </c>
      <c r="B5128" s="6" t="s">
        <v>65</v>
      </c>
      <c r="C5128" s="6" t="s">
        <v>4878</v>
      </c>
      <c r="D5128" s="6" t="s">
        <v>44</v>
      </c>
      <c r="E5128" s="6" t="s">
        <v>4879</v>
      </c>
      <c r="F5128" s="6">
        <v>9.888301405E9</v>
      </c>
    </row>
    <row r="5129" ht="15.75" customHeight="1">
      <c r="A5129" s="6" t="s">
        <v>4880</v>
      </c>
      <c r="B5129" s="6" t="s">
        <v>4881</v>
      </c>
      <c r="C5129" s="6" t="s">
        <v>4882</v>
      </c>
      <c r="D5129" s="6" t="s">
        <v>14</v>
      </c>
      <c r="E5129" s="6" t="s">
        <v>4276</v>
      </c>
      <c r="F5129" s="6">
        <v>7.675860877E9</v>
      </c>
    </row>
    <row r="5130" ht="15.75" customHeight="1">
      <c r="A5130" s="6" t="s">
        <v>110</v>
      </c>
      <c r="B5130" s="6" t="s">
        <v>4667</v>
      </c>
      <c r="C5130" s="6" t="s">
        <v>4883</v>
      </c>
      <c r="D5130" s="6" t="s">
        <v>26</v>
      </c>
      <c r="E5130" s="6" t="s">
        <v>434</v>
      </c>
      <c r="F5130" s="6">
        <v>8.779180289E9</v>
      </c>
    </row>
    <row r="5131" ht="15.75" customHeight="1">
      <c r="A5131" s="6" t="s">
        <v>3404</v>
      </c>
      <c r="B5131" s="6" t="s">
        <v>4884</v>
      </c>
      <c r="C5131" s="6" t="s">
        <v>4885</v>
      </c>
      <c r="D5131" s="6" t="s">
        <v>9</v>
      </c>
      <c r="E5131" s="6" t="s">
        <v>4886</v>
      </c>
      <c r="F5131" s="6">
        <v>9.654783263E9</v>
      </c>
    </row>
    <row r="5132" ht="15.75" customHeight="1">
      <c r="A5132" s="6" t="s">
        <v>146</v>
      </c>
      <c r="B5132" s="6" t="s">
        <v>4887</v>
      </c>
      <c r="C5132" s="6" t="s">
        <v>4586</v>
      </c>
      <c r="D5132" s="6" t="s">
        <v>1108</v>
      </c>
      <c r="E5132" s="6" t="s">
        <v>4587</v>
      </c>
      <c r="F5132" s="6">
        <v>9.329833517E9</v>
      </c>
    </row>
    <row r="5133" ht="15.75" customHeight="1">
      <c r="A5133" s="6" t="s">
        <v>4888</v>
      </c>
      <c r="B5133" s="6" t="s">
        <v>4889</v>
      </c>
      <c r="C5133" s="6" t="s">
        <v>4890</v>
      </c>
      <c r="D5133" s="6" t="s">
        <v>44</v>
      </c>
      <c r="E5133" s="6" t="s">
        <v>4891</v>
      </c>
      <c r="F5133" s="6">
        <v>9.052235311E9</v>
      </c>
    </row>
    <row r="5134" ht="15.75" customHeight="1">
      <c r="A5134" s="6" t="s">
        <v>4892</v>
      </c>
      <c r="B5134" s="6" t="s">
        <v>75</v>
      </c>
      <c r="C5134" s="6" t="s">
        <v>4893</v>
      </c>
      <c r="D5134" s="6" t="s">
        <v>44</v>
      </c>
      <c r="E5134" s="6" t="s">
        <v>4276</v>
      </c>
      <c r="F5134" s="6">
        <v>9.330228795E9</v>
      </c>
    </row>
    <row r="5135" ht="15.75" customHeight="1">
      <c r="A5135" s="6" t="s">
        <v>4894</v>
      </c>
      <c r="B5135" s="6" t="s">
        <v>675</v>
      </c>
      <c r="C5135" s="6" t="s">
        <v>4895</v>
      </c>
      <c r="D5135" s="6" t="s">
        <v>44</v>
      </c>
      <c r="E5135" s="6" t="s">
        <v>193</v>
      </c>
      <c r="F5135" s="6">
        <v>9.820955014E9</v>
      </c>
    </row>
    <row r="5136" ht="15.75" customHeight="1">
      <c r="A5136" s="6" t="s">
        <v>2732</v>
      </c>
      <c r="B5136" s="6" t="s">
        <v>4896</v>
      </c>
      <c r="C5136" s="6" t="s">
        <v>4897</v>
      </c>
      <c r="D5136" s="6" t="s">
        <v>26</v>
      </c>
      <c r="E5136" s="6" t="s">
        <v>4898</v>
      </c>
      <c r="F5136" s="6">
        <v>8.968383533E9</v>
      </c>
    </row>
    <row r="5137" ht="15.75" customHeight="1">
      <c r="A5137" s="6" t="s">
        <v>2098</v>
      </c>
      <c r="B5137" s="6" t="s">
        <v>47</v>
      </c>
      <c r="C5137" s="6" t="s">
        <v>2744</v>
      </c>
      <c r="D5137" s="6" t="s">
        <v>102</v>
      </c>
      <c r="E5137" s="6" t="s">
        <v>4899</v>
      </c>
      <c r="F5137" s="6">
        <v>9.582553998E9</v>
      </c>
    </row>
    <row r="5138" ht="15.75" customHeight="1">
      <c r="A5138" s="6" t="s">
        <v>1482</v>
      </c>
      <c r="B5138" s="6" t="s">
        <v>4900</v>
      </c>
      <c r="C5138" s="6" t="s">
        <v>4901</v>
      </c>
      <c r="D5138" s="6" t="s">
        <v>56</v>
      </c>
      <c r="E5138" s="6" t="s">
        <v>4340</v>
      </c>
      <c r="F5138" s="6">
        <v>9.474052096E9</v>
      </c>
    </row>
    <row r="5139" ht="15.75" customHeight="1">
      <c r="A5139" s="6" t="s">
        <v>4902</v>
      </c>
      <c r="B5139" s="6" t="s">
        <v>4903</v>
      </c>
      <c r="C5139" s="6" t="s">
        <v>4904</v>
      </c>
      <c r="D5139" s="6" t="s">
        <v>44</v>
      </c>
      <c r="E5139" s="6" t="s">
        <v>2467</v>
      </c>
      <c r="F5139" s="6">
        <v>9.869156956E9</v>
      </c>
    </row>
    <row r="5140" ht="15.75" customHeight="1">
      <c r="A5140" s="6" t="s">
        <v>146</v>
      </c>
      <c r="B5140" s="6" t="s">
        <v>1090</v>
      </c>
      <c r="C5140" s="6" t="s">
        <v>4905</v>
      </c>
      <c r="D5140" s="6" t="s">
        <v>29</v>
      </c>
      <c r="E5140" s="6" t="s">
        <v>494</v>
      </c>
      <c r="F5140" s="6">
        <v>9.205060281E9</v>
      </c>
    </row>
    <row r="5141" ht="15.75" customHeight="1">
      <c r="A5141" s="6" t="s">
        <v>4906</v>
      </c>
      <c r="B5141" s="6" t="s">
        <v>4907</v>
      </c>
      <c r="C5141" s="6" t="s">
        <v>4908</v>
      </c>
      <c r="D5141" s="6" t="s">
        <v>29</v>
      </c>
      <c r="E5141" s="6" t="s">
        <v>4276</v>
      </c>
      <c r="F5141" s="6">
        <v>9.701958918E9</v>
      </c>
    </row>
    <row r="5142" ht="15.75" customHeight="1">
      <c r="A5142" s="6" t="s">
        <v>123</v>
      </c>
      <c r="B5142" s="6" t="s">
        <v>50</v>
      </c>
      <c r="C5142" s="6" t="s">
        <v>3790</v>
      </c>
      <c r="D5142" s="6" t="s">
        <v>14</v>
      </c>
      <c r="E5142" s="6" t="s">
        <v>4909</v>
      </c>
      <c r="F5142" s="6">
        <v>7.004101932E9</v>
      </c>
    </row>
    <row r="5143" ht="15.75" customHeight="1">
      <c r="A5143" s="6" t="s">
        <v>2990</v>
      </c>
      <c r="B5143" s="6" t="s">
        <v>3978</v>
      </c>
      <c r="C5143" s="6" t="s">
        <v>4910</v>
      </c>
      <c r="D5143" s="6" t="s">
        <v>9</v>
      </c>
      <c r="E5143" s="6" t="s">
        <v>4911</v>
      </c>
      <c r="F5143" s="6">
        <v>8.58203539E9</v>
      </c>
    </row>
    <row r="5144" ht="15.75" customHeight="1">
      <c r="A5144" s="6" t="s">
        <v>1218</v>
      </c>
      <c r="B5144" s="6" t="s">
        <v>4912</v>
      </c>
      <c r="C5144" s="6" t="s">
        <v>4913</v>
      </c>
      <c r="D5144" s="6" t="s">
        <v>26</v>
      </c>
      <c r="E5144" s="6" t="s">
        <v>4914</v>
      </c>
      <c r="F5144" s="6">
        <v>7.73844871E9</v>
      </c>
    </row>
    <row r="5145" ht="15.75" customHeight="1">
      <c r="A5145" s="6" t="s">
        <v>4915</v>
      </c>
      <c r="B5145" s="6" t="s">
        <v>525</v>
      </c>
      <c r="C5145" s="6" t="s">
        <v>4916</v>
      </c>
      <c r="D5145" s="6" t="s">
        <v>44</v>
      </c>
      <c r="E5145" s="6" t="s">
        <v>4917</v>
      </c>
      <c r="F5145" s="6">
        <v>9.59750699E9</v>
      </c>
    </row>
    <row r="5146" ht="15.75" customHeight="1">
      <c r="A5146" s="6" t="s">
        <v>4918</v>
      </c>
      <c r="B5146" s="6" t="s">
        <v>4919</v>
      </c>
      <c r="C5146" s="6" t="s">
        <v>4920</v>
      </c>
      <c r="D5146" s="6" t="s">
        <v>14</v>
      </c>
      <c r="E5146" s="6" t="s">
        <v>434</v>
      </c>
      <c r="F5146" s="6">
        <v>9.322718254E9</v>
      </c>
    </row>
    <row r="5147" ht="15.75" customHeight="1">
      <c r="A5147" s="6" t="s">
        <v>2702</v>
      </c>
      <c r="B5147" s="6" t="s">
        <v>4921</v>
      </c>
      <c r="C5147" s="6" t="s">
        <v>4922</v>
      </c>
      <c r="D5147" s="6" t="s">
        <v>26</v>
      </c>
      <c r="E5147" s="6" t="s">
        <v>4923</v>
      </c>
      <c r="F5147" s="6">
        <v>9.988005531E9</v>
      </c>
    </row>
    <row r="5148" ht="15.75" customHeight="1">
      <c r="A5148" s="6" t="s">
        <v>4924</v>
      </c>
      <c r="B5148" s="6" t="s">
        <v>4925</v>
      </c>
      <c r="C5148" s="6" t="s">
        <v>4926</v>
      </c>
      <c r="D5148" s="6" t="s">
        <v>14</v>
      </c>
      <c r="E5148" s="6" t="s">
        <v>4927</v>
      </c>
      <c r="F5148" s="6">
        <v>8.284922776E9</v>
      </c>
    </row>
    <row r="5149" ht="15.75" customHeight="1">
      <c r="A5149" s="6" t="s">
        <v>4928</v>
      </c>
      <c r="B5149" s="6" t="s">
        <v>4862</v>
      </c>
      <c r="C5149" s="6" t="s">
        <v>4929</v>
      </c>
      <c r="D5149" s="6" t="s">
        <v>56</v>
      </c>
      <c r="E5149" s="6" t="s">
        <v>4276</v>
      </c>
      <c r="F5149" s="6">
        <v>9.86617714E9</v>
      </c>
    </row>
    <row r="5150" ht="15.75" customHeight="1">
      <c r="A5150" s="6" t="s">
        <v>4930</v>
      </c>
      <c r="B5150" s="6" t="s">
        <v>4931</v>
      </c>
      <c r="C5150" s="6" t="s">
        <v>4932</v>
      </c>
      <c r="D5150" s="6" t="s">
        <v>56</v>
      </c>
      <c r="E5150" s="6" t="s">
        <v>4276</v>
      </c>
      <c r="F5150" s="6">
        <v>9.959790831E9</v>
      </c>
    </row>
    <row r="5151" ht="15.75" customHeight="1">
      <c r="A5151" s="6" t="s">
        <v>4933</v>
      </c>
      <c r="B5151" s="6" t="s">
        <v>145</v>
      </c>
      <c r="C5151" s="6" t="s">
        <v>4934</v>
      </c>
      <c r="D5151" s="6" t="s">
        <v>26</v>
      </c>
      <c r="E5151" s="6" t="s">
        <v>4587</v>
      </c>
      <c r="F5151" s="6">
        <v>7.909930837E9</v>
      </c>
    </row>
    <row r="5152" ht="15.75" customHeight="1">
      <c r="A5152" s="6" t="s">
        <v>4888</v>
      </c>
      <c r="B5152" s="6" t="s">
        <v>4889</v>
      </c>
      <c r="C5152" s="6" t="s">
        <v>4935</v>
      </c>
      <c r="D5152" s="6" t="s">
        <v>14</v>
      </c>
      <c r="E5152" s="6" t="s">
        <v>4891</v>
      </c>
      <c r="F5152" s="6">
        <v>9.6429809E9</v>
      </c>
    </row>
    <row r="5153" ht="15.75" customHeight="1">
      <c r="A5153" s="6" t="s">
        <v>163</v>
      </c>
      <c r="B5153" s="6" t="s">
        <v>150</v>
      </c>
      <c r="C5153" s="6" t="s">
        <v>4936</v>
      </c>
      <c r="D5153" s="6" t="s">
        <v>26</v>
      </c>
      <c r="E5153" s="6" t="s">
        <v>2115</v>
      </c>
      <c r="F5153" s="6">
        <v>8.961510959E9</v>
      </c>
    </row>
    <row r="5154" ht="15.75" customHeight="1">
      <c r="A5154" s="6" t="s">
        <v>4937</v>
      </c>
      <c r="B5154" s="6" t="s">
        <v>1090</v>
      </c>
      <c r="C5154" s="6" t="s">
        <v>4938</v>
      </c>
      <c r="D5154" s="6" t="s">
        <v>14</v>
      </c>
      <c r="E5154" s="6" t="s">
        <v>4015</v>
      </c>
      <c r="F5154" s="6">
        <v>9.711336624E9</v>
      </c>
    </row>
    <row r="5155" ht="15.75" customHeight="1">
      <c r="A5155" s="6" t="s">
        <v>4939</v>
      </c>
      <c r="B5155" s="6" t="s">
        <v>4940</v>
      </c>
      <c r="C5155" s="6" t="s">
        <v>4275</v>
      </c>
      <c r="D5155" s="6" t="s">
        <v>9</v>
      </c>
      <c r="E5155" s="6" t="s">
        <v>4941</v>
      </c>
      <c r="F5155" s="6">
        <v>9.849007869E9</v>
      </c>
    </row>
    <row r="5156" ht="15.75" customHeight="1">
      <c r="A5156" s="6" t="s">
        <v>4942</v>
      </c>
      <c r="B5156" s="6" t="s">
        <v>2808</v>
      </c>
      <c r="C5156" s="6" t="s">
        <v>4943</v>
      </c>
      <c r="D5156" s="6" t="s">
        <v>4944</v>
      </c>
      <c r="E5156" s="6" t="s">
        <v>3105</v>
      </c>
      <c r="F5156" s="6">
        <v>8.892332629E9</v>
      </c>
    </row>
    <row r="5157" ht="15.75" customHeight="1">
      <c r="A5157" s="6" t="s">
        <v>24</v>
      </c>
      <c r="B5157" s="6" t="s">
        <v>4945</v>
      </c>
      <c r="C5157" s="6" t="s">
        <v>4946</v>
      </c>
      <c r="D5157" s="6" t="s">
        <v>14</v>
      </c>
      <c r="E5157" s="6" t="s">
        <v>4947</v>
      </c>
      <c r="F5157" s="6">
        <v>9.654008525E9</v>
      </c>
    </row>
    <row r="5158" ht="15.75" customHeight="1">
      <c r="A5158" s="6" t="s">
        <v>1333</v>
      </c>
      <c r="B5158" s="6" t="s">
        <v>4948</v>
      </c>
      <c r="C5158" s="6" t="s">
        <v>4949</v>
      </c>
      <c r="D5158" s="6" t="s">
        <v>9</v>
      </c>
      <c r="E5158" s="6" t="s">
        <v>4358</v>
      </c>
      <c r="F5158" s="6">
        <v>8.827001473E9</v>
      </c>
    </row>
    <row r="5159" ht="15.75" customHeight="1">
      <c r="A5159" s="6" t="s">
        <v>4950</v>
      </c>
      <c r="B5159" s="6" t="s">
        <v>3066</v>
      </c>
      <c r="C5159" s="6" t="s">
        <v>4783</v>
      </c>
      <c r="D5159" s="6" t="s">
        <v>102</v>
      </c>
      <c r="E5159" s="6" t="s">
        <v>494</v>
      </c>
      <c r="F5159" s="6">
        <v>9.21126233E9</v>
      </c>
    </row>
    <row r="5160" ht="15.75" customHeight="1">
      <c r="A5160" s="6" t="s">
        <v>67</v>
      </c>
      <c r="B5160" s="6" t="s">
        <v>1658</v>
      </c>
      <c r="C5160" s="6" t="s">
        <v>4483</v>
      </c>
      <c r="D5160" s="6" t="s">
        <v>29</v>
      </c>
      <c r="E5160" s="6" t="s">
        <v>1102</v>
      </c>
      <c r="F5160" s="6">
        <v>9.811697926E9</v>
      </c>
    </row>
    <row r="5161" ht="15.75" customHeight="1">
      <c r="A5161" s="6" t="s">
        <v>3531</v>
      </c>
      <c r="B5161" s="6" t="s">
        <v>1235</v>
      </c>
      <c r="C5161" s="6" t="s">
        <v>4483</v>
      </c>
      <c r="D5161" s="6" t="s">
        <v>29</v>
      </c>
      <c r="E5161" s="6" t="s">
        <v>494</v>
      </c>
      <c r="F5161" s="6">
        <v>8.851359178E9</v>
      </c>
    </row>
    <row r="5162" ht="15.75" customHeight="1">
      <c r="A5162" s="6" t="s">
        <v>4951</v>
      </c>
      <c r="B5162" s="6" t="s">
        <v>4952</v>
      </c>
      <c r="C5162" s="6" t="s">
        <v>4953</v>
      </c>
      <c r="D5162" s="6" t="s">
        <v>44</v>
      </c>
      <c r="E5162" s="6" t="s">
        <v>494</v>
      </c>
      <c r="F5162" s="6">
        <v>9.71791133E9</v>
      </c>
    </row>
    <row r="5163" ht="15.75" customHeight="1">
      <c r="A5163" s="6" t="s">
        <v>730</v>
      </c>
      <c r="B5163" s="6" t="s">
        <v>4954</v>
      </c>
      <c r="C5163" s="6" t="s">
        <v>4955</v>
      </c>
      <c r="D5163" s="6" t="s">
        <v>9</v>
      </c>
      <c r="E5163" s="6" t="s">
        <v>4212</v>
      </c>
      <c r="F5163" s="6">
        <v>8.448824626E9</v>
      </c>
    </row>
    <row r="5164" ht="15.75" customHeight="1">
      <c r="A5164" s="6" t="s">
        <v>4956</v>
      </c>
      <c r="B5164" s="6" t="s">
        <v>4957</v>
      </c>
      <c r="C5164" s="6" t="s">
        <v>4958</v>
      </c>
      <c r="D5164" s="6" t="s">
        <v>9</v>
      </c>
      <c r="E5164" s="6" t="s">
        <v>4212</v>
      </c>
      <c r="F5164" s="6">
        <v>9.911212889E9</v>
      </c>
    </row>
    <row r="5165" ht="15.75" customHeight="1">
      <c r="A5165" s="6" t="s">
        <v>4054</v>
      </c>
      <c r="B5165" s="6" t="s">
        <v>382</v>
      </c>
      <c r="C5165" s="6" t="s">
        <v>4483</v>
      </c>
      <c r="D5165" s="6" t="s">
        <v>9</v>
      </c>
      <c r="E5165" s="6" t="s">
        <v>1102</v>
      </c>
      <c r="F5165" s="6">
        <v>7.82744437E9</v>
      </c>
    </row>
    <row r="5166" ht="15.75" customHeight="1">
      <c r="A5166" s="6" t="s">
        <v>2822</v>
      </c>
      <c r="B5166" s="6" t="s">
        <v>4959</v>
      </c>
      <c r="C5166" s="6" t="s">
        <v>4960</v>
      </c>
      <c r="D5166" s="6" t="s">
        <v>9</v>
      </c>
      <c r="E5166" s="6" t="s">
        <v>4961</v>
      </c>
      <c r="F5166" s="6">
        <v>9.729342411E9</v>
      </c>
    </row>
    <row r="5167" ht="15.75" customHeight="1">
      <c r="A5167" s="6" t="s">
        <v>124</v>
      </c>
      <c r="B5167" s="6" t="s">
        <v>4962</v>
      </c>
      <c r="C5167" s="6" t="s">
        <v>4845</v>
      </c>
      <c r="D5167" s="6" t="s">
        <v>14</v>
      </c>
      <c r="E5167" s="6" t="s">
        <v>4963</v>
      </c>
      <c r="F5167" s="6">
        <v>7.838447455E9</v>
      </c>
    </row>
    <row r="5168" ht="15.75" customHeight="1">
      <c r="A5168" s="6" t="s">
        <v>4964</v>
      </c>
      <c r="B5168" s="6" t="s">
        <v>924</v>
      </c>
      <c r="C5168" s="6" t="s">
        <v>4965</v>
      </c>
      <c r="D5168" s="6" t="s">
        <v>9</v>
      </c>
      <c r="E5168" s="6" t="s">
        <v>4625</v>
      </c>
      <c r="F5168" s="6">
        <v>9.992452677E9</v>
      </c>
    </row>
    <row r="5169" ht="15.75" customHeight="1">
      <c r="A5169" s="6" t="s">
        <v>4966</v>
      </c>
      <c r="B5169" s="6" t="s">
        <v>4967</v>
      </c>
      <c r="C5169" s="6" t="s">
        <v>4483</v>
      </c>
      <c r="D5169" s="6" t="s">
        <v>26</v>
      </c>
      <c r="E5169" s="6" t="s">
        <v>494</v>
      </c>
      <c r="F5169" s="6">
        <v>9.21380701E9</v>
      </c>
    </row>
    <row r="5170" ht="15.75" customHeight="1">
      <c r="A5170" s="6" t="s">
        <v>1340</v>
      </c>
      <c r="B5170" s="6" t="s">
        <v>50</v>
      </c>
      <c r="C5170" s="6" t="s">
        <v>4968</v>
      </c>
      <c r="D5170" s="6" t="s">
        <v>9</v>
      </c>
      <c r="E5170" s="6" t="s">
        <v>4625</v>
      </c>
      <c r="F5170" s="6">
        <v>9.98270524E9</v>
      </c>
    </row>
    <row r="5171" ht="15.75" customHeight="1">
      <c r="A5171" s="6" t="s">
        <v>4969</v>
      </c>
      <c r="B5171" s="6" t="s">
        <v>301</v>
      </c>
      <c r="C5171" s="6" t="s">
        <v>4970</v>
      </c>
      <c r="D5171" s="6" t="s">
        <v>9</v>
      </c>
      <c r="E5171" s="6" t="s">
        <v>4971</v>
      </c>
      <c r="F5171" s="6">
        <v>8.682972727E9</v>
      </c>
    </row>
    <row r="5172" ht="15.75" customHeight="1">
      <c r="A5172" s="6" t="s">
        <v>4972</v>
      </c>
      <c r="B5172" s="6" t="s">
        <v>145</v>
      </c>
      <c r="C5172" s="6" t="s">
        <v>4973</v>
      </c>
      <c r="D5172" s="6" t="s">
        <v>14</v>
      </c>
      <c r="E5172" s="6" t="s">
        <v>421</v>
      </c>
      <c r="F5172" s="6">
        <v>8.056091733E9</v>
      </c>
    </row>
    <row r="5173" ht="15.75" customHeight="1">
      <c r="A5173" s="6" t="s">
        <v>2592</v>
      </c>
      <c r="B5173" s="6" t="s">
        <v>4613</v>
      </c>
      <c r="C5173" s="6" t="s">
        <v>576</v>
      </c>
      <c r="D5173" s="6" t="s">
        <v>14</v>
      </c>
      <c r="E5173" s="6" t="s">
        <v>4015</v>
      </c>
      <c r="F5173" s="6">
        <v>9.31162679E9</v>
      </c>
    </row>
    <row r="5174" ht="15.75" customHeight="1">
      <c r="A5174" s="6" t="s">
        <v>4974</v>
      </c>
      <c r="B5174" s="6" t="s">
        <v>4975</v>
      </c>
      <c r="C5174" s="6" t="s">
        <v>4976</v>
      </c>
      <c r="D5174" s="6" t="s">
        <v>14</v>
      </c>
      <c r="E5174" s="6" t="s">
        <v>494</v>
      </c>
      <c r="F5174" s="6">
        <v>9.910298944E9</v>
      </c>
    </row>
    <row r="5175" ht="15.75" customHeight="1">
      <c r="A5175" s="6" t="s">
        <v>4977</v>
      </c>
      <c r="B5175" s="6" t="s">
        <v>4978</v>
      </c>
      <c r="C5175" s="6" t="s">
        <v>4979</v>
      </c>
      <c r="D5175" s="6" t="s">
        <v>44</v>
      </c>
      <c r="E5175" s="6" t="s">
        <v>4980</v>
      </c>
      <c r="F5175" s="6">
        <v>7.249836956E9</v>
      </c>
    </row>
    <row r="5176" ht="15.75" customHeight="1">
      <c r="A5176" s="6" t="s">
        <v>4981</v>
      </c>
      <c r="B5176" s="6" t="s">
        <v>4982</v>
      </c>
      <c r="C5176" s="6" t="s">
        <v>4983</v>
      </c>
      <c r="D5176" s="6" t="s">
        <v>14</v>
      </c>
      <c r="E5176" s="6" t="s">
        <v>4015</v>
      </c>
      <c r="F5176" s="6">
        <v>9.711026777E9</v>
      </c>
    </row>
    <row r="5177" ht="15.75" customHeight="1">
      <c r="A5177" s="6" t="s">
        <v>33</v>
      </c>
      <c r="B5177" s="6" t="s">
        <v>4696</v>
      </c>
      <c r="C5177" s="6" t="s">
        <v>4783</v>
      </c>
      <c r="D5177" s="6" t="s">
        <v>29</v>
      </c>
      <c r="E5177" s="6" t="s">
        <v>1102</v>
      </c>
      <c r="F5177" s="6">
        <v>8.58687901E9</v>
      </c>
    </row>
    <row r="5178" ht="15.75" customHeight="1">
      <c r="A5178" s="6" t="s">
        <v>4984</v>
      </c>
      <c r="B5178" s="6" t="s">
        <v>63</v>
      </c>
      <c r="C5178" s="6" t="s">
        <v>4483</v>
      </c>
      <c r="D5178" s="6" t="s">
        <v>26</v>
      </c>
      <c r="E5178" s="6" t="s">
        <v>494</v>
      </c>
      <c r="F5178" s="6">
        <v>9.871276126E9</v>
      </c>
    </row>
    <row r="5179" ht="15.75" customHeight="1">
      <c r="A5179" s="6" t="s">
        <v>680</v>
      </c>
      <c r="B5179" s="6" t="s">
        <v>68</v>
      </c>
      <c r="C5179" s="6" t="s">
        <v>4483</v>
      </c>
      <c r="D5179" s="6" t="s">
        <v>26</v>
      </c>
      <c r="E5179" s="6" t="s">
        <v>1102</v>
      </c>
      <c r="F5179" s="6">
        <v>9.87363397E9</v>
      </c>
    </row>
    <row r="5180" ht="15.75" customHeight="1">
      <c r="A5180" s="6" t="s">
        <v>2377</v>
      </c>
      <c r="B5180" s="6" t="s">
        <v>65</v>
      </c>
      <c r="C5180" s="6" t="s">
        <v>4783</v>
      </c>
      <c r="D5180" s="6" t="s">
        <v>9</v>
      </c>
      <c r="E5180" s="6" t="s">
        <v>494</v>
      </c>
      <c r="F5180" s="6">
        <v>7.683057987E9</v>
      </c>
    </row>
    <row r="5181" ht="15.75" customHeight="1">
      <c r="A5181" s="6" t="s">
        <v>1896</v>
      </c>
      <c r="B5181" s="6" t="s">
        <v>4985</v>
      </c>
      <c r="C5181" s="6" t="s">
        <v>4483</v>
      </c>
      <c r="D5181" s="6" t="s">
        <v>9</v>
      </c>
      <c r="E5181" s="6" t="s">
        <v>494</v>
      </c>
      <c r="F5181" s="6">
        <v>8.368416262E9</v>
      </c>
    </row>
    <row r="5182" ht="15.75" customHeight="1">
      <c r="A5182" s="6" t="s">
        <v>189</v>
      </c>
      <c r="B5182" s="6" t="s">
        <v>4986</v>
      </c>
      <c r="C5182" s="6" t="s">
        <v>4783</v>
      </c>
      <c r="D5182" s="6" t="s">
        <v>56</v>
      </c>
      <c r="E5182" s="6" t="s">
        <v>1095</v>
      </c>
      <c r="F5182" s="6">
        <v>9.711441221E9</v>
      </c>
    </row>
    <row r="5183" ht="15.75" customHeight="1">
      <c r="A5183" s="6" t="s">
        <v>528</v>
      </c>
      <c r="B5183" s="6" t="s">
        <v>4987</v>
      </c>
      <c r="C5183" s="6" t="s">
        <v>4483</v>
      </c>
      <c r="D5183" s="6" t="s">
        <v>9</v>
      </c>
      <c r="E5183" s="6" t="s">
        <v>1102</v>
      </c>
      <c r="F5183" s="6">
        <v>9.1971766653E11</v>
      </c>
    </row>
    <row r="5184" ht="15.75" customHeight="1">
      <c r="A5184" s="6" t="s">
        <v>4459</v>
      </c>
      <c r="B5184" s="6" t="s">
        <v>4988</v>
      </c>
      <c r="C5184" s="6" t="s">
        <v>4483</v>
      </c>
      <c r="D5184" s="6" t="s">
        <v>29</v>
      </c>
      <c r="E5184" s="6" t="s">
        <v>494</v>
      </c>
      <c r="F5184" s="6">
        <v>9.213516143E9</v>
      </c>
    </row>
    <row r="5185" ht="15.75" customHeight="1">
      <c r="A5185" s="6" t="s">
        <v>1914</v>
      </c>
      <c r="B5185" s="6" t="s">
        <v>1999</v>
      </c>
      <c r="C5185" s="6" t="s">
        <v>4989</v>
      </c>
      <c r="D5185" s="6" t="s">
        <v>9</v>
      </c>
      <c r="E5185" s="6" t="s">
        <v>4990</v>
      </c>
      <c r="F5185" s="6">
        <v>7.2259554E9</v>
      </c>
    </row>
    <row r="5186" ht="15.75" customHeight="1">
      <c r="A5186" s="6" t="s">
        <v>1401</v>
      </c>
      <c r="B5186" s="6" t="s">
        <v>47</v>
      </c>
      <c r="C5186" s="6" t="s">
        <v>4483</v>
      </c>
      <c r="D5186" s="6" t="s">
        <v>56</v>
      </c>
      <c r="E5186" s="6" t="s">
        <v>4015</v>
      </c>
      <c r="F5186" s="6">
        <v>8.368140533E9</v>
      </c>
    </row>
    <row r="5187" ht="15.75" customHeight="1">
      <c r="A5187" s="6" t="s">
        <v>491</v>
      </c>
      <c r="B5187" s="6" t="s">
        <v>3352</v>
      </c>
      <c r="C5187" s="6" t="s">
        <v>4783</v>
      </c>
      <c r="D5187" s="6" t="s">
        <v>26</v>
      </c>
      <c r="E5187" s="6" t="s">
        <v>494</v>
      </c>
      <c r="F5187" s="6">
        <v>8.287155375E9</v>
      </c>
    </row>
    <row r="5188" ht="15.75" customHeight="1">
      <c r="A5188" s="6" t="s">
        <v>1752</v>
      </c>
      <c r="B5188" s="6" t="s">
        <v>4991</v>
      </c>
      <c r="C5188" s="6" t="s">
        <v>4992</v>
      </c>
      <c r="D5188" s="6" t="s">
        <v>56</v>
      </c>
      <c r="E5188" s="6" t="s">
        <v>4358</v>
      </c>
      <c r="F5188" s="6">
        <v>6.260192896E9</v>
      </c>
    </row>
    <row r="5189" ht="15.75" customHeight="1">
      <c r="A5189" s="6" t="s">
        <v>4993</v>
      </c>
      <c r="B5189" s="6" t="s">
        <v>4994</v>
      </c>
      <c r="C5189" s="6" t="s">
        <v>4995</v>
      </c>
      <c r="D5189" s="6" t="s">
        <v>102</v>
      </c>
      <c r="E5189" s="6" t="s">
        <v>4358</v>
      </c>
      <c r="F5189" s="6">
        <v>8.962779063E9</v>
      </c>
    </row>
    <row r="5190" ht="15.75" customHeight="1">
      <c r="A5190" s="6" t="s">
        <v>4996</v>
      </c>
      <c r="B5190" s="6" t="s">
        <v>2217</v>
      </c>
      <c r="C5190" s="6" t="s">
        <v>4997</v>
      </c>
      <c r="D5190" s="6" t="s">
        <v>102</v>
      </c>
      <c r="E5190" s="6" t="s">
        <v>4358</v>
      </c>
      <c r="F5190" s="6">
        <v>8.839802644E9</v>
      </c>
    </row>
    <row r="5191" ht="15.75" customHeight="1">
      <c r="A5191" s="6" t="s">
        <v>4998</v>
      </c>
      <c r="B5191" s="6" t="s">
        <v>1831</v>
      </c>
      <c r="C5191" s="6" t="s">
        <v>4738</v>
      </c>
      <c r="D5191" s="6" t="s">
        <v>44</v>
      </c>
      <c r="E5191" s="6" t="s">
        <v>4015</v>
      </c>
      <c r="F5191" s="6">
        <v>9.354240693E9</v>
      </c>
    </row>
    <row r="5192" ht="15.75" customHeight="1">
      <c r="A5192" s="6" t="s">
        <v>3642</v>
      </c>
      <c r="B5192" s="6" t="s">
        <v>4999</v>
      </c>
      <c r="C5192" s="6" t="s">
        <v>5000</v>
      </c>
      <c r="D5192" s="6" t="s">
        <v>9</v>
      </c>
      <c r="E5192" s="6" t="s">
        <v>4571</v>
      </c>
      <c r="F5192" s="6">
        <v>9.116664179E9</v>
      </c>
    </row>
    <row r="5193" ht="15.75" customHeight="1">
      <c r="A5193" s="6" t="s">
        <v>1865</v>
      </c>
      <c r="B5193" s="6" t="s">
        <v>5001</v>
      </c>
      <c r="C5193" s="6" t="s">
        <v>5002</v>
      </c>
      <c r="D5193" s="6" t="s">
        <v>44</v>
      </c>
      <c r="E5193" s="6" t="s">
        <v>5003</v>
      </c>
      <c r="F5193" s="6">
        <v>9.717487259E9</v>
      </c>
    </row>
    <row r="5194" ht="15.75" customHeight="1">
      <c r="A5194" s="6" t="s">
        <v>5004</v>
      </c>
      <c r="B5194" s="6" t="s">
        <v>75</v>
      </c>
      <c r="C5194" s="6" t="s">
        <v>5005</v>
      </c>
      <c r="D5194" s="6" t="s">
        <v>56</v>
      </c>
      <c r="E5194" s="6" t="s">
        <v>4015</v>
      </c>
      <c r="F5194" s="6" t="str">
        <f>+91 99108 81447</f>
        <v>#ERROR!</v>
      </c>
    </row>
    <row r="5195" ht="15.75" customHeight="1">
      <c r="A5195" s="6" t="s">
        <v>213</v>
      </c>
      <c r="B5195" s="6" t="s">
        <v>5006</v>
      </c>
      <c r="C5195" s="6" t="s">
        <v>5007</v>
      </c>
      <c r="D5195" s="6" t="s">
        <v>102</v>
      </c>
      <c r="E5195" s="6" t="s">
        <v>4779</v>
      </c>
      <c r="F5195" s="6">
        <v>8.349384477E9</v>
      </c>
    </row>
    <row r="5196" ht="15.75" customHeight="1">
      <c r="A5196" s="6" t="s">
        <v>146</v>
      </c>
      <c r="B5196" s="6" t="s">
        <v>1090</v>
      </c>
      <c r="C5196" s="6" t="s">
        <v>5008</v>
      </c>
      <c r="D5196" s="6" t="s">
        <v>44</v>
      </c>
      <c r="E5196" s="6" t="s">
        <v>4015</v>
      </c>
      <c r="F5196" s="6">
        <v>9.89177826E9</v>
      </c>
    </row>
    <row r="5197" ht="15.75" customHeight="1">
      <c r="A5197" s="6" t="s">
        <v>4505</v>
      </c>
      <c r="B5197" s="6" t="s">
        <v>63</v>
      </c>
      <c r="C5197" s="6" t="s">
        <v>4976</v>
      </c>
      <c r="D5197" s="6" t="s">
        <v>56</v>
      </c>
      <c r="E5197" s="6" t="s">
        <v>4015</v>
      </c>
      <c r="F5197" s="6">
        <v>9.910436704E9</v>
      </c>
    </row>
    <row r="5198" ht="15.75" customHeight="1">
      <c r="A5198" s="6" t="s">
        <v>5009</v>
      </c>
      <c r="B5198" s="6" t="s">
        <v>108</v>
      </c>
      <c r="C5198" s="6" t="s">
        <v>4741</v>
      </c>
      <c r="D5198" s="6" t="s">
        <v>44</v>
      </c>
      <c r="E5198" s="6" t="s">
        <v>4015</v>
      </c>
      <c r="F5198" s="6">
        <v>8.222800298E9</v>
      </c>
    </row>
    <row r="5199" ht="15.75" customHeight="1">
      <c r="A5199" s="6" t="s">
        <v>5010</v>
      </c>
      <c r="B5199" s="6" t="s">
        <v>5011</v>
      </c>
      <c r="C5199" s="6" t="s">
        <v>5012</v>
      </c>
      <c r="D5199" s="6" t="s">
        <v>56</v>
      </c>
      <c r="E5199" s="6" t="s">
        <v>4015</v>
      </c>
      <c r="F5199" s="6">
        <v>9.868875549E9</v>
      </c>
    </row>
    <row r="5200" ht="15.75" customHeight="1">
      <c r="A5200" s="6" t="s">
        <v>446</v>
      </c>
      <c r="B5200" s="6" t="s">
        <v>5013</v>
      </c>
      <c r="C5200" s="6" t="s">
        <v>4845</v>
      </c>
      <c r="D5200" s="6" t="s">
        <v>44</v>
      </c>
      <c r="E5200" s="6" t="s">
        <v>4015</v>
      </c>
      <c r="F5200" s="6">
        <v>9.971103338E9</v>
      </c>
    </row>
    <row r="5201" ht="15.75" customHeight="1">
      <c r="A5201" s="6" t="s">
        <v>2003</v>
      </c>
      <c r="B5201" s="6" t="s">
        <v>4229</v>
      </c>
      <c r="C5201" s="6" t="s">
        <v>5014</v>
      </c>
      <c r="D5201" s="6" t="s">
        <v>29</v>
      </c>
      <c r="E5201" s="6" t="s">
        <v>4769</v>
      </c>
      <c r="F5201" s="6">
        <v>8.708638153E9</v>
      </c>
    </row>
    <row r="5202" ht="15.75" customHeight="1">
      <c r="A5202" s="6" t="s">
        <v>5015</v>
      </c>
      <c r="B5202" s="6" t="s">
        <v>75</v>
      </c>
      <c r="C5202" s="6" t="s">
        <v>5016</v>
      </c>
      <c r="D5202" s="6" t="s">
        <v>56</v>
      </c>
      <c r="E5202" s="6" t="s">
        <v>5017</v>
      </c>
      <c r="F5202" s="6">
        <v>9.34747389E9</v>
      </c>
    </row>
    <row r="5203" ht="15.75" customHeight="1">
      <c r="A5203" s="6" t="s">
        <v>3773</v>
      </c>
      <c r="B5203" s="6" t="s">
        <v>5018</v>
      </c>
      <c r="C5203" s="6" t="s">
        <v>5019</v>
      </c>
      <c r="D5203" s="6" t="s">
        <v>14</v>
      </c>
      <c r="E5203" s="6" t="s">
        <v>4015</v>
      </c>
      <c r="F5203" s="6">
        <v>9.560701186E9</v>
      </c>
    </row>
    <row r="5204" ht="15.75" customHeight="1">
      <c r="A5204" s="6" t="s">
        <v>4505</v>
      </c>
      <c r="B5204" s="6" t="s">
        <v>5020</v>
      </c>
      <c r="C5204" s="6" t="s">
        <v>5021</v>
      </c>
      <c r="D5204" s="6" t="s">
        <v>26</v>
      </c>
      <c r="E5204" s="6" t="s">
        <v>1102</v>
      </c>
      <c r="F5204" s="6">
        <v>9.212054234E9</v>
      </c>
    </row>
    <row r="5205" ht="15.75" customHeight="1">
      <c r="A5205" s="6" t="s">
        <v>2331</v>
      </c>
      <c r="B5205" s="6" t="s">
        <v>4008</v>
      </c>
      <c r="C5205" s="6" t="s">
        <v>160</v>
      </c>
      <c r="D5205" s="6" t="s">
        <v>9</v>
      </c>
      <c r="E5205" s="6" t="s">
        <v>4007</v>
      </c>
      <c r="F5205" s="6">
        <v>9.354333248E9</v>
      </c>
    </row>
    <row r="5206" ht="15.75" customHeight="1">
      <c r="A5206" s="6" t="s">
        <v>5022</v>
      </c>
      <c r="B5206" s="6" t="s">
        <v>5023</v>
      </c>
      <c r="C5206" s="6" t="s">
        <v>5024</v>
      </c>
      <c r="D5206" s="6" t="s">
        <v>44</v>
      </c>
      <c r="E5206" s="6" t="s">
        <v>4276</v>
      </c>
      <c r="F5206" s="6">
        <v>7.989810297E9</v>
      </c>
    </row>
    <row r="5207" ht="15.75" customHeight="1">
      <c r="A5207" s="6" t="s">
        <v>5025</v>
      </c>
      <c r="B5207" s="6" t="s">
        <v>4921</v>
      </c>
      <c r="C5207" s="6" t="s">
        <v>5026</v>
      </c>
      <c r="D5207" s="6" t="s">
        <v>9</v>
      </c>
      <c r="E5207" s="6" t="s">
        <v>494</v>
      </c>
      <c r="F5207" s="6">
        <v>7.982296858E9</v>
      </c>
    </row>
    <row r="5208" ht="15.75" customHeight="1">
      <c r="A5208" s="6" t="s">
        <v>5027</v>
      </c>
      <c r="B5208" s="6" t="s">
        <v>4840</v>
      </c>
      <c r="C5208" s="6" t="s">
        <v>5028</v>
      </c>
      <c r="D5208" s="6" t="s">
        <v>26</v>
      </c>
      <c r="E5208" s="6" t="s">
        <v>5029</v>
      </c>
      <c r="F5208" s="6">
        <v>9.211034275E9</v>
      </c>
    </row>
    <row r="5209" ht="15.75" customHeight="1">
      <c r="A5209" s="6" t="s">
        <v>3028</v>
      </c>
      <c r="B5209" s="6" t="s">
        <v>108</v>
      </c>
      <c r="C5209" s="6" t="s">
        <v>160</v>
      </c>
      <c r="D5209" s="6" t="s">
        <v>9</v>
      </c>
      <c r="E5209" s="6" t="s">
        <v>4007</v>
      </c>
      <c r="F5209" s="6">
        <v>9.818687433E9</v>
      </c>
    </row>
    <row r="5210" ht="15.75" customHeight="1">
      <c r="A5210" s="6" t="s">
        <v>400</v>
      </c>
      <c r="B5210" s="6" t="s">
        <v>1466</v>
      </c>
      <c r="C5210" s="6" t="s">
        <v>5030</v>
      </c>
      <c r="D5210" s="6" t="s">
        <v>9</v>
      </c>
      <c r="E5210" s="6" t="s">
        <v>4007</v>
      </c>
      <c r="F5210" s="6">
        <v>8.375991928E9</v>
      </c>
    </row>
    <row r="5211" ht="15.75" customHeight="1">
      <c r="A5211" s="6" t="s">
        <v>5031</v>
      </c>
      <c r="B5211" s="6" t="s">
        <v>5032</v>
      </c>
      <c r="C5211" s="6" t="s">
        <v>4360</v>
      </c>
      <c r="D5211" s="6" t="s">
        <v>56</v>
      </c>
      <c r="E5211" s="6" t="s">
        <v>494</v>
      </c>
      <c r="F5211" s="6">
        <v>9.530571348E9</v>
      </c>
    </row>
    <row r="5212" ht="15.75" customHeight="1">
      <c r="A5212" s="6" t="s">
        <v>5033</v>
      </c>
      <c r="B5212" s="6" t="s">
        <v>5033</v>
      </c>
      <c r="C5212" s="6" t="s">
        <v>5033</v>
      </c>
      <c r="D5212" s="6" t="s">
        <v>102</v>
      </c>
      <c r="E5212" s="6" t="s">
        <v>5033</v>
      </c>
      <c r="F5212" s="6">
        <v>1.212211451E9</v>
      </c>
    </row>
    <row r="5213" ht="15.75" customHeight="1">
      <c r="A5213" s="6" t="s">
        <v>5034</v>
      </c>
      <c r="B5213" s="6" t="s">
        <v>5035</v>
      </c>
      <c r="C5213" s="6" t="s">
        <v>5036</v>
      </c>
      <c r="D5213" s="6" t="s">
        <v>44</v>
      </c>
      <c r="E5213" s="6" t="s">
        <v>3105</v>
      </c>
      <c r="F5213" s="6">
        <v>9.019831224E9</v>
      </c>
    </row>
    <row r="5214" ht="15.75" customHeight="1">
      <c r="A5214" s="6" t="s">
        <v>3355</v>
      </c>
      <c r="B5214" s="6" t="s">
        <v>3015</v>
      </c>
      <c r="C5214" s="6" t="s">
        <v>5037</v>
      </c>
      <c r="D5214" s="6" t="s">
        <v>29</v>
      </c>
      <c r="E5214" s="6" t="s">
        <v>1102</v>
      </c>
      <c r="F5214" s="6">
        <v>9.810117732E9</v>
      </c>
    </row>
    <row r="5215" ht="15.75" customHeight="1">
      <c r="A5215" s="6" t="s">
        <v>5038</v>
      </c>
      <c r="B5215" s="6" t="s">
        <v>1419</v>
      </c>
      <c r="C5215" s="6" t="s">
        <v>4905</v>
      </c>
      <c r="D5215" s="6" t="s">
        <v>29</v>
      </c>
      <c r="E5215" s="6" t="s">
        <v>4015</v>
      </c>
      <c r="F5215" s="6">
        <v>9.582970397E9</v>
      </c>
    </row>
    <row r="5216" ht="15.75" customHeight="1">
      <c r="A5216" s="6" t="s">
        <v>5039</v>
      </c>
      <c r="B5216" s="6" t="s">
        <v>5040</v>
      </c>
      <c r="C5216" s="6" t="s">
        <v>4406</v>
      </c>
      <c r="D5216" s="6" t="s">
        <v>44</v>
      </c>
      <c r="E5216" s="6" t="s">
        <v>4276</v>
      </c>
      <c r="F5216" s="6">
        <v>7.9815171E9</v>
      </c>
    </row>
    <row r="5217" ht="15.75" customHeight="1">
      <c r="A5217" s="6" t="s">
        <v>5041</v>
      </c>
      <c r="B5217" s="6" t="s">
        <v>5042</v>
      </c>
      <c r="C5217" s="6" t="s">
        <v>5043</v>
      </c>
      <c r="D5217" s="6" t="s">
        <v>14</v>
      </c>
      <c r="E5217" s="6" t="s">
        <v>4963</v>
      </c>
      <c r="F5217" s="6">
        <v>9.81063684E9</v>
      </c>
    </row>
    <row r="5218" ht="15.75" customHeight="1">
      <c r="A5218" s="6" t="s">
        <v>5044</v>
      </c>
      <c r="B5218" s="6" t="s">
        <v>4613</v>
      </c>
      <c r="C5218" s="6" t="s">
        <v>5045</v>
      </c>
      <c r="D5218" s="6" t="s">
        <v>44</v>
      </c>
      <c r="E5218" s="6" t="s">
        <v>4015</v>
      </c>
      <c r="F5218" s="6">
        <v>8.882342923E9</v>
      </c>
    </row>
    <row r="5219" ht="15.75" customHeight="1">
      <c r="A5219" s="6" t="s">
        <v>5046</v>
      </c>
      <c r="B5219" s="6" t="s">
        <v>75</v>
      </c>
      <c r="C5219" s="6" t="s">
        <v>3790</v>
      </c>
      <c r="D5219" s="6" t="s">
        <v>14</v>
      </c>
      <c r="E5219" s="6" t="s">
        <v>4015</v>
      </c>
      <c r="F5219" s="6">
        <v>9.582447947E9</v>
      </c>
    </row>
    <row r="5220" ht="15.75" customHeight="1">
      <c r="A5220" s="6" t="s">
        <v>5047</v>
      </c>
      <c r="B5220" s="6" t="s">
        <v>899</v>
      </c>
      <c r="C5220" s="6" t="s">
        <v>5048</v>
      </c>
      <c r="D5220" s="6" t="s">
        <v>14</v>
      </c>
      <c r="E5220" s="6" t="s">
        <v>4015</v>
      </c>
      <c r="F5220" s="6">
        <v>9.71130816E9</v>
      </c>
    </row>
    <row r="5221" ht="15.75" customHeight="1">
      <c r="A5221" s="6" t="s">
        <v>5049</v>
      </c>
      <c r="B5221" s="6" t="s">
        <v>63</v>
      </c>
      <c r="C5221" s="6" t="s">
        <v>4700</v>
      </c>
      <c r="D5221" s="6" t="s">
        <v>14</v>
      </c>
      <c r="E5221" s="6" t="s">
        <v>4015</v>
      </c>
      <c r="F5221" s="6">
        <v>9.922404044E9</v>
      </c>
    </row>
    <row r="5222" ht="15.75" customHeight="1">
      <c r="A5222" s="6" t="s">
        <v>4998</v>
      </c>
      <c r="B5222" s="6" t="s">
        <v>1831</v>
      </c>
      <c r="C5222" s="6" t="s">
        <v>4845</v>
      </c>
      <c r="D5222" s="6" t="s">
        <v>44</v>
      </c>
      <c r="E5222" s="6" t="s">
        <v>4015</v>
      </c>
      <c r="F5222" s="6">
        <v>9.354240693E9</v>
      </c>
    </row>
    <row r="5223" ht="15.75" customHeight="1">
      <c r="A5223" s="6" t="s">
        <v>33</v>
      </c>
      <c r="B5223" s="6" t="s">
        <v>1999</v>
      </c>
      <c r="C5223" s="6" t="s">
        <v>5050</v>
      </c>
      <c r="D5223" s="6" t="s">
        <v>14</v>
      </c>
      <c r="E5223" s="6" t="s">
        <v>4015</v>
      </c>
      <c r="F5223" s="6">
        <v>9.650670706E9</v>
      </c>
    </row>
    <row r="5224" ht="15.75" customHeight="1">
      <c r="A5224" s="6" t="s">
        <v>4593</v>
      </c>
      <c r="B5224" s="6" t="s">
        <v>5051</v>
      </c>
      <c r="C5224" s="6" t="s">
        <v>5052</v>
      </c>
      <c r="D5224" s="6" t="s">
        <v>14</v>
      </c>
      <c r="E5224" s="6" t="s">
        <v>4015</v>
      </c>
      <c r="F5224" s="6">
        <v>9.158244E9</v>
      </c>
    </row>
    <row r="5225" ht="15.75" customHeight="1">
      <c r="A5225" s="6" t="s">
        <v>5053</v>
      </c>
      <c r="B5225" s="6" t="s">
        <v>65</v>
      </c>
      <c r="C5225" s="6" t="s">
        <v>4976</v>
      </c>
      <c r="D5225" s="6" t="s">
        <v>14</v>
      </c>
      <c r="E5225" s="6" t="s">
        <v>4015</v>
      </c>
      <c r="F5225" s="6">
        <v>9.27800579E9</v>
      </c>
    </row>
    <row r="5226" ht="15.75" customHeight="1">
      <c r="A5226" s="6" t="s">
        <v>5054</v>
      </c>
      <c r="B5226" s="6" t="s">
        <v>63</v>
      </c>
      <c r="C5226" s="6" t="s">
        <v>4778</v>
      </c>
      <c r="D5226" s="6" t="s">
        <v>9</v>
      </c>
      <c r="E5226" s="6" t="s">
        <v>5055</v>
      </c>
      <c r="F5226" s="6">
        <v>6.232140925E9</v>
      </c>
    </row>
    <row r="5227" ht="15.75" customHeight="1">
      <c r="A5227" s="6" t="s">
        <v>5056</v>
      </c>
      <c r="B5227" s="6" t="s">
        <v>899</v>
      </c>
      <c r="C5227" s="6" t="s">
        <v>5057</v>
      </c>
      <c r="D5227" s="6" t="s">
        <v>14</v>
      </c>
      <c r="E5227" s="6" t="s">
        <v>4015</v>
      </c>
      <c r="F5227" s="6">
        <v>9.716358101E9</v>
      </c>
    </row>
    <row r="5228" ht="15.75" customHeight="1">
      <c r="A5228" s="6" t="s">
        <v>2732</v>
      </c>
      <c r="B5228" s="6" t="s">
        <v>654</v>
      </c>
      <c r="C5228" s="6" t="s">
        <v>5058</v>
      </c>
      <c r="D5228" s="6" t="s">
        <v>14</v>
      </c>
      <c r="E5228" s="6" t="s">
        <v>4015</v>
      </c>
      <c r="F5228" s="6">
        <v>9.558985686E9</v>
      </c>
    </row>
    <row r="5229" ht="15.75" customHeight="1">
      <c r="A5229" s="6" t="s">
        <v>5059</v>
      </c>
      <c r="B5229" s="6" t="s">
        <v>5023</v>
      </c>
      <c r="C5229" s="6" t="s">
        <v>4561</v>
      </c>
      <c r="D5229" s="6" t="s">
        <v>14</v>
      </c>
      <c r="E5229" s="6" t="s">
        <v>4276</v>
      </c>
      <c r="F5229" s="6">
        <v>8.143347243E9</v>
      </c>
    </row>
    <row r="5230" ht="15.75" customHeight="1">
      <c r="A5230" s="6" t="s">
        <v>5047</v>
      </c>
      <c r="B5230" s="6" t="s">
        <v>899</v>
      </c>
      <c r="C5230" s="6" t="s">
        <v>5057</v>
      </c>
      <c r="D5230" s="6" t="s">
        <v>14</v>
      </c>
      <c r="E5230" s="6" t="s">
        <v>4015</v>
      </c>
      <c r="F5230" s="6">
        <v>9.716358101E9</v>
      </c>
    </row>
    <row r="5231" ht="15.75" customHeight="1">
      <c r="A5231" s="6" t="s">
        <v>5060</v>
      </c>
      <c r="B5231" s="6" t="s">
        <v>225</v>
      </c>
      <c r="C5231" s="6" t="s">
        <v>4360</v>
      </c>
      <c r="D5231" s="6" t="s">
        <v>29</v>
      </c>
      <c r="E5231" s="6" t="s">
        <v>4015</v>
      </c>
      <c r="F5231" s="6">
        <v>9.910805638E9</v>
      </c>
    </row>
    <row r="5232" ht="15.75" customHeight="1">
      <c r="A5232" s="6" t="s">
        <v>5061</v>
      </c>
      <c r="B5232" s="6" t="s">
        <v>5062</v>
      </c>
      <c r="C5232" s="6" t="s">
        <v>5063</v>
      </c>
      <c r="D5232" s="6" t="s">
        <v>14</v>
      </c>
      <c r="E5232" s="6" t="s">
        <v>195</v>
      </c>
      <c r="F5232" s="6">
        <v>1.23456789E8</v>
      </c>
    </row>
    <row r="5233" ht="15.75" customHeight="1">
      <c r="A5233" s="6" t="s">
        <v>5064</v>
      </c>
      <c r="B5233" s="6" t="s">
        <v>212</v>
      </c>
      <c r="C5233" s="6" t="s">
        <v>5065</v>
      </c>
      <c r="D5233" s="6" t="s">
        <v>14</v>
      </c>
      <c r="E5233" s="6" t="s">
        <v>4927</v>
      </c>
      <c r="F5233" s="6">
        <v>9.311283602E9</v>
      </c>
    </row>
    <row r="5234" ht="15.75" customHeight="1">
      <c r="A5234" s="6" t="s">
        <v>5066</v>
      </c>
      <c r="B5234" s="6" t="s">
        <v>108</v>
      </c>
      <c r="C5234" s="6" t="s">
        <v>412</v>
      </c>
      <c r="D5234" s="6" t="s">
        <v>44</v>
      </c>
      <c r="E5234" s="6" t="s">
        <v>5067</v>
      </c>
      <c r="F5234" s="6">
        <v>9.930071369E9</v>
      </c>
    </row>
    <row r="5235" ht="15.75" customHeight="1">
      <c r="A5235" s="6" t="s">
        <v>3805</v>
      </c>
      <c r="B5235" s="6" t="s">
        <v>2577</v>
      </c>
      <c r="C5235" s="6" t="s">
        <v>5068</v>
      </c>
      <c r="D5235" s="6" t="s">
        <v>44</v>
      </c>
      <c r="E5235" s="6" t="s">
        <v>4015</v>
      </c>
      <c r="F5235" s="6">
        <v>9.711080162E9</v>
      </c>
    </row>
    <row r="5236" ht="15.75" customHeight="1">
      <c r="A5236" s="6" t="s">
        <v>4801</v>
      </c>
      <c r="B5236" s="6" t="s">
        <v>5069</v>
      </c>
      <c r="C5236" s="6" t="s">
        <v>5019</v>
      </c>
      <c r="D5236" s="6" t="s">
        <v>44</v>
      </c>
      <c r="E5236" s="6" t="s">
        <v>4015</v>
      </c>
      <c r="F5236" s="6">
        <v>9.999978036E9</v>
      </c>
    </row>
    <row r="5237" ht="15.75" customHeight="1">
      <c r="A5237" s="6" t="s">
        <v>5070</v>
      </c>
      <c r="B5237" s="6" t="s">
        <v>5071</v>
      </c>
      <c r="C5237" s="6" t="s">
        <v>5072</v>
      </c>
      <c r="D5237" s="6" t="s">
        <v>29</v>
      </c>
      <c r="E5237" s="6" t="s">
        <v>4276</v>
      </c>
      <c r="F5237" s="6">
        <v>8.12192061E9</v>
      </c>
    </row>
    <row r="5238" ht="15.75" customHeight="1">
      <c r="A5238" s="6" t="s">
        <v>5073</v>
      </c>
      <c r="B5238" s="6" t="s">
        <v>5074</v>
      </c>
      <c r="C5238" s="6" t="s">
        <v>5072</v>
      </c>
      <c r="D5238" s="6" t="s">
        <v>26</v>
      </c>
      <c r="E5238" s="6" t="s">
        <v>5075</v>
      </c>
      <c r="F5238" s="6">
        <v>9.951917555E9</v>
      </c>
    </row>
    <row r="5239" ht="15.75" customHeight="1">
      <c r="A5239" s="6" t="s">
        <v>2494</v>
      </c>
      <c r="B5239" s="6" t="s">
        <v>5076</v>
      </c>
      <c r="C5239" s="6" t="s">
        <v>5077</v>
      </c>
      <c r="D5239" s="6" t="s">
        <v>9</v>
      </c>
      <c r="E5239" s="6" t="s">
        <v>4779</v>
      </c>
      <c r="F5239" s="6">
        <v>7.999645396E9</v>
      </c>
    </row>
    <row r="5240" ht="15.75" customHeight="1">
      <c r="A5240" s="6" t="s">
        <v>3246</v>
      </c>
      <c r="B5240" s="6" t="s">
        <v>832</v>
      </c>
      <c r="C5240" s="6" t="s">
        <v>5078</v>
      </c>
      <c r="D5240" s="6" t="s">
        <v>56</v>
      </c>
      <c r="E5240" s="6" t="s">
        <v>255</v>
      </c>
      <c r="F5240" s="6">
        <v>9.065850191E9</v>
      </c>
    </row>
    <row r="5241" ht="15.75" customHeight="1">
      <c r="A5241" s="6" t="s">
        <v>5079</v>
      </c>
      <c r="B5241" s="6" t="s">
        <v>1093</v>
      </c>
      <c r="C5241" s="6" t="s">
        <v>3322</v>
      </c>
      <c r="D5241" s="6" t="s">
        <v>56</v>
      </c>
      <c r="E5241" s="6" t="s">
        <v>434</v>
      </c>
      <c r="F5241" s="6" t="str">
        <f>+65 82490305</f>
        <v>#ERROR!</v>
      </c>
    </row>
    <row r="5242" ht="15.75" customHeight="1">
      <c r="A5242" s="6" t="s">
        <v>5080</v>
      </c>
      <c r="B5242" s="6" t="s">
        <v>5081</v>
      </c>
      <c r="C5242" s="6" t="s">
        <v>5082</v>
      </c>
      <c r="D5242" s="6" t="s">
        <v>56</v>
      </c>
      <c r="E5242" s="6" t="s">
        <v>494</v>
      </c>
      <c r="F5242" s="6">
        <v>9.419298707E9</v>
      </c>
    </row>
    <row r="5243" ht="15.75" customHeight="1">
      <c r="A5243" s="6" t="s">
        <v>2822</v>
      </c>
      <c r="B5243" s="6" t="s">
        <v>47</v>
      </c>
      <c r="C5243" s="6" t="s">
        <v>5083</v>
      </c>
      <c r="D5243" s="6" t="s">
        <v>9</v>
      </c>
      <c r="E5243" s="6" t="s">
        <v>1102</v>
      </c>
      <c r="F5243" s="6">
        <v>9.267915997E9</v>
      </c>
    </row>
    <row r="5244" ht="15.75" customHeight="1">
      <c r="A5244" s="6" t="s">
        <v>5084</v>
      </c>
      <c r="B5244" s="6" t="s">
        <v>1218</v>
      </c>
      <c r="C5244" s="6" t="s">
        <v>5085</v>
      </c>
      <c r="D5244" s="6" t="s">
        <v>14</v>
      </c>
      <c r="E5244" s="6" t="s">
        <v>4927</v>
      </c>
      <c r="F5244" s="6">
        <v>9.968401777E9</v>
      </c>
    </row>
    <row r="5245" ht="15.75" customHeight="1">
      <c r="A5245" s="6" t="s">
        <v>5086</v>
      </c>
      <c r="B5245" s="6" t="s">
        <v>1265</v>
      </c>
      <c r="C5245" s="6" t="s">
        <v>4409</v>
      </c>
      <c r="D5245" s="6" t="s">
        <v>56</v>
      </c>
      <c r="E5245" s="6" t="s">
        <v>5087</v>
      </c>
      <c r="F5245" s="6">
        <v>8.918436046E9</v>
      </c>
    </row>
    <row r="5246" ht="15.75" customHeight="1">
      <c r="A5246" s="6" t="s">
        <v>5088</v>
      </c>
      <c r="B5246" s="6" t="s">
        <v>63</v>
      </c>
      <c r="C5246" s="6" t="s">
        <v>4409</v>
      </c>
      <c r="D5246" s="6" t="s">
        <v>56</v>
      </c>
      <c r="E5246" s="6" t="s">
        <v>5087</v>
      </c>
      <c r="F5246" s="6">
        <v>7.001441517E9</v>
      </c>
    </row>
    <row r="5247" ht="15.75" customHeight="1">
      <c r="A5247" s="6" t="s">
        <v>2033</v>
      </c>
      <c r="B5247" s="6" t="s">
        <v>50</v>
      </c>
      <c r="C5247" s="6" t="s">
        <v>5089</v>
      </c>
      <c r="D5247" s="6" t="s">
        <v>44</v>
      </c>
      <c r="E5247" s="6" t="s">
        <v>2025</v>
      </c>
      <c r="F5247" s="6">
        <v>7.042744103E9</v>
      </c>
    </row>
    <row r="5248" ht="15.75" customHeight="1">
      <c r="A5248" s="6" t="s">
        <v>2634</v>
      </c>
      <c r="B5248" s="6" t="s">
        <v>4962</v>
      </c>
      <c r="C5248" s="6" t="s">
        <v>4845</v>
      </c>
      <c r="D5248" s="6" t="s">
        <v>56</v>
      </c>
      <c r="E5248" s="6" t="s">
        <v>4015</v>
      </c>
      <c r="F5248" s="6">
        <v>9.873830623E9</v>
      </c>
    </row>
    <row r="5249" ht="15.75" customHeight="1">
      <c r="A5249" s="6" t="s">
        <v>5090</v>
      </c>
      <c r="B5249" s="6" t="s">
        <v>5091</v>
      </c>
      <c r="C5249" s="6" t="s">
        <v>5092</v>
      </c>
      <c r="D5249" s="6" t="s">
        <v>44</v>
      </c>
      <c r="E5249" s="6" t="s">
        <v>2575</v>
      </c>
      <c r="F5249" s="6">
        <v>8.754232536E9</v>
      </c>
    </row>
    <row r="5250" ht="15.75" customHeight="1">
      <c r="A5250" s="6" t="s">
        <v>146</v>
      </c>
      <c r="B5250" s="6" t="s">
        <v>1235</v>
      </c>
      <c r="C5250" s="6" t="s">
        <v>4845</v>
      </c>
      <c r="D5250" s="6" t="s">
        <v>44</v>
      </c>
      <c r="E5250" s="6" t="s">
        <v>4015</v>
      </c>
      <c r="F5250" s="6">
        <v>9.560567787E9</v>
      </c>
    </row>
    <row r="5251" ht="15.75" customHeight="1">
      <c r="A5251" s="6" t="s">
        <v>5093</v>
      </c>
      <c r="B5251" s="6" t="s">
        <v>212</v>
      </c>
      <c r="C5251" s="6" t="s">
        <v>4738</v>
      </c>
      <c r="D5251" s="6" t="s">
        <v>14</v>
      </c>
      <c r="E5251" s="6" t="s">
        <v>4015</v>
      </c>
      <c r="F5251" s="6">
        <v>7.017233145E9</v>
      </c>
    </row>
    <row r="5252" ht="15.75" customHeight="1">
      <c r="A5252" s="6" t="s">
        <v>5094</v>
      </c>
      <c r="B5252" s="6" t="s">
        <v>5095</v>
      </c>
      <c r="C5252" s="6" t="s">
        <v>5096</v>
      </c>
      <c r="D5252" s="6" t="s">
        <v>14</v>
      </c>
      <c r="E5252" s="6" t="s">
        <v>4015</v>
      </c>
      <c r="F5252" s="6">
        <v>9.873579346E9</v>
      </c>
    </row>
    <row r="5253" ht="15.75" customHeight="1">
      <c r="A5253" s="6" t="s">
        <v>5097</v>
      </c>
      <c r="B5253" s="6" t="s">
        <v>5098</v>
      </c>
      <c r="C5253" s="6" t="s">
        <v>4845</v>
      </c>
      <c r="D5253" s="6" t="s">
        <v>14</v>
      </c>
      <c r="E5253" s="6" t="s">
        <v>4015</v>
      </c>
      <c r="F5253" s="6">
        <v>9.313986677E9</v>
      </c>
    </row>
    <row r="5254" ht="15.75" customHeight="1">
      <c r="A5254" s="6" t="s">
        <v>5099</v>
      </c>
      <c r="B5254" s="6" t="s">
        <v>5100</v>
      </c>
      <c r="C5254" s="6" t="s">
        <v>5101</v>
      </c>
      <c r="D5254" s="6" t="s">
        <v>29</v>
      </c>
      <c r="E5254" s="6" t="s">
        <v>4779</v>
      </c>
      <c r="F5254" s="6">
        <v>7.999845412E9</v>
      </c>
    </row>
    <row r="5255" ht="15.75" customHeight="1">
      <c r="A5255" s="6" t="s">
        <v>4974</v>
      </c>
      <c r="B5255" s="6" t="s">
        <v>5102</v>
      </c>
      <c r="C5255" s="6" t="s">
        <v>5103</v>
      </c>
      <c r="D5255" s="6" t="s">
        <v>56</v>
      </c>
      <c r="E5255" s="6" t="s">
        <v>4276</v>
      </c>
      <c r="F5255" s="6">
        <v>9.515837686E9</v>
      </c>
    </row>
    <row r="5256" ht="15.75" customHeight="1">
      <c r="A5256" s="6" t="s">
        <v>5104</v>
      </c>
      <c r="B5256" s="6" t="s">
        <v>4696</v>
      </c>
      <c r="C5256" s="6" t="s">
        <v>995</v>
      </c>
      <c r="D5256" s="6" t="s">
        <v>29</v>
      </c>
      <c r="E5256" s="6" t="s">
        <v>1102</v>
      </c>
      <c r="F5256" s="6">
        <v>9.899423262E9</v>
      </c>
    </row>
    <row r="5257" ht="15.75" customHeight="1">
      <c r="A5257" s="6" t="s">
        <v>491</v>
      </c>
      <c r="B5257" s="6" t="s">
        <v>5105</v>
      </c>
      <c r="C5257" s="6" t="s">
        <v>5106</v>
      </c>
      <c r="D5257" s="6" t="s">
        <v>29</v>
      </c>
      <c r="E5257" s="6" t="s">
        <v>4779</v>
      </c>
      <c r="F5257" s="6">
        <v>7.389087004E9</v>
      </c>
    </row>
    <row r="5258" ht="15.75" customHeight="1">
      <c r="A5258" s="6" t="s">
        <v>5107</v>
      </c>
      <c r="B5258" s="6" t="s">
        <v>5108</v>
      </c>
      <c r="C5258" s="6" t="s">
        <v>412</v>
      </c>
      <c r="D5258" s="6" t="s">
        <v>14</v>
      </c>
      <c r="E5258" s="6" t="s">
        <v>5109</v>
      </c>
      <c r="F5258" s="6">
        <v>9.818189824E9</v>
      </c>
    </row>
    <row r="5259" ht="15.75" customHeight="1">
      <c r="A5259" s="6" t="s">
        <v>4803</v>
      </c>
      <c r="B5259" s="6" t="s">
        <v>1658</v>
      </c>
      <c r="C5259" s="6" t="s">
        <v>4677</v>
      </c>
      <c r="D5259" s="6" t="s">
        <v>29</v>
      </c>
      <c r="E5259" s="6" t="s">
        <v>5110</v>
      </c>
      <c r="F5259" s="6">
        <v>7.042984058E9</v>
      </c>
    </row>
    <row r="5260" ht="15.75" customHeight="1">
      <c r="A5260" s="6" t="s">
        <v>511</v>
      </c>
      <c r="B5260" s="6" t="s">
        <v>882</v>
      </c>
      <c r="C5260" s="6" t="s">
        <v>5068</v>
      </c>
      <c r="D5260" s="6" t="s">
        <v>56</v>
      </c>
      <c r="E5260" s="6" t="s">
        <v>4015</v>
      </c>
      <c r="F5260" s="6">
        <v>7.827346184E9</v>
      </c>
    </row>
    <row r="5261" ht="15.75" customHeight="1">
      <c r="A5261" s="6" t="s">
        <v>5111</v>
      </c>
      <c r="B5261" s="6" t="s">
        <v>5112</v>
      </c>
      <c r="C5261" s="6" t="s">
        <v>5113</v>
      </c>
      <c r="D5261" s="6" t="s">
        <v>56</v>
      </c>
      <c r="E5261" s="6" t="s">
        <v>4276</v>
      </c>
      <c r="F5261" s="6">
        <v>9.515563484E9</v>
      </c>
    </row>
    <row r="5262" ht="15.75" customHeight="1">
      <c r="A5262" s="6" t="s">
        <v>5114</v>
      </c>
      <c r="B5262" s="6" t="s">
        <v>4759</v>
      </c>
      <c r="C5262" s="6" t="s">
        <v>5115</v>
      </c>
      <c r="D5262" s="6" t="s">
        <v>14</v>
      </c>
      <c r="E5262" s="6" t="s">
        <v>1102</v>
      </c>
      <c r="F5262" s="6">
        <v>8.744066011E9</v>
      </c>
    </row>
    <row r="5263" ht="15.75" customHeight="1">
      <c r="A5263" s="6" t="s">
        <v>5116</v>
      </c>
      <c r="B5263" s="6" t="s">
        <v>411</v>
      </c>
      <c r="C5263" s="6" t="s">
        <v>5117</v>
      </c>
      <c r="D5263" s="6" t="s">
        <v>14</v>
      </c>
      <c r="E5263" s="6" t="s">
        <v>5118</v>
      </c>
      <c r="F5263" s="6">
        <v>9.810817912E9</v>
      </c>
    </row>
    <row r="5264" ht="15.75" customHeight="1">
      <c r="A5264" s="6" t="s">
        <v>1441</v>
      </c>
      <c r="B5264" s="6" t="s">
        <v>68</v>
      </c>
      <c r="C5264" s="6" t="s">
        <v>4368</v>
      </c>
      <c r="D5264" s="6" t="s">
        <v>29</v>
      </c>
      <c r="E5264" s="6" t="s">
        <v>4625</v>
      </c>
      <c r="F5264" s="6">
        <v>8.295700948E9</v>
      </c>
    </row>
    <row r="5265" ht="15.75" customHeight="1">
      <c r="A5265" s="6" t="s">
        <v>5119</v>
      </c>
      <c r="B5265" s="6" t="s">
        <v>5120</v>
      </c>
      <c r="C5265" s="6" t="s">
        <v>4778</v>
      </c>
      <c r="D5265" s="6" t="s">
        <v>9</v>
      </c>
      <c r="E5265" s="6" t="s">
        <v>4779</v>
      </c>
      <c r="F5265" s="6">
        <v>9.63093314E9</v>
      </c>
    </row>
    <row r="5266" ht="15.75" customHeight="1">
      <c r="A5266" s="6" t="s">
        <v>5121</v>
      </c>
      <c r="B5266" s="6" t="s">
        <v>5122</v>
      </c>
      <c r="C5266" s="6" t="s">
        <v>4360</v>
      </c>
      <c r="D5266" s="6" t="s">
        <v>56</v>
      </c>
      <c r="E5266" s="6" t="s">
        <v>5123</v>
      </c>
      <c r="F5266" s="6">
        <v>8.287458779E9</v>
      </c>
    </row>
    <row r="5267" ht="15.75" customHeight="1">
      <c r="A5267" s="6" t="s">
        <v>3857</v>
      </c>
      <c r="B5267" s="6" t="s">
        <v>65</v>
      </c>
      <c r="C5267" s="6" t="s">
        <v>5124</v>
      </c>
      <c r="D5267" s="6" t="s">
        <v>56</v>
      </c>
      <c r="E5267" s="6" t="s">
        <v>4212</v>
      </c>
      <c r="F5267" s="6">
        <v>9.582732727E9</v>
      </c>
    </row>
    <row r="5268" ht="15.75" customHeight="1">
      <c r="A5268" s="6" t="s">
        <v>5125</v>
      </c>
      <c r="B5268" s="6" t="s">
        <v>108</v>
      </c>
      <c r="C5268" s="6" t="s">
        <v>5126</v>
      </c>
      <c r="D5268" s="6" t="s">
        <v>44</v>
      </c>
      <c r="E5268" s="6" t="s">
        <v>5127</v>
      </c>
      <c r="F5268" s="6">
        <v>9.990589032E9</v>
      </c>
    </row>
    <row r="5269" ht="15.75" customHeight="1">
      <c r="A5269" s="6" t="s">
        <v>430</v>
      </c>
      <c r="B5269" s="6" t="s">
        <v>5128</v>
      </c>
      <c r="C5269" s="6" t="s">
        <v>5129</v>
      </c>
      <c r="D5269" s="6" t="s">
        <v>9</v>
      </c>
      <c r="E5269" s="6" t="s">
        <v>4015</v>
      </c>
      <c r="F5269" s="6">
        <v>9.881237223E9</v>
      </c>
    </row>
    <row r="5270" ht="15.75" customHeight="1">
      <c r="A5270" s="6" t="s">
        <v>141</v>
      </c>
      <c r="B5270" s="6" t="s">
        <v>1999</v>
      </c>
      <c r="C5270" s="6" t="s">
        <v>5130</v>
      </c>
      <c r="D5270" s="6" t="s">
        <v>29</v>
      </c>
      <c r="E5270" s="6" t="s">
        <v>4779</v>
      </c>
      <c r="F5270" s="6">
        <v>9.171275881E9</v>
      </c>
    </row>
    <row r="5271" ht="15.75" customHeight="1">
      <c r="A5271" s="6" t="s">
        <v>5131</v>
      </c>
      <c r="B5271" s="6" t="s">
        <v>3804</v>
      </c>
      <c r="C5271" s="6" t="s">
        <v>4976</v>
      </c>
      <c r="D5271" s="6" t="s">
        <v>56</v>
      </c>
      <c r="E5271" s="6" t="s">
        <v>4015</v>
      </c>
      <c r="F5271" s="6">
        <v>7.703977646E9</v>
      </c>
    </row>
    <row r="5272" ht="15.75" customHeight="1">
      <c r="A5272" s="6" t="s">
        <v>5132</v>
      </c>
      <c r="B5272" s="6" t="s">
        <v>5133</v>
      </c>
      <c r="C5272" s="6" t="s">
        <v>5134</v>
      </c>
      <c r="D5272" s="6" t="s">
        <v>14</v>
      </c>
      <c r="E5272" s="6" t="s">
        <v>4927</v>
      </c>
      <c r="F5272" s="6">
        <v>9.937490415E9</v>
      </c>
    </row>
    <row r="5273" ht="15.75" customHeight="1">
      <c r="A5273" s="6" t="s">
        <v>5135</v>
      </c>
      <c r="B5273" s="6" t="s">
        <v>5136</v>
      </c>
      <c r="C5273" s="6" t="s">
        <v>4989</v>
      </c>
      <c r="D5273" s="6" t="s">
        <v>29</v>
      </c>
      <c r="E5273" s="6" t="s">
        <v>4779</v>
      </c>
      <c r="F5273" s="6">
        <v>6.26146689E9</v>
      </c>
    </row>
    <row r="5274" ht="15.75" customHeight="1">
      <c r="A5274" s="6" t="s">
        <v>5099</v>
      </c>
      <c r="B5274" s="6" t="s">
        <v>150</v>
      </c>
      <c r="C5274" s="6" t="s">
        <v>5137</v>
      </c>
      <c r="D5274" s="6" t="s">
        <v>44</v>
      </c>
      <c r="E5274" s="6" t="s">
        <v>19</v>
      </c>
      <c r="F5274" s="6">
        <v>7.717799596E9</v>
      </c>
    </row>
    <row r="5275" ht="15.75" customHeight="1">
      <c r="A5275" s="6" t="s">
        <v>5138</v>
      </c>
      <c r="B5275" s="6" t="s">
        <v>4840</v>
      </c>
      <c r="C5275" s="6" t="s">
        <v>5139</v>
      </c>
      <c r="D5275" s="6" t="s">
        <v>29</v>
      </c>
      <c r="E5275" s="6" t="s">
        <v>5140</v>
      </c>
      <c r="F5275" s="6">
        <v>9.18826191105E11</v>
      </c>
    </row>
    <row r="5276" ht="15.75" customHeight="1">
      <c r="A5276" s="6" t="s">
        <v>5141</v>
      </c>
      <c r="B5276" s="6" t="s">
        <v>5142</v>
      </c>
      <c r="C5276" s="6" t="s">
        <v>4700</v>
      </c>
      <c r="D5276" s="6" t="s">
        <v>56</v>
      </c>
      <c r="E5276" s="6" t="s">
        <v>4015</v>
      </c>
      <c r="F5276" s="6">
        <v>9.717173304E9</v>
      </c>
    </row>
    <row r="5277" ht="15.75" customHeight="1">
      <c r="A5277" s="6" t="s">
        <v>5143</v>
      </c>
      <c r="B5277" s="6" t="s">
        <v>68</v>
      </c>
      <c r="C5277" s="6" t="s">
        <v>4845</v>
      </c>
      <c r="D5277" s="6" t="s">
        <v>56</v>
      </c>
      <c r="E5277" s="6" t="s">
        <v>4015</v>
      </c>
      <c r="F5277" s="6">
        <v>9.19267902454E11</v>
      </c>
    </row>
    <row r="5278" ht="15.75" customHeight="1">
      <c r="A5278" s="6" t="s">
        <v>2741</v>
      </c>
      <c r="B5278" s="6" t="s">
        <v>147</v>
      </c>
      <c r="C5278" s="6" t="s">
        <v>5144</v>
      </c>
      <c r="D5278" s="6" t="s">
        <v>14</v>
      </c>
      <c r="E5278" s="6" t="s">
        <v>5145</v>
      </c>
      <c r="F5278" s="6">
        <v>9.56012469E9</v>
      </c>
    </row>
    <row r="5279" ht="15.75" customHeight="1">
      <c r="A5279" s="6" t="s">
        <v>5146</v>
      </c>
      <c r="B5279" s="6" t="s">
        <v>5147</v>
      </c>
      <c r="C5279" s="6" t="s">
        <v>5078</v>
      </c>
      <c r="D5279" s="6" t="s">
        <v>29</v>
      </c>
      <c r="E5279" s="6" t="s">
        <v>255</v>
      </c>
      <c r="F5279" s="6">
        <v>6.207924673E9</v>
      </c>
    </row>
    <row r="5280" ht="15.75" customHeight="1">
      <c r="A5280" s="6" t="s">
        <v>1092</v>
      </c>
      <c r="B5280" s="6" t="s">
        <v>50</v>
      </c>
      <c r="C5280" s="6" t="s">
        <v>4368</v>
      </c>
      <c r="D5280" s="6" t="s">
        <v>44</v>
      </c>
      <c r="E5280" s="6" t="s">
        <v>255</v>
      </c>
      <c r="F5280" s="6">
        <v>6.204198004E9</v>
      </c>
    </row>
    <row r="5281" ht="15.75" customHeight="1">
      <c r="A5281" s="6" t="s">
        <v>2605</v>
      </c>
      <c r="B5281" s="6" t="s">
        <v>225</v>
      </c>
      <c r="C5281" s="6" t="s">
        <v>5148</v>
      </c>
      <c r="D5281" s="6" t="s">
        <v>9</v>
      </c>
      <c r="E5281" s="6" t="s">
        <v>5149</v>
      </c>
      <c r="F5281" s="6">
        <v>9.780799024E9</v>
      </c>
    </row>
    <row r="5282" ht="15.75" customHeight="1">
      <c r="A5282" s="6" t="s">
        <v>5150</v>
      </c>
      <c r="B5282" s="6" t="s">
        <v>382</v>
      </c>
      <c r="C5282" s="6" t="s">
        <v>5151</v>
      </c>
      <c r="D5282" s="6" t="s">
        <v>56</v>
      </c>
      <c r="E5282" s="6" t="s">
        <v>4015</v>
      </c>
      <c r="F5282" s="6">
        <v>8.826995795E9</v>
      </c>
    </row>
    <row r="5283" ht="15.75" customHeight="1">
      <c r="A5283" s="6" t="s">
        <v>5152</v>
      </c>
      <c r="B5283" s="6" t="s">
        <v>5153</v>
      </c>
      <c r="C5283" s="6" t="s">
        <v>5117</v>
      </c>
      <c r="D5283" s="6" t="s">
        <v>56</v>
      </c>
      <c r="E5283" s="6" t="s">
        <v>4015</v>
      </c>
      <c r="F5283" s="6">
        <v>8.882344716E9</v>
      </c>
    </row>
    <row r="5284" ht="15.75" customHeight="1">
      <c r="A5284" s="6" t="s">
        <v>5154</v>
      </c>
      <c r="B5284" s="6" t="s">
        <v>3326</v>
      </c>
      <c r="C5284" s="6" t="s">
        <v>4449</v>
      </c>
      <c r="D5284" s="6" t="s">
        <v>56</v>
      </c>
      <c r="E5284" s="6" t="s">
        <v>255</v>
      </c>
      <c r="F5284" s="6">
        <v>6.200080348E9</v>
      </c>
    </row>
    <row r="5285" ht="15.75" customHeight="1">
      <c r="A5285" s="6" t="s">
        <v>5155</v>
      </c>
      <c r="B5285" s="6" t="s">
        <v>832</v>
      </c>
      <c r="C5285" s="6" t="s">
        <v>5156</v>
      </c>
      <c r="D5285" s="6" t="s">
        <v>29</v>
      </c>
      <c r="E5285" s="6" t="s">
        <v>19</v>
      </c>
      <c r="F5285" s="6">
        <v>7.856949141E9</v>
      </c>
    </row>
    <row r="5286" ht="15.75" customHeight="1">
      <c r="A5286" s="6" t="s">
        <v>5157</v>
      </c>
      <c r="B5286" s="6" t="s">
        <v>3237</v>
      </c>
      <c r="C5286" s="6" t="s">
        <v>5158</v>
      </c>
      <c r="D5286" s="6" t="s">
        <v>14</v>
      </c>
      <c r="E5286" s="6" t="s">
        <v>5159</v>
      </c>
      <c r="F5286" s="6" t="str">
        <f>+91 7032313363</f>
        <v>#ERROR!</v>
      </c>
    </row>
    <row r="5287" ht="15.75" customHeight="1">
      <c r="A5287" s="6" t="s">
        <v>5160</v>
      </c>
      <c r="B5287" s="6" t="s">
        <v>3092</v>
      </c>
      <c r="C5287" s="6" t="s">
        <v>5161</v>
      </c>
      <c r="D5287" s="6" t="s">
        <v>56</v>
      </c>
      <c r="E5287" s="6" t="s">
        <v>255</v>
      </c>
      <c r="F5287" s="6">
        <v>8.434086594E9</v>
      </c>
    </row>
    <row r="5288" ht="15.75" customHeight="1">
      <c r="A5288" s="6" t="s">
        <v>5162</v>
      </c>
      <c r="B5288" s="6" t="s">
        <v>5163</v>
      </c>
      <c r="C5288" s="6" t="s">
        <v>3790</v>
      </c>
      <c r="D5288" s="6" t="s">
        <v>14</v>
      </c>
      <c r="E5288" s="6" t="s">
        <v>4015</v>
      </c>
      <c r="F5288" s="6">
        <v>9.19911596677E11</v>
      </c>
    </row>
    <row r="5289" ht="15.75" customHeight="1">
      <c r="A5289" s="6" t="s">
        <v>67</v>
      </c>
      <c r="B5289" s="6" t="s">
        <v>3700</v>
      </c>
      <c r="C5289" s="6" t="s">
        <v>5000</v>
      </c>
      <c r="D5289" s="6" t="s">
        <v>9</v>
      </c>
      <c r="E5289" s="6" t="s">
        <v>4571</v>
      </c>
      <c r="F5289" s="6">
        <v>7.45697087E9</v>
      </c>
    </row>
    <row r="5290" ht="15.75" customHeight="1">
      <c r="A5290" s="6" t="s">
        <v>5164</v>
      </c>
      <c r="B5290" s="6" t="s">
        <v>4840</v>
      </c>
      <c r="C5290" s="6" t="s">
        <v>5165</v>
      </c>
      <c r="D5290" s="6" t="s">
        <v>9</v>
      </c>
      <c r="E5290" s="6" t="s">
        <v>4571</v>
      </c>
      <c r="F5290" s="6">
        <v>9.19414076329E11</v>
      </c>
    </row>
    <row r="5291" ht="15.75" customHeight="1">
      <c r="A5291" s="6" t="s">
        <v>5166</v>
      </c>
      <c r="B5291" s="6" t="s">
        <v>5167</v>
      </c>
      <c r="C5291" s="6" t="s">
        <v>5165</v>
      </c>
      <c r="D5291" s="6" t="s">
        <v>9</v>
      </c>
      <c r="E5291" s="6" t="s">
        <v>5168</v>
      </c>
      <c r="F5291" s="6">
        <v>8.233222111E9</v>
      </c>
    </row>
    <row r="5292" ht="15.75" customHeight="1">
      <c r="A5292" s="6" t="s">
        <v>5169</v>
      </c>
      <c r="B5292" s="6" t="s">
        <v>63</v>
      </c>
      <c r="C5292" s="6" t="s">
        <v>5078</v>
      </c>
      <c r="D5292" s="6" t="s">
        <v>56</v>
      </c>
      <c r="E5292" s="6" t="s">
        <v>23</v>
      </c>
      <c r="F5292" s="6">
        <v>8.969485931E9</v>
      </c>
    </row>
    <row r="5293" ht="15.75" customHeight="1">
      <c r="A5293" s="6" t="s">
        <v>3686</v>
      </c>
      <c r="B5293" s="6" t="s">
        <v>63</v>
      </c>
      <c r="C5293" s="6" t="s">
        <v>4700</v>
      </c>
      <c r="D5293" s="6" t="s">
        <v>14</v>
      </c>
      <c r="E5293" s="6" t="s">
        <v>4015</v>
      </c>
      <c r="F5293" s="6">
        <v>9.971222199E9</v>
      </c>
    </row>
    <row r="5294" ht="15.75" customHeight="1">
      <c r="A5294" s="6" t="s">
        <v>1838</v>
      </c>
      <c r="B5294" s="6" t="s">
        <v>63</v>
      </c>
      <c r="C5294" s="6" t="s">
        <v>5137</v>
      </c>
      <c r="D5294" s="6" t="s">
        <v>26</v>
      </c>
      <c r="E5294" s="6" t="s">
        <v>23</v>
      </c>
      <c r="F5294" s="6">
        <v>6.205359255E9</v>
      </c>
    </row>
    <row r="5295" ht="15.75" customHeight="1">
      <c r="A5295" s="6" t="s">
        <v>67</v>
      </c>
      <c r="B5295" s="6" t="s">
        <v>1343</v>
      </c>
      <c r="C5295" s="6" t="s">
        <v>5170</v>
      </c>
      <c r="D5295" s="6" t="s">
        <v>9</v>
      </c>
      <c r="E5295" s="6" t="s">
        <v>19</v>
      </c>
      <c r="F5295" s="6">
        <v>6.200094755E9</v>
      </c>
    </row>
    <row r="5296" ht="15.75" customHeight="1">
      <c r="A5296" s="6" t="s">
        <v>24</v>
      </c>
      <c r="B5296" s="6" t="s">
        <v>2678</v>
      </c>
      <c r="C5296" s="6" t="s">
        <v>5171</v>
      </c>
      <c r="D5296" s="6" t="s">
        <v>29</v>
      </c>
      <c r="E5296" s="6" t="s">
        <v>4625</v>
      </c>
      <c r="F5296" s="6">
        <v>8.811025444E9</v>
      </c>
    </row>
    <row r="5297" ht="15.75" customHeight="1">
      <c r="A5297" s="6" t="s">
        <v>5172</v>
      </c>
      <c r="B5297" s="6" t="s">
        <v>5173</v>
      </c>
      <c r="C5297" s="6" t="s">
        <v>5174</v>
      </c>
      <c r="D5297" s="6" t="s">
        <v>44</v>
      </c>
      <c r="E5297" s="6" t="s">
        <v>4276</v>
      </c>
      <c r="F5297" s="6">
        <v>9.701516481E9</v>
      </c>
    </row>
    <row r="5298" ht="15.75" customHeight="1">
      <c r="A5298" s="6" t="s">
        <v>5175</v>
      </c>
      <c r="B5298" s="6" t="s">
        <v>5176</v>
      </c>
      <c r="C5298" s="6" t="s">
        <v>5161</v>
      </c>
      <c r="D5298" s="6" t="s">
        <v>29</v>
      </c>
      <c r="E5298" s="6" t="s">
        <v>255</v>
      </c>
      <c r="F5298" s="6">
        <v>7.667145058E9</v>
      </c>
    </row>
    <row r="5299" ht="15.75" customHeight="1">
      <c r="A5299" s="6" t="s">
        <v>5177</v>
      </c>
      <c r="B5299" s="6" t="s">
        <v>5178</v>
      </c>
      <c r="C5299" s="6" t="s">
        <v>5174</v>
      </c>
      <c r="D5299" s="6" t="s">
        <v>44</v>
      </c>
      <c r="E5299" s="6" t="s">
        <v>4276</v>
      </c>
      <c r="F5299" s="6">
        <v>7.396882535E9</v>
      </c>
    </row>
    <row r="5300" ht="15.75" customHeight="1">
      <c r="A5300" s="6" t="s">
        <v>5155</v>
      </c>
      <c r="B5300" s="6" t="s">
        <v>4670</v>
      </c>
      <c r="C5300" s="6" t="s">
        <v>5179</v>
      </c>
      <c r="D5300" s="6" t="s">
        <v>26</v>
      </c>
      <c r="E5300" s="6" t="s">
        <v>19</v>
      </c>
      <c r="F5300" s="6">
        <v>8.43417753E9</v>
      </c>
    </row>
    <row r="5301" ht="15.75" customHeight="1">
      <c r="A5301" s="6" t="s">
        <v>3389</v>
      </c>
      <c r="B5301" s="6" t="s">
        <v>5180</v>
      </c>
      <c r="C5301" s="6" t="s">
        <v>5002</v>
      </c>
      <c r="D5301" s="6" t="s">
        <v>56</v>
      </c>
      <c r="E5301" s="6" t="s">
        <v>4015</v>
      </c>
      <c r="F5301" s="6">
        <v>9.1798261722E11</v>
      </c>
    </row>
    <row r="5302" ht="15.75" customHeight="1">
      <c r="A5302" s="6" t="s">
        <v>4237</v>
      </c>
      <c r="B5302" s="6" t="s">
        <v>1343</v>
      </c>
      <c r="C5302" s="6" t="s">
        <v>5181</v>
      </c>
      <c r="D5302" s="6" t="s">
        <v>56</v>
      </c>
      <c r="E5302" s="6" t="s">
        <v>494</v>
      </c>
      <c r="F5302" s="6">
        <v>9.055525254E9</v>
      </c>
    </row>
    <row r="5303" ht="15.75" customHeight="1">
      <c r="A5303" s="6" t="s">
        <v>2780</v>
      </c>
      <c r="B5303" s="6" t="s">
        <v>1663</v>
      </c>
      <c r="C5303" s="6" t="s">
        <v>5182</v>
      </c>
      <c r="D5303" s="6" t="s">
        <v>56</v>
      </c>
      <c r="E5303" s="6" t="s">
        <v>4923</v>
      </c>
      <c r="F5303" s="6">
        <v>8.283095309E9</v>
      </c>
    </row>
    <row r="5304" ht="15.75" customHeight="1">
      <c r="A5304" s="6" t="s">
        <v>299</v>
      </c>
      <c r="B5304" s="6" t="s">
        <v>5183</v>
      </c>
      <c r="C5304" s="6" t="s">
        <v>5184</v>
      </c>
      <c r="D5304" s="6" t="s">
        <v>56</v>
      </c>
      <c r="E5304" s="6" t="s">
        <v>1102</v>
      </c>
      <c r="F5304" s="6" t="str">
        <f>+91 8447-775523</f>
        <v>#ERROR!</v>
      </c>
    </row>
    <row r="5305" ht="15.75" customHeight="1">
      <c r="A5305" s="6" t="s">
        <v>4411</v>
      </c>
      <c r="B5305" s="6" t="s">
        <v>4411</v>
      </c>
      <c r="C5305" s="6" t="s">
        <v>5185</v>
      </c>
      <c r="D5305" s="6" t="s">
        <v>102</v>
      </c>
      <c r="E5305" s="6" t="s">
        <v>5186</v>
      </c>
      <c r="F5305" s="6">
        <v>2.222222222E9</v>
      </c>
    </row>
    <row r="5306" ht="15.75" customHeight="1">
      <c r="A5306" s="6" t="s">
        <v>4964</v>
      </c>
      <c r="B5306" s="6" t="s">
        <v>5187</v>
      </c>
      <c r="C5306" s="6" t="s">
        <v>5188</v>
      </c>
      <c r="D5306" s="6" t="s">
        <v>56</v>
      </c>
      <c r="E5306" s="6" t="s">
        <v>4015</v>
      </c>
      <c r="F5306" s="6">
        <v>9.368250698E9</v>
      </c>
    </row>
    <row r="5307" ht="15.75" customHeight="1">
      <c r="A5307" s="6" t="s">
        <v>5189</v>
      </c>
      <c r="B5307" s="6" t="s">
        <v>4939</v>
      </c>
      <c r="C5307" s="6" t="s">
        <v>5190</v>
      </c>
      <c r="D5307" s="6" t="s">
        <v>44</v>
      </c>
      <c r="E5307" s="6" t="s">
        <v>4941</v>
      </c>
      <c r="F5307" s="6">
        <v>6.305530453E9</v>
      </c>
    </row>
    <row r="5308" ht="15.75" customHeight="1">
      <c r="A5308" s="6" t="s">
        <v>4686</v>
      </c>
      <c r="B5308" s="6" t="s">
        <v>50</v>
      </c>
      <c r="C5308" s="6" t="s">
        <v>4845</v>
      </c>
      <c r="D5308" s="6" t="s">
        <v>14</v>
      </c>
      <c r="E5308" s="6" t="s">
        <v>4015</v>
      </c>
      <c r="F5308" s="6">
        <v>8.130445555E9</v>
      </c>
    </row>
    <row r="5309" ht="15.75" customHeight="1">
      <c r="A5309" s="6" t="s">
        <v>5191</v>
      </c>
      <c r="B5309" s="6" t="s">
        <v>5192</v>
      </c>
      <c r="C5309" s="6" t="s">
        <v>5188</v>
      </c>
      <c r="D5309" s="6" t="s">
        <v>56</v>
      </c>
      <c r="E5309" s="6" t="s">
        <v>4015</v>
      </c>
      <c r="F5309" s="6">
        <v>9.368250698E9</v>
      </c>
    </row>
    <row r="5310" ht="15.75" customHeight="1">
      <c r="A5310" s="6" t="s">
        <v>996</v>
      </c>
      <c r="B5310" s="6" t="s">
        <v>3352</v>
      </c>
      <c r="C5310" s="6" t="s">
        <v>5193</v>
      </c>
      <c r="D5310" s="6" t="s">
        <v>29</v>
      </c>
      <c r="E5310" s="6" t="s">
        <v>4484</v>
      </c>
      <c r="F5310" s="6">
        <v>9.354704966E9</v>
      </c>
    </row>
    <row r="5311" ht="15.75" customHeight="1">
      <c r="A5311" s="6" t="s">
        <v>5194</v>
      </c>
      <c r="B5311" s="6" t="s">
        <v>5195</v>
      </c>
      <c r="C5311" s="6" t="s">
        <v>4561</v>
      </c>
      <c r="D5311" s="6" t="s">
        <v>44</v>
      </c>
      <c r="E5311" s="6" t="s">
        <v>4276</v>
      </c>
      <c r="F5311" s="6">
        <v>9.160258563E9</v>
      </c>
    </row>
    <row r="5312" ht="15.75" customHeight="1">
      <c r="A5312" s="6" t="s">
        <v>5196</v>
      </c>
      <c r="B5312" s="6" t="s">
        <v>5197</v>
      </c>
      <c r="C5312" s="6" t="s">
        <v>5198</v>
      </c>
      <c r="D5312" s="6" t="s">
        <v>56</v>
      </c>
      <c r="E5312" s="6" t="s">
        <v>4276</v>
      </c>
      <c r="F5312" s="6">
        <v>8.978854373E9</v>
      </c>
    </row>
    <row r="5313" ht="15.75" customHeight="1">
      <c r="A5313" s="6" t="s">
        <v>5199</v>
      </c>
      <c r="B5313" s="6" t="s">
        <v>108</v>
      </c>
      <c r="C5313" s="6" t="s">
        <v>5083</v>
      </c>
      <c r="D5313" s="6" t="s">
        <v>9</v>
      </c>
      <c r="E5313" s="6" t="s">
        <v>494</v>
      </c>
      <c r="F5313" s="6">
        <v>9.211356225E9</v>
      </c>
    </row>
    <row r="5314" ht="15.75" customHeight="1">
      <c r="A5314" s="6" t="s">
        <v>2924</v>
      </c>
      <c r="B5314" s="6" t="s">
        <v>5200</v>
      </c>
      <c r="C5314" s="6" t="s">
        <v>5201</v>
      </c>
      <c r="D5314" s="6" t="s">
        <v>26</v>
      </c>
      <c r="E5314" s="6" t="s">
        <v>4015</v>
      </c>
      <c r="F5314" s="6">
        <v>9.582069217E9</v>
      </c>
    </row>
    <row r="5315" ht="15.75" customHeight="1">
      <c r="A5315" s="6" t="s">
        <v>4359</v>
      </c>
      <c r="B5315" s="6" t="s">
        <v>5202</v>
      </c>
      <c r="C5315" s="6" t="s">
        <v>5203</v>
      </c>
      <c r="D5315" s="6" t="s">
        <v>56</v>
      </c>
      <c r="E5315" s="6" t="s">
        <v>5204</v>
      </c>
      <c r="F5315" s="6">
        <v>9.881451921E9</v>
      </c>
    </row>
    <row r="5316" ht="15.75" customHeight="1">
      <c r="A5316" s="6" t="s">
        <v>5205</v>
      </c>
      <c r="B5316" s="6" t="s">
        <v>5206</v>
      </c>
      <c r="C5316" s="6" t="s">
        <v>5207</v>
      </c>
      <c r="D5316" s="6" t="s">
        <v>14</v>
      </c>
      <c r="E5316" s="6" t="s">
        <v>4276</v>
      </c>
      <c r="F5316" s="6">
        <v>8.0084855E9</v>
      </c>
    </row>
    <row r="5317" ht="15.75" customHeight="1">
      <c r="A5317" s="6" t="s">
        <v>5208</v>
      </c>
      <c r="B5317" s="6" t="s">
        <v>5209</v>
      </c>
      <c r="C5317" s="6" t="s">
        <v>5210</v>
      </c>
      <c r="D5317" s="6" t="s">
        <v>44</v>
      </c>
      <c r="E5317" s="6" t="s">
        <v>421</v>
      </c>
      <c r="F5317" s="6">
        <v>8.489448629E9</v>
      </c>
    </row>
    <row r="5318" ht="15.75" customHeight="1">
      <c r="A5318" s="6" t="s">
        <v>1421</v>
      </c>
      <c r="B5318" s="6" t="s">
        <v>225</v>
      </c>
      <c r="C5318" s="6" t="s">
        <v>4845</v>
      </c>
      <c r="D5318" s="6" t="s">
        <v>14</v>
      </c>
      <c r="E5318" s="6" t="s">
        <v>5211</v>
      </c>
      <c r="F5318" s="6">
        <v>9.910143352E9</v>
      </c>
    </row>
    <row r="5319" ht="15.75" customHeight="1">
      <c r="A5319" s="6" t="s">
        <v>33</v>
      </c>
      <c r="B5319" s="6" t="s">
        <v>5212</v>
      </c>
      <c r="C5319" s="6" t="s">
        <v>5213</v>
      </c>
      <c r="D5319" s="6" t="s">
        <v>29</v>
      </c>
      <c r="E5319" s="6" t="s">
        <v>494</v>
      </c>
      <c r="F5319" s="6">
        <v>9.910220337E9</v>
      </c>
    </row>
    <row r="5320" ht="15.75" customHeight="1">
      <c r="A5320" s="6" t="s">
        <v>2930</v>
      </c>
      <c r="B5320" s="6" t="s">
        <v>606</v>
      </c>
      <c r="C5320" s="6" t="s">
        <v>5214</v>
      </c>
      <c r="D5320" s="6" t="s">
        <v>44</v>
      </c>
      <c r="E5320" s="6" t="s">
        <v>4015</v>
      </c>
      <c r="F5320" s="6">
        <v>7.303660484E9</v>
      </c>
    </row>
    <row r="5321" ht="15.75" customHeight="1">
      <c r="A5321" s="6" t="s">
        <v>5215</v>
      </c>
      <c r="B5321" s="6" t="s">
        <v>517</v>
      </c>
      <c r="C5321" s="6" t="s">
        <v>5083</v>
      </c>
      <c r="D5321" s="6" t="s">
        <v>9</v>
      </c>
      <c r="E5321" s="6" t="s">
        <v>494</v>
      </c>
      <c r="F5321" s="6">
        <v>9.910522333E9</v>
      </c>
    </row>
    <row r="5322" ht="15.75" customHeight="1">
      <c r="A5322" s="6" t="s">
        <v>213</v>
      </c>
      <c r="B5322" s="6" t="s">
        <v>108</v>
      </c>
      <c r="C5322" s="6" t="s">
        <v>4677</v>
      </c>
      <c r="D5322" s="6" t="s">
        <v>9</v>
      </c>
      <c r="E5322" s="6" t="s">
        <v>494</v>
      </c>
      <c r="F5322" s="6">
        <v>9.211356225E9</v>
      </c>
    </row>
    <row r="5323" ht="15.75" customHeight="1">
      <c r="A5323" s="6" t="s">
        <v>2595</v>
      </c>
      <c r="B5323" s="6" t="s">
        <v>3920</v>
      </c>
      <c r="C5323" s="6" t="s">
        <v>5000</v>
      </c>
      <c r="D5323" s="6" t="s">
        <v>9</v>
      </c>
      <c r="E5323" s="6" t="s">
        <v>4571</v>
      </c>
      <c r="F5323" s="6">
        <v>9.116611806E9</v>
      </c>
    </row>
    <row r="5324" ht="15.75" customHeight="1">
      <c r="A5324" s="6" t="s">
        <v>3743</v>
      </c>
      <c r="B5324" s="6" t="s">
        <v>5216</v>
      </c>
      <c r="C5324" s="6" t="s">
        <v>5103</v>
      </c>
      <c r="D5324" s="6" t="s">
        <v>56</v>
      </c>
      <c r="E5324" s="6" t="s">
        <v>4941</v>
      </c>
      <c r="F5324" s="6">
        <v>9.966796549E9</v>
      </c>
    </row>
    <row r="5325" ht="15.75" customHeight="1">
      <c r="A5325" s="6" t="s">
        <v>5217</v>
      </c>
      <c r="B5325" s="6" t="s">
        <v>5218</v>
      </c>
      <c r="C5325" s="6" t="s">
        <v>5219</v>
      </c>
      <c r="D5325" s="6" t="s">
        <v>26</v>
      </c>
      <c r="E5325" s="6" t="s">
        <v>4212</v>
      </c>
      <c r="F5325" s="6">
        <v>7.065522132E9</v>
      </c>
    </row>
    <row r="5326" ht="15.75" customHeight="1">
      <c r="A5326" s="6" t="s">
        <v>5220</v>
      </c>
      <c r="B5326" s="6" t="s">
        <v>5221</v>
      </c>
      <c r="C5326" s="6" t="s">
        <v>576</v>
      </c>
      <c r="D5326" s="6" t="s">
        <v>14</v>
      </c>
      <c r="E5326" s="6" t="s">
        <v>4015</v>
      </c>
      <c r="F5326" s="6">
        <v>9.19711000381E11</v>
      </c>
    </row>
    <row r="5327" ht="15.75" customHeight="1">
      <c r="A5327" s="6" t="s">
        <v>707</v>
      </c>
      <c r="B5327" s="6" t="s">
        <v>50</v>
      </c>
      <c r="C5327" s="6" t="s">
        <v>5222</v>
      </c>
      <c r="D5327" s="6" t="s">
        <v>26</v>
      </c>
      <c r="E5327" s="6" t="s">
        <v>5223</v>
      </c>
      <c r="F5327" s="6">
        <v>6.583651569E9</v>
      </c>
    </row>
    <row r="5328" ht="15.75" customHeight="1">
      <c r="A5328" s="6" t="s">
        <v>5224</v>
      </c>
      <c r="B5328" s="6" t="s">
        <v>4988</v>
      </c>
      <c r="C5328" s="6" t="s">
        <v>4844</v>
      </c>
      <c r="D5328" s="6" t="s">
        <v>26</v>
      </c>
      <c r="E5328" s="6" t="s">
        <v>5225</v>
      </c>
      <c r="F5328" s="6">
        <v>9.199587974E11</v>
      </c>
    </row>
    <row r="5329" ht="15.75" customHeight="1">
      <c r="A5329" s="6" t="s">
        <v>2663</v>
      </c>
      <c r="B5329" s="6" t="s">
        <v>5226</v>
      </c>
      <c r="C5329" s="6" t="s">
        <v>3322</v>
      </c>
      <c r="D5329" s="6" t="s">
        <v>9</v>
      </c>
      <c r="E5329" s="6" t="s">
        <v>434</v>
      </c>
      <c r="F5329" s="6">
        <v>9.372460941E9</v>
      </c>
    </row>
    <row r="5330" ht="15.75" customHeight="1">
      <c r="A5330" s="6" t="s">
        <v>5227</v>
      </c>
      <c r="B5330" s="6" t="s">
        <v>5228</v>
      </c>
      <c r="C5330" s="6" t="s">
        <v>5229</v>
      </c>
      <c r="D5330" s="6" t="s">
        <v>44</v>
      </c>
      <c r="E5330" s="6" t="s">
        <v>5230</v>
      </c>
      <c r="F5330" s="6">
        <v>7.760681414E9</v>
      </c>
    </row>
    <row r="5331" ht="15.75" customHeight="1">
      <c r="A5331" s="6" t="s">
        <v>5231</v>
      </c>
      <c r="B5331" s="6" t="s">
        <v>5232</v>
      </c>
      <c r="C5331" s="6" t="s">
        <v>5233</v>
      </c>
      <c r="D5331" s="6" t="s">
        <v>9</v>
      </c>
      <c r="E5331" s="6" t="s">
        <v>4625</v>
      </c>
      <c r="F5331" s="6">
        <v>8.57193359E9</v>
      </c>
    </row>
    <row r="5332" ht="15.75" customHeight="1">
      <c r="A5332" s="6" t="s">
        <v>3653</v>
      </c>
      <c r="B5332" s="6" t="s">
        <v>4661</v>
      </c>
      <c r="C5332" s="6" t="s">
        <v>5083</v>
      </c>
      <c r="D5332" s="6" t="s">
        <v>9</v>
      </c>
      <c r="E5332" s="6" t="s">
        <v>3399</v>
      </c>
      <c r="F5332" s="6">
        <v>8.92939096E9</v>
      </c>
    </row>
    <row r="5333" ht="15.75" customHeight="1">
      <c r="A5333" s="6" t="s">
        <v>3358</v>
      </c>
      <c r="B5333" s="6" t="s">
        <v>5234</v>
      </c>
      <c r="C5333" s="6" t="s">
        <v>4360</v>
      </c>
      <c r="D5333" s="6" t="s">
        <v>9</v>
      </c>
      <c r="E5333" s="6" t="s">
        <v>494</v>
      </c>
      <c r="F5333" s="6">
        <v>9.015466052E9</v>
      </c>
    </row>
    <row r="5334" ht="15.75" customHeight="1">
      <c r="A5334" s="6" t="s">
        <v>1213</v>
      </c>
      <c r="B5334" s="6" t="s">
        <v>5235</v>
      </c>
      <c r="C5334" s="6" t="s">
        <v>5236</v>
      </c>
      <c r="D5334" s="6" t="s">
        <v>9</v>
      </c>
      <c r="E5334" s="6" t="s">
        <v>5237</v>
      </c>
      <c r="F5334" s="6">
        <v>6.309468669E9</v>
      </c>
    </row>
    <row r="5335" ht="15.75" customHeight="1">
      <c r="A5335" s="6" t="s">
        <v>565</v>
      </c>
      <c r="B5335" s="6" t="s">
        <v>5238</v>
      </c>
      <c r="C5335" s="6" t="s">
        <v>2708</v>
      </c>
      <c r="D5335" s="6" t="s">
        <v>9</v>
      </c>
      <c r="E5335" s="6" t="s">
        <v>434</v>
      </c>
      <c r="F5335" s="6">
        <v>7.977165629E9</v>
      </c>
    </row>
    <row r="5336" ht="15.75" customHeight="1">
      <c r="A5336" s="6" t="s">
        <v>5239</v>
      </c>
      <c r="B5336" s="6" t="s">
        <v>5240</v>
      </c>
      <c r="C5336" s="6" t="s">
        <v>5241</v>
      </c>
      <c r="D5336" s="6" t="s">
        <v>56</v>
      </c>
      <c r="E5336" s="6" t="s">
        <v>4276</v>
      </c>
      <c r="F5336" s="6">
        <v>9.642381159E9</v>
      </c>
    </row>
    <row r="5337" ht="15.75" customHeight="1">
      <c r="A5337" s="6" t="s">
        <v>1401</v>
      </c>
      <c r="B5337" s="6" t="s">
        <v>125</v>
      </c>
      <c r="C5337" s="6" t="s">
        <v>412</v>
      </c>
      <c r="D5337" s="6" t="s">
        <v>56</v>
      </c>
      <c r="E5337" s="6" t="s">
        <v>5242</v>
      </c>
      <c r="F5337" s="6">
        <v>7.895635055E9</v>
      </c>
    </row>
    <row r="5338" ht="15.75" customHeight="1">
      <c r="A5338" s="6" t="s">
        <v>5243</v>
      </c>
      <c r="B5338" s="6" t="s">
        <v>5244</v>
      </c>
      <c r="C5338" s="6" t="s">
        <v>4360</v>
      </c>
      <c r="D5338" s="6" t="s">
        <v>9</v>
      </c>
      <c r="E5338" s="6" t="s">
        <v>1102</v>
      </c>
      <c r="F5338" s="6">
        <v>9.871889959E9</v>
      </c>
    </row>
    <row r="5339" ht="15.75" customHeight="1">
      <c r="A5339" s="6" t="s">
        <v>5245</v>
      </c>
      <c r="B5339" s="6" t="s">
        <v>5246</v>
      </c>
      <c r="C5339" s="6" t="s">
        <v>4709</v>
      </c>
      <c r="D5339" s="6" t="s">
        <v>9</v>
      </c>
      <c r="E5339" s="6" t="s">
        <v>5247</v>
      </c>
      <c r="F5339" s="6">
        <v>7.082090869E9</v>
      </c>
    </row>
    <row r="5340" ht="15.75" customHeight="1">
      <c r="A5340" s="6" t="s">
        <v>5248</v>
      </c>
      <c r="B5340" s="6" t="s">
        <v>5249</v>
      </c>
      <c r="C5340" s="6" t="s">
        <v>5250</v>
      </c>
      <c r="D5340" s="6" t="s">
        <v>56</v>
      </c>
      <c r="E5340" s="6" t="s">
        <v>4276</v>
      </c>
      <c r="F5340" s="6">
        <v>8.0083133E9</v>
      </c>
    </row>
    <row r="5341" ht="15.75" customHeight="1">
      <c r="A5341" s="6" t="s">
        <v>299</v>
      </c>
      <c r="B5341" s="6" t="s">
        <v>4696</v>
      </c>
      <c r="C5341" s="6" t="s">
        <v>5251</v>
      </c>
      <c r="D5341" s="6" t="s">
        <v>44</v>
      </c>
      <c r="E5341" s="6" t="s">
        <v>1102</v>
      </c>
      <c r="F5341" s="6">
        <v>9.711576987E9</v>
      </c>
    </row>
    <row r="5342" ht="15.75" customHeight="1">
      <c r="A5342" s="6" t="s">
        <v>5252</v>
      </c>
      <c r="B5342" s="6" t="s">
        <v>4988</v>
      </c>
      <c r="C5342" s="6" t="s">
        <v>4449</v>
      </c>
      <c r="D5342" s="6" t="s">
        <v>9</v>
      </c>
      <c r="E5342" s="6" t="s">
        <v>5253</v>
      </c>
      <c r="F5342" s="6">
        <v>7.340621783E9</v>
      </c>
    </row>
    <row r="5343" ht="15.75" customHeight="1">
      <c r="A5343" s="6" t="s">
        <v>4589</v>
      </c>
      <c r="B5343" s="6" t="s">
        <v>1343</v>
      </c>
      <c r="C5343" s="6" t="s">
        <v>5254</v>
      </c>
      <c r="D5343" s="6" t="s">
        <v>56</v>
      </c>
      <c r="E5343" s="6" t="s">
        <v>4276</v>
      </c>
      <c r="F5343" s="6">
        <v>7.799446565E9</v>
      </c>
    </row>
    <row r="5344" ht="15.75" customHeight="1">
      <c r="A5344" s="6" t="s">
        <v>5255</v>
      </c>
      <c r="B5344" s="6" t="s">
        <v>4513</v>
      </c>
      <c r="C5344" s="6" t="s">
        <v>4449</v>
      </c>
      <c r="D5344" s="6" t="s">
        <v>9</v>
      </c>
      <c r="E5344" s="6" t="s">
        <v>5256</v>
      </c>
      <c r="F5344" s="6">
        <v>9.653553542E9</v>
      </c>
    </row>
    <row r="5345" ht="15.75" customHeight="1">
      <c r="A5345" s="6" t="s">
        <v>3575</v>
      </c>
      <c r="B5345" s="6" t="s">
        <v>1265</v>
      </c>
      <c r="C5345" s="6" t="s">
        <v>5257</v>
      </c>
      <c r="D5345" s="6" t="s">
        <v>9</v>
      </c>
      <c r="E5345" s="6" t="s">
        <v>4656</v>
      </c>
      <c r="F5345" s="6">
        <v>8.918151714E9</v>
      </c>
    </row>
    <row r="5346" ht="15.75" customHeight="1">
      <c r="A5346" s="6" t="s">
        <v>5138</v>
      </c>
      <c r="B5346" s="6" t="s">
        <v>65</v>
      </c>
      <c r="C5346" s="6" t="s">
        <v>5083</v>
      </c>
      <c r="D5346" s="6" t="s">
        <v>9</v>
      </c>
      <c r="E5346" s="6" t="s">
        <v>494</v>
      </c>
      <c r="F5346" s="6">
        <v>8.5277822E9</v>
      </c>
    </row>
    <row r="5347" ht="15.75" customHeight="1">
      <c r="A5347" s="6" t="s">
        <v>5258</v>
      </c>
      <c r="B5347" s="6" t="s">
        <v>5238</v>
      </c>
      <c r="C5347" s="6" t="s">
        <v>5259</v>
      </c>
      <c r="D5347" s="6" t="s">
        <v>26</v>
      </c>
      <c r="E5347" s="6" t="s">
        <v>434</v>
      </c>
      <c r="F5347" s="6">
        <v>8.369841312E9</v>
      </c>
    </row>
    <row r="5348" ht="15.75" customHeight="1">
      <c r="A5348" s="6" t="s">
        <v>5260</v>
      </c>
      <c r="B5348" s="6" t="s">
        <v>65</v>
      </c>
      <c r="C5348" s="6" t="s">
        <v>5261</v>
      </c>
      <c r="D5348" s="6" t="s">
        <v>1108</v>
      </c>
      <c r="E5348" s="6" t="s">
        <v>494</v>
      </c>
      <c r="F5348" s="6">
        <v>9.818222088E9</v>
      </c>
    </row>
    <row r="5349" ht="15.75" customHeight="1">
      <c r="A5349" s="6" t="s">
        <v>163</v>
      </c>
      <c r="B5349" s="6" t="s">
        <v>5262</v>
      </c>
      <c r="C5349" s="6" t="s">
        <v>4360</v>
      </c>
      <c r="D5349" s="6" t="s">
        <v>29</v>
      </c>
      <c r="E5349" s="6" t="s">
        <v>494</v>
      </c>
      <c r="F5349" s="6">
        <v>9.560843812E9</v>
      </c>
    </row>
    <row r="5350" ht="15.75" customHeight="1">
      <c r="A5350" s="6" t="s">
        <v>5263</v>
      </c>
      <c r="B5350" s="6" t="s">
        <v>65</v>
      </c>
      <c r="C5350" s="6" t="s">
        <v>5264</v>
      </c>
      <c r="D5350" s="6" t="s">
        <v>9</v>
      </c>
      <c r="E5350" s="6" t="s">
        <v>4015</v>
      </c>
      <c r="F5350" s="6">
        <v>9.958102025E9</v>
      </c>
    </row>
    <row r="5351" ht="15.75" customHeight="1">
      <c r="A5351" s="6" t="s">
        <v>5265</v>
      </c>
      <c r="B5351" s="6" t="s">
        <v>5266</v>
      </c>
      <c r="C5351" s="6" t="s">
        <v>5267</v>
      </c>
      <c r="D5351" s="6" t="s">
        <v>102</v>
      </c>
      <c r="E5351" s="6" t="s">
        <v>4583</v>
      </c>
      <c r="F5351" s="6">
        <v>9.09055662E9</v>
      </c>
    </row>
    <row r="5352" ht="15.75" customHeight="1">
      <c r="A5352" s="6" t="s">
        <v>730</v>
      </c>
      <c r="B5352" s="6" t="s">
        <v>5268</v>
      </c>
      <c r="C5352" s="6" t="s">
        <v>5269</v>
      </c>
      <c r="D5352" s="6" t="s">
        <v>44</v>
      </c>
      <c r="E5352" s="6" t="s">
        <v>4891</v>
      </c>
      <c r="F5352" s="6">
        <v>9.701531588E9</v>
      </c>
    </row>
    <row r="5353" ht="15.75" customHeight="1">
      <c r="A5353" s="6" t="s">
        <v>5270</v>
      </c>
      <c r="B5353" s="6" t="s">
        <v>2388</v>
      </c>
      <c r="C5353" s="6" t="s">
        <v>5271</v>
      </c>
      <c r="D5353" s="6" t="s">
        <v>44</v>
      </c>
      <c r="E5353" s="6" t="s">
        <v>1102</v>
      </c>
      <c r="F5353" s="6">
        <v>9.999478319E9</v>
      </c>
    </row>
    <row r="5354" ht="15.75" customHeight="1">
      <c r="A5354" s="6" t="s">
        <v>299</v>
      </c>
      <c r="B5354" s="6" t="s">
        <v>4696</v>
      </c>
      <c r="C5354" s="6" t="s">
        <v>5272</v>
      </c>
      <c r="D5354" s="6" t="s">
        <v>44</v>
      </c>
      <c r="E5354" s="6" t="s">
        <v>1095</v>
      </c>
      <c r="F5354" s="6">
        <v>9.711576987E9</v>
      </c>
    </row>
    <row r="5355" ht="15.75" customHeight="1">
      <c r="A5355" s="6" t="s">
        <v>2239</v>
      </c>
      <c r="B5355" s="6" t="s">
        <v>5273</v>
      </c>
      <c r="C5355" s="6" t="s">
        <v>4449</v>
      </c>
      <c r="D5355" s="6" t="s">
        <v>9</v>
      </c>
      <c r="E5355" s="6" t="s">
        <v>4961</v>
      </c>
      <c r="F5355" s="6">
        <v>9.996814806E9</v>
      </c>
    </row>
    <row r="5356" ht="15.75" customHeight="1">
      <c r="A5356" s="6" t="s">
        <v>5274</v>
      </c>
      <c r="B5356" s="6" t="s">
        <v>251</v>
      </c>
      <c r="C5356" s="6" t="s">
        <v>5275</v>
      </c>
      <c r="D5356" s="6" t="s">
        <v>56</v>
      </c>
      <c r="E5356" s="6" t="s">
        <v>5247</v>
      </c>
      <c r="F5356" s="6">
        <v>8.168941182E9</v>
      </c>
    </row>
    <row r="5357" ht="15.75" customHeight="1">
      <c r="A5357" s="6" t="s">
        <v>5276</v>
      </c>
      <c r="B5357" s="6" t="s">
        <v>5221</v>
      </c>
      <c r="C5357" s="6" t="s">
        <v>5277</v>
      </c>
      <c r="D5357" s="6" t="s">
        <v>56</v>
      </c>
      <c r="E5357" s="6" t="s">
        <v>3399</v>
      </c>
      <c r="F5357" s="6">
        <v>9.91039888E9</v>
      </c>
    </row>
    <row r="5358" ht="15.75" customHeight="1">
      <c r="A5358" s="6" t="s">
        <v>5278</v>
      </c>
      <c r="B5358" s="6" t="s">
        <v>5279</v>
      </c>
      <c r="C5358" s="6" t="s">
        <v>5280</v>
      </c>
      <c r="D5358" s="6" t="s">
        <v>44</v>
      </c>
      <c r="E5358" s="6" t="s">
        <v>5281</v>
      </c>
      <c r="F5358" s="6">
        <v>9.19307066865E11</v>
      </c>
    </row>
    <row r="5359" ht="15.75" customHeight="1">
      <c r="A5359" s="6" t="s">
        <v>5282</v>
      </c>
      <c r="B5359" s="6" t="s">
        <v>5283</v>
      </c>
      <c r="C5359" s="6" t="s">
        <v>5284</v>
      </c>
      <c r="D5359" s="6" t="s">
        <v>29</v>
      </c>
      <c r="E5359" s="6" t="s">
        <v>5285</v>
      </c>
      <c r="F5359" s="6">
        <v>8.778498654E9</v>
      </c>
    </row>
    <row r="5360" ht="15.75" customHeight="1">
      <c r="A5360" s="6" t="s">
        <v>4330</v>
      </c>
      <c r="B5360" s="6" t="s">
        <v>5286</v>
      </c>
      <c r="C5360" s="6" t="s">
        <v>5287</v>
      </c>
      <c r="D5360" s="6" t="s">
        <v>44</v>
      </c>
      <c r="E5360" s="6" t="s">
        <v>434</v>
      </c>
      <c r="F5360" s="6">
        <v>8.450909922E9</v>
      </c>
    </row>
    <row r="5361" ht="15.75" customHeight="1">
      <c r="A5361" s="6" t="s">
        <v>146</v>
      </c>
      <c r="B5361" s="6" t="s">
        <v>4999</v>
      </c>
      <c r="C5361" s="6" t="s">
        <v>5288</v>
      </c>
      <c r="D5361" s="6" t="s">
        <v>9</v>
      </c>
      <c r="E5361" s="6" t="s">
        <v>3399</v>
      </c>
      <c r="F5361" s="6">
        <v>9.953036442E9</v>
      </c>
    </row>
    <row r="5362" ht="15.75" customHeight="1">
      <c r="A5362" s="6" t="s">
        <v>5289</v>
      </c>
      <c r="B5362" s="6" t="s">
        <v>5290</v>
      </c>
      <c r="C5362" s="6" t="s">
        <v>5291</v>
      </c>
      <c r="D5362" s="6" t="s">
        <v>9</v>
      </c>
      <c r="E5362" s="6" t="s">
        <v>5292</v>
      </c>
      <c r="F5362" s="6">
        <v>8.489117752E9</v>
      </c>
    </row>
    <row r="5363" ht="15.75" customHeight="1">
      <c r="A5363" s="6" t="s">
        <v>1044</v>
      </c>
      <c r="B5363" s="6" t="s">
        <v>5293</v>
      </c>
      <c r="C5363" s="6" t="s">
        <v>5083</v>
      </c>
      <c r="D5363" s="6" t="s">
        <v>9</v>
      </c>
      <c r="E5363" s="6" t="s">
        <v>4015</v>
      </c>
      <c r="F5363" s="6">
        <v>9.818449779E9</v>
      </c>
    </row>
    <row r="5364" ht="15.75" customHeight="1">
      <c r="A5364" s="6" t="s">
        <v>5294</v>
      </c>
      <c r="B5364" s="6" t="s">
        <v>5295</v>
      </c>
      <c r="C5364" s="6" t="s">
        <v>5296</v>
      </c>
      <c r="D5364" s="6" t="s">
        <v>44</v>
      </c>
      <c r="E5364" s="6" t="s">
        <v>5297</v>
      </c>
      <c r="F5364" s="6">
        <v>9.650521766E9</v>
      </c>
    </row>
    <row r="5365" ht="15.75" customHeight="1">
      <c r="A5365" s="6" t="s">
        <v>1260</v>
      </c>
      <c r="B5365" s="6" t="s">
        <v>5298</v>
      </c>
      <c r="C5365" s="6" t="s">
        <v>5299</v>
      </c>
      <c r="D5365" s="6" t="s">
        <v>44</v>
      </c>
      <c r="E5365" s="6" t="s">
        <v>3105</v>
      </c>
      <c r="F5365" s="6">
        <v>9.88642662E9</v>
      </c>
    </row>
    <row r="5366" ht="15.75" customHeight="1">
      <c r="A5366" s="6" t="s">
        <v>4871</v>
      </c>
      <c r="B5366" s="6" t="s">
        <v>308</v>
      </c>
      <c r="C5366" s="6" t="s">
        <v>5300</v>
      </c>
      <c r="D5366" s="6" t="s">
        <v>44</v>
      </c>
      <c r="E5366" s="6" t="s">
        <v>1102</v>
      </c>
      <c r="F5366" s="6">
        <v>8.929459006E9</v>
      </c>
    </row>
    <row r="5367" ht="15.75" customHeight="1">
      <c r="A5367" s="6" t="s">
        <v>5301</v>
      </c>
      <c r="B5367" s="6" t="s">
        <v>5302</v>
      </c>
      <c r="C5367" s="6" t="s">
        <v>5296</v>
      </c>
      <c r="D5367" s="6" t="s">
        <v>44</v>
      </c>
      <c r="E5367" s="6" t="s">
        <v>5297</v>
      </c>
      <c r="F5367" s="6">
        <v>9.650521766E9</v>
      </c>
    </row>
    <row r="5368" ht="15.75" customHeight="1">
      <c r="A5368" s="6" t="s">
        <v>163</v>
      </c>
      <c r="B5368" s="6" t="s">
        <v>525</v>
      </c>
      <c r="C5368" s="6" t="s">
        <v>4360</v>
      </c>
      <c r="D5368" s="6" t="s">
        <v>9</v>
      </c>
      <c r="E5368" s="6" t="s">
        <v>4212</v>
      </c>
      <c r="F5368" s="6">
        <v>9.821581486E9</v>
      </c>
    </row>
    <row r="5369" ht="15.75" customHeight="1">
      <c r="A5369" s="6" t="s">
        <v>1963</v>
      </c>
      <c r="B5369" s="6" t="s">
        <v>63</v>
      </c>
      <c r="C5369" s="6" t="s">
        <v>5303</v>
      </c>
      <c r="D5369" s="6" t="s">
        <v>56</v>
      </c>
      <c r="E5369" s="6" t="s">
        <v>494</v>
      </c>
      <c r="F5369" s="6">
        <v>9.89953616E9</v>
      </c>
    </row>
    <row r="5370" ht="15.75" customHeight="1">
      <c r="A5370" s="6" t="s">
        <v>413</v>
      </c>
      <c r="B5370" s="6" t="s">
        <v>1235</v>
      </c>
      <c r="C5370" s="6" t="s">
        <v>5304</v>
      </c>
      <c r="D5370" s="6" t="s">
        <v>44</v>
      </c>
      <c r="E5370" s="6" t="s">
        <v>1102</v>
      </c>
      <c r="F5370" s="6">
        <v>9.810833997E9</v>
      </c>
    </row>
    <row r="5371" ht="15.75" customHeight="1">
      <c r="A5371" s="6" t="s">
        <v>141</v>
      </c>
      <c r="B5371" s="6" t="s">
        <v>143</v>
      </c>
      <c r="C5371" s="6" t="s">
        <v>4752</v>
      </c>
      <c r="D5371" s="6" t="s">
        <v>44</v>
      </c>
      <c r="E5371" s="6" t="s">
        <v>3105</v>
      </c>
      <c r="F5371" s="6">
        <v>9.900951722E9</v>
      </c>
    </row>
    <row r="5372" ht="15.75" customHeight="1">
      <c r="A5372" s="6" t="s">
        <v>1092</v>
      </c>
      <c r="B5372" s="6" t="s">
        <v>5305</v>
      </c>
      <c r="C5372" s="6" t="s">
        <v>5306</v>
      </c>
      <c r="D5372" s="6" t="s">
        <v>29</v>
      </c>
      <c r="E5372" s="6" t="s">
        <v>282</v>
      </c>
      <c r="F5372" s="6">
        <v>9.40864309E9</v>
      </c>
    </row>
    <row r="5373" ht="15.75" customHeight="1">
      <c r="A5373" s="6" t="s">
        <v>4085</v>
      </c>
      <c r="B5373" s="6" t="s">
        <v>68</v>
      </c>
      <c r="C5373" s="6" t="s">
        <v>5307</v>
      </c>
      <c r="D5373" s="6" t="s">
        <v>9</v>
      </c>
      <c r="E5373" s="6" t="s">
        <v>5281</v>
      </c>
      <c r="F5373" s="6">
        <v>9.02647907E9</v>
      </c>
    </row>
    <row r="5374" ht="15.75" customHeight="1">
      <c r="A5374" s="6" t="s">
        <v>5308</v>
      </c>
      <c r="B5374" s="6" t="s">
        <v>5309</v>
      </c>
      <c r="C5374" s="6" t="s">
        <v>5310</v>
      </c>
      <c r="D5374" s="6" t="s">
        <v>56</v>
      </c>
      <c r="E5374" s="6" t="s">
        <v>4914</v>
      </c>
      <c r="F5374" s="6">
        <v>9.920546146E9</v>
      </c>
    </row>
    <row r="5375" ht="15.75" customHeight="1">
      <c r="A5375" s="6" t="s">
        <v>3773</v>
      </c>
      <c r="B5375" s="6" t="s">
        <v>5311</v>
      </c>
      <c r="C5375" s="6" t="s">
        <v>5083</v>
      </c>
      <c r="D5375" s="6" t="s">
        <v>9</v>
      </c>
      <c r="E5375" s="6" t="s">
        <v>2025</v>
      </c>
      <c r="F5375" s="6">
        <v>9.95308943E9</v>
      </c>
    </row>
    <row r="5376" ht="15.75" customHeight="1">
      <c r="A5376" s="6" t="s">
        <v>881</v>
      </c>
      <c r="B5376" s="6" t="s">
        <v>5312</v>
      </c>
      <c r="C5376" s="6" t="s">
        <v>4783</v>
      </c>
      <c r="D5376" s="6" t="s">
        <v>56</v>
      </c>
      <c r="E5376" s="6" t="s">
        <v>494</v>
      </c>
      <c r="F5376" s="6">
        <v>9.2666566E9</v>
      </c>
    </row>
    <row r="5377" ht="15.75" customHeight="1">
      <c r="A5377" s="6" t="s">
        <v>3302</v>
      </c>
      <c r="B5377" s="6" t="s">
        <v>5313</v>
      </c>
      <c r="C5377" s="6" t="s">
        <v>5314</v>
      </c>
      <c r="D5377" s="6" t="s">
        <v>9</v>
      </c>
      <c r="E5377" s="6" t="s">
        <v>494</v>
      </c>
      <c r="F5377" s="6">
        <v>7.073588678E9</v>
      </c>
    </row>
    <row r="5378" ht="15.75" customHeight="1">
      <c r="A5378" s="6" t="s">
        <v>5315</v>
      </c>
      <c r="B5378" s="6" t="s">
        <v>5316</v>
      </c>
      <c r="C5378" s="6" t="s">
        <v>5259</v>
      </c>
      <c r="D5378" s="6" t="s">
        <v>56</v>
      </c>
      <c r="E5378" s="6" t="s">
        <v>434</v>
      </c>
      <c r="F5378" s="6">
        <v>9.32447839E9</v>
      </c>
    </row>
    <row r="5379" ht="15.75" customHeight="1">
      <c r="A5379" s="6" t="s">
        <v>5317</v>
      </c>
      <c r="B5379" s="6" t="s">
        <v>68</v>
      </c>
      <c r="C5379" s="6" t="s">
        <v>5259</v>
      </c>
      <c r="D5379" s="6" t="s">
        <v>56</v>
      </c>
      <c r="E5379" s="6" t="s">
        <v>434</v>
      </c>
      <c r="F5379" s="6">
        <v>7.04586624E9</v>
      </c>
    </row>
    <row r="5380" ht="15.75" customHeight="1">
      <c r="A5380" s="6" t="s">
        <v>5318</v>
      </c>
      <c r="B5380" s="6" t="s">
        <v>5319</v>
      </c>
      <c r="C5380" s="6" t="s">
        <v>5320</v>
      </c>
      <c r="D5380" s="6" t="s">
        <v>14</v>
      </c>
      <c r="E5380" s="6" t="s">
        <v>4865</v>
      </c>
      <c r="F5380" s="6">
        <v>9.632221587E9</v>
      </c>
    </row>
    <row r="5381" ht="15.75" customHeight="1">
      <c r="A5381" s="6" t="s">
        <v>5321</v>
      </c>
      <c r="B5381" s="6" t="s">
        <v>5322</v>
      </c>
      <c r="C5381" s="6" t="s">
        <v>4449</v>
      </c>
      <c r="D5381" s="6" t="s">
        <v>9</v>
      </c>
      <c r="E5381" s="6" t="s">
        <v>4625</v>
      </c>
      <c r="F5381" s="6">
        <v>9.991655555E9</v>
      </c>
    </row>
    <row r="5382" ht="15.75" customHeight="1">
      <c r="A5382" s="6" t="s">
        <v>5323</v>
      </c>
      <c r="B5382" s="6" t="s">
        <v>5324</v>
      </c>
      <c r="C5382" s="6" t="s">
        <v>5325</v>
      </c>
      <c r="D5382" s="6" t="s">
        <v>29</v>
      </c>
      <c r="E5382" s="6" t="s">
        <v>5326</v>
      </c>
      <c r="F5382" s="6">
        <v>8.608354107E9</v>
      </c>
    </row>
    <row r="5383" ht="15.75" customHeight="1">
      <c r="A5383" s="6" t="s">
        <v>5327</v>
      </c>
      <c r="B5383" s="6" t="s">
        <v>1867</v>
      </c>
      <c r="C5383" s="6" t="s">
        <v>5328</v>
      </c>
      <c r="D5383" s="6" t="s">
        <v>29</v>
      </c>
      <c r="E5383" s="6" t="s">
        <v>4625</v>
      </c>
      <c r="F5383" s="6">
        <v>8.329981523E9</v>
      </c>
    </row>
    <row r="5384" ht="15.75" customHeight="1">
      <c r="A5384" s="6" t="s">
        <v>5038</v>
      </c>
      <c r="B5384" s="6" t="s">
        <v>4999</v>
      </c>
      <c r="C5384" s="6" t="s">
        <v>5083</v>
      </c>
      <c r="D5384" s="6" t="s">
        <v>9</v>
      </c>
      <c r="E5384" s="6" t="s">
        <v>494</v>
      </c>
      <c r="F5384" s="6" t="str">
        <f>+91 96674 71686</f>
        <v>#ERROR!</v>
      </c>
    </row>
    <row r="5385" ht="15.75" customHeight="1">
      <c r="A5385" s="6" t="s">
        <v>146</v>
      </c>
      <c r="B5385" s="6" t="s">
        <v>63</v>
      </c>
      <c r="C5385" s="6" t="s">
        <v>5329</v>
      </c>
      <c r="D5385" s="6" t="s">
        <v>9</v>
      </c>
      <c r="E5385" s="6" t="s">
        <v>434</v>
      </c>
      <c r="F5385" s="6">
        <v>9.833743308E9</v>
      </c>
    </row>
    <row r="5386" ht="15.75" customHeight="1">
      <c r="A5386" s="6" t="s">
        <v>1092</v>
      </c>
      <c r="B5386" s="6" t="s">
        <v>1867</v>
      </c>
      <c r="C5386" s="6" t="s">
        <v>5330</v>
      </c>
      <c r="D5386" s="6" t="s">
        <v>29</v>
      </c>
      <c r="E5386" s="6" t="s">
        <v>4587</v>
      </c>
      <c r="F5386" s="6">
        <v>9.19770207789E11</v>
      </c>
    </row>
    <row r="5387" ht="15.75" customHeight="1">
      <c r="A5387" s="6" t="s">
        <v>5331</v>
      </c>
      <c r="B5387" s="6" t="s">
        <v>4342</v>
      </c>
      <c r="C5387" s="6" t="s">
        <v>5332</v>
      </c>
      <c r="D5387" s="6" t="s">
        <v>29</v>
      </c>
      <c r="E5387" s="6" t="s">
        <v>2115</v>
      </c>
      <c r="F5387" s="6">
        <v>9.67400739E9</v>
      </c>
    </row>
    <row r="5388" ht="15.75" customHeight="1">
      <c r="A5388" s="6" t="s">
        <v>4215</v>
      </c>
      <c r="B5388" s="6" t="s">
        <v>5333</v>
      </c>
      <c r="C5388" s="6" t="s">
        <v>5334</v>
      </c>
      <c r="D5388" s="6" t="s">
        <v>29</v>
      </c>
      <c r="E5388" s="6" t="s">
        <v>2115</v>
      </c>
      <c r="F5388" s="6">
        <v>9.831916101E9</v>
      </c>
    </row>
    <row r="5389" ht="15.75" customHeight="1">
      <c r="A5389" s="6" t="s">
        <v>5335</v>
      </c>
      <c r="B5389" s="6" t="s">
        <v>63</v>
      </c>
      <c r="C5389" s="6" t="s">
        <v>4368</v>
      </c>
      <c r="D5389" s="6" t="s">
        <v>9</v>
      </c>
      <c r="E5389" s="6" t="s">
        <v>4625</v>
      </c>
      <c r="F5389" s="6">
        <v>8.168675962E9</v>
      </c>
    </row>
    <row r="5390" ht="15.75" customHeight="1">
      <c r="A5390" s="6" t="s">
        <v>1562</v>
      </c>
      <c r="B5390" s="6" t="s">
        <v>5336</v>
      </c>
      <c r="C5390" s="6" t="s">
        <v>5337</v>
      </c>
      <c r="D5390" s="6" t="s">
        <v>26</v>
      </c>
      <c r="E5390" s="6" t="s">
        <v>494</v>
      </c>
      <c r="F5390" s="6">
        <v>9.560854111E9</v>
      </c>
    </row>
    <row r="5391" ht="15.75" customHeight="1">
      <c r="A5391" s="6" t="s">
        <v>5338</v>
      </c>
      <c r="B5391" s="6" t="s">
        <v>68</v>
      </c>
      <c r="C5391" s="6" t="s">
        <v>5339</v>
      </c>
      <c r="D5391" s="6" t="s">
        <v>9</v>
      </c>
      <c r="E5391" s="6" t="s">
        <v>494</v>
      </c>
      <c r="F5391" s="6">
        <v>9.58244131E9</v>
      </c>
    </row>
    <row r="5392" ht="15.75" customHeight="1">
      <c r="A5392" s="6" t="s">
        <v>318</v>
      </c>
      <c r="B5392" s="6" t="s">
        <v>119</v>
      </c>
      <c r="C5392" s="6" t="s">
        <v>5340</v>
      </c>
      <c r="D5392" s="6" t="s">
        <v>9</v>
      </c>
      <c r="E5392" s="6" t="s">
        <v>5341</v>
      </c>
      <c r="F5392" s="6">
        <v>9.693239975E9</v>
      </c>
    </row>
    <row r="5393" ht="15.75" customHeight="1">
      <c r="A5393" s="6" t="s">
        <v>5342</v>
      </c>
      <c r="B5393" s="6" t="s">
        <v>5343</v>
      </c>
      <c r="C5393" s="6" t="s">
        <v>4449</v>
      </c>
      <c r="D5393" s="6" t="s">
        <v>29</v>
      </c>
      <c r="E5393" s="6" t="s">
        <v>5344</v>
      </c>
      <c r="F5393" s="6">
        <v>8.607414111E9</v>
      </c>
    </row>
    <row r="5394" ht="15.75" customHeight="1">
      <c r="A5394" s="6" t="s">
        <v>5345</v>
      </c>
      <c r="B5394" s="6" t="s">
        <v>68</v>
      </c>
      <c r="C5394" s="6" t="s">
        <v>2708</v>
      </c>
      <c r="D5394" s="6" t="s">
        <v>9</v>
      </c>
      <c r="E5394" s="6" t="s">
        <v>434</v>
      </c>
      <c r="F5394" s="6">
        <v>9.18104861726E11</v>
      </c>
    </row>
    <row r="5395" ht="15.75" customHeight="1">
      <c r="A5395" s="6" t="s">
        <v>2451</v>
      </c>
      <c r="B5395" s="6" t="s">
        <v>5346</v>
      </c>
      <c r="C5395" s="6" t="s">
        <v>5347</v>
      </c>
      <c r="D5395" s="6" t="s">
        <v>1108</v>
      </c>
      <c r="E5395" s="6" t="s">
        <v>2575</v>
      </c>
      <c r="F5395" s="6">
        <v>9.113974544E9</v>
      </c>
    </row>
    <row r="5396" ht="15.75" customHeight="1">
      <c r="A5396" s="6" t="s">
        <v>3531</v>
      </c>
      <c r="B5396" s="6" t="s">
        <v>2484</v>
      </c>
      <c r="C5396" s="6" t="s">
        <v>5348</v>
      </c>
      <c r="D5396" s="6" t="s">
        <v>9</v>
      </c>
      <c r="E5396" s="6" t="s">
        <v>4015</v>
      </c>
      <c r="F5396" s="6">
        <v>9.81064282E9</v>
      </c>
    </row>
    <row r="5397" ht="15.75" customHeight="1">
      <c r="A5397" s="6" t="s">
        <v>5349</v>
      </c>
      <c r="B5397" s="6" t="s">
        <v>5350</v>
      </c>
      <c r="C5397" s="6" t="s">
        <v>4850</v>
      </c>
      <c r="D5397" s="6" t="s">
        <v>26</v>
      </c>
      <c r="E5397" s="6" t="s">
        <v>5351</v>
      </c>
      <c r="F5397" s="6">
        <v>9.133332005E9</v>
      </c>
    </row>
    <row r="5398" ht="15.75" customHeight="1">
      <c r="A5398" s="6" t="s">
        <v>5352</v>
      </c>
      <c r="B5398" s="6" t="s">
        <v>63</v>
      </c>
      <c r="C5398" s="6" t="s">
        <v>5353</v>
      </c>
      <c r="D5398" s="6" t="s">
        <v>26</v>
      </c>
      <c r="E5398" s="6" t="s">
        <v>5354</v>
      </c>
      <c r="F5398" s="6">
        <v>8.21093937E9</v>
      </c>
    </row>
    <row r="5399" ht="15.75" customHeight="1">
      <c r="A5399" s="6" t="s">
        <v>2594</v>
      </c>
      <c r="B5399" s="6" t="s">
        <v>5355</v>
      </c>
      <c r="C5399" s="6" t="s">
        <v>4360</v>
      </c>
      <c r="D5399" s="6" t="s">
        <v>26</v>
      </c>
      <c r="E5399" s="6" t="s">
        <v>494</v>
      </c>
      <c r="F5399" s="6">
        <v>9.674317799E9</v>
      </c>
    </row>
    <row r="5400" ht="15.75" customHeight="1">
      <c r="A5400" s="6" t="s">
        <v>33</v>
      </c>
      <c r="B5400" s="6" t="s">
        <v>119</v>
      </c>
      <c r="C5400" s="6" t="s">
        <v>5356</v>
      </c>
      <c r="D5400" s="6" t="s">
        <v>14</v>
      </c>
      <c r="E5400" s="6" t="s">
        <v>5357</v>
      </c>
      <c r="F5400" s="6">
        <v>9.693666944E9</v>
      </c>
    </row>
    <row r="5401" ht="15.75" customHeight="1">
      <c r="A5401" s="6" t="s">
        <v>3625</v>
      </c>
      <c r="B5401" s="6" t="s">
        <v>108</v>
      </c>
      <c r="C5401" s="6" t="s">
        <v>5083</v>
      </c>
      <c r="D5401" s="6" t="s">
        <v>26</v>
      </c>
      <c r="E5401" s="6" t="s">
        <v>4015</v>
      </c>
      <c r="F5401" s="6">
        <v>9.015691236E9</v>
      </c>
    </row>
    <row r="5402" ht="15.75" customHeight="1">
      <c r="A5402" s="6" t="s">
        <v>5358</v>
      </c>
      <c r="B5402" s="6" t="s">
        <v>5359</v>
      </c>
      <c r="C5402" s="6" t="s">
        <v>5360</v>
      </c>
      <c r="D5402" s="6" t="s">
        <v>9</v>
      </c>
      <c r="E5402" s="6" t="s">
        <v>1102</v>
      </c>
      <c r="F5402" s="6">
        <v>7.042230235E9</v>
      </c>
    </row>
    <row r="5403" ht="15.75" customHeight="1">
      <c r="A5403" s="6" t="s">
        <v>4589</v>
      </c>
      <c r="B5403" s="6" t="s">
        <v>5361</v>
      </c>
      <c r="C5403" s="6" t="s">
        <v>5362</v>
      </c>
      <c r="D5403" s="6" t="s">
        <v>9</v>
      </c>
      <c r="E5403" s="6" t="s">
        <v>5363</v>
      </c>
      <c r="F5403" s="6">
        <v>9.736118007E9</v>
      </c>
    </row>
    <row r="5404" ht="15.75" customHeight="1">
      <c r="A5404" s="6" t="s">
        <v>463</v>
      </c>
      <c r="B5404" s="6" t="s">
        <v>91</v>
      </c>
      <c r="C5404" s="6" t="s">
        <v>5364</v>
      </c>
      <c r="D5404" s="6" t="s">
        <v>44</v>
      </c>
      <c r="E5404" s="6" t="s">
        <v>5365</v>
      </c>
      <c r="F5404" s="6">
        <v>9.002576217E9</v>
      </c>
    </row>
    <row r="5405" ht="15.75" customHeight="1">
      <c r="A5405" s="6" t="s">
        <v>5366</v>
      </c>
      <c r="B5405" s="6" t="s">
        <v>5183</v>
      </c>
      <c r="C5405" s="6" t="s">
        <v>4449</v>
      </c>
      <c r="D5405" s="6" t="s">
        <v>9</v>
      </c>
      <c r="E5405" s="6" t="s">
        <v>5367</v>
      </c>
      <c r="F5405" s="6">
        <v>9.466029713E9</v>
      </c>
    </row>
    <row r="5406" ht="15.75" customHeight="1">
      <c r="A5406" s="6" t="s">
        <v>5368</v>
      </c>
      <c r="B5406" s="6" t="s">
        <v>5176</v>
      </c>
      <c r="C5406" s="6" t="s">
        <v>5369</v>
      </c>
      <c r="D5406" s="6" t="s">
        <v>9</v>
      </c>
      <c r="E5406" s="6" t="s">
        <v>1102</v>
      </c>
      <c r="F5406" s="6">
        <v>8.287926586E9</v>
      </c>
    </row>
    <row r="5407" ht="15.75" customHeight="1">
      <c r="A5407" s="6" t="s">
        <v>5370</v>
      </c>
      <c r="B5407" s="6" t="s">
        <v>5371</v>
      </c>
      <c r="C5407" s="6" t="s">
        <v>5372</v>
      </c>
      <c r="D5407" s="6" t="s">
        <v>9</v>
      </c>
      <c r="E5407" s="6" t="s">
        <v>5373</v>
      </c>
      <c r="F5407" s="6">
        <v>9.717444848E9</v>
      </c>
    </row>
    <row r="5408" ht="15.75" customHeight="1">
      <c r="A5408" s="6" t="s">
        <v>5374</v>
      </c>
      <c r="B5408" s="6" t="s">
        <v>5375</v>
      </c>
      <c r="C5408" s="6" t="s">
        <v>5376</v>
      </c>
      <c r="D5408" s="6" t="s">
        <v>44</v>
      </c>
      <c r="E5408" s="6" t="s">
        <v>15</v>
      </c>
      <c r="F5408" s="6" t="str">
        <f>+91 9922248949</f>
        <v>#ERROR!</v>
      </c>
    </row>
    <row r="5409" ht="15.75" customHeight="1">
      <c r="A5409" s="6" t="s">
        <v>5377</v>
      </c>
      <c r="B5409" s="6" t="s">
        <v>5378</v>
      </c>
      <c r="C5409" s="6" t="s">
        <v>5379</v>
      </c>
      <c r="D5409" s="6" t="s">
        <v>9</v>
      </c>
      <c r="E5409" s="6" t="s">
        <v>5380</v>
      </c>
      <c r="F5409" s="6">
        <v>9.142105878E9</v>
      </c>
    </row>
    <row r="5410" ht="15.75" customHeight="1">
      <c r="A5410" s="6" t="s">
        <v>5381</v>
      </c>
      <c r="B5410" s="6" t="s">
        <v>675</v>
      </c>
      <c r="C5410" s="6" t="s">
        <v>3322</v>
      </c>
      <c r="D5410" s="6" t="s">
        <v>9</v>
      </c>
      <c r="E5410" s="6" t="s">
        <v>434</v>
      </c>
      <c r="F5410" s="6">
        <v>9.820470204E9</v>
      </c>
    </row>
    <row r="5411" ht="15.75" customHeight="1">
      <c r="A5411" s="6" t="s">
        <v>5382</v>
      </c>
      <c r="B5411" s="6" t="s">
        <v>675</v>
      </c>
      <c r="C5411" s="6" t="s">
        <v>3322</v>
      </c>
      <c r="D5411" s="6" t="s">
        <v>9</v>
      </c>
      <c r="E5411" s="6" t="s">
        <v>434</v>
      </c>
      <c r="F5411" s="6" t="str">
        <f>+852 6874 7995</f>
        <v>#ERROR!</v>
      </c>
    </row>
    <row r="5412" ht="15.75" customHeight="1">
      <c r="A5412" s="6" t="s">
        <v>3404</v>
      </c>
      <c r="B5412" s="6" t="s">
        <v>5383</v>
      </c>
      <c r="C5412" s="6" t="s">
        <v>5384</v>
      </c>
      <c r="D5412" s="6" t="s">
        <v>29</v>
      </c>
      <c r="E5412" s="6" t="s">
        <v>2115</v>
      </c>
      <c r="F5412" s="6">
        <v>7.980547507E9</v>
      </c>
    </row>
    <row r="5413" ht="15.75" customHeight="1">
      <c r="A5413" s="6" t="s">
        <v>5385</v>
      </c>
      <c r="B5413" s="6" t="s">
        <v>5386</v>
      </c>
      <c r="C5413" s="6" t="s">
        <v>5387</v>
      </c>
      <c r="D5413" s="6" t="s">
        <v>26</v>
      </c>
      <c r="E5413" s="6" t="s">
        <v>5388</v>
      </c>
      <c r="F5413" s="6">
        <v>9.149488808E9</v>
      </c>
    </row>
    <row r="5414" ht="15.75" customHeight="1">
      <c r="A5414" s="6" t="s">
        <v>5389</v>
      </c>
      <c r="B5414" s="6" t="s">
        <v>2297</v>
      </c>
      <c r="C5414" s="6" t="s">
        <v>5390</v>
      </c>
      <c r="D5414" s="6" t="s">
        <v>44</v>
      </c>
      <c r="E5414" s="6" t="s">
        <v>5391</v>
      </c>
      <c r="F5414" s="6">
        <v>9.686606406E9</v>
      </c>
    </row>
    <row r="5415" ht="15.75" customHeight="1">
      <c r="A5415" s="6" t="s">
        <v>569</v>
      </c>
      <c r="B5415" s="6" t="s">
        <v>5392</v>
      </c>
      <c r="C5415" s="6" t="s">
        <v>800</v>
      </c>
      <c r="D5415" s="6" t="s">
        <v>26</v>
      </c>
      <c r="E5415" s="6" t="s">
        <v>402</v>
      </c>
      <c r="F5415" s="6">
        <v>9.924354674E9</v>
      </c>
    </row>
    <row r="5416" ht="15.75" customHeight="1">
      <c r="A5416" s="6" t="s">
        <v>5393</v>
      </c>
      <c r="B5416" s="6" t="s">
        <v>5394</v>
      </c>
      <c r="C5416" s="6" t="s">
        <v>5395</v>
      </c>
      <c r="D5416" s="6" t="s">
        <v>44</v>
      </c>
      <c r="E5416" s="6" t="s">
        <v>5396</v>
      </c>
      <c r="F5416" s="6">
        <v>9.6095207E9</v>
      </c>
    </row>
    <row r="5417" ht="15.75" customHeight="1">
      <c r="A5417" s="6" t="s">
        <v>5397</v>
      </c>
      <c r="B5417" s="6" t="s">
        <v>4840</v>
      </c>
      <c r="C5417" s="6" t="s">
        <v>5398</v>
      </c>
      <c r="D5417" s="6" t="s">
        <v>9</v>
      </c>
      <c r="E5417" s="6" t="s">
        <v>5399</v>
      </c>
      <c r="F5417" s="6">
        <v>7.015869169E9</v>
      </c>
    </row>
    <row r="5418" ht="15.75" customHeight="1">
      <c r="A5418" s="6" t="s">
        <v>5400</v>
      </c>
      <c r="B5418" s="6" t="s">
        <v>5401</v>
      </c>
      <c r="C5418" s="6" t="s">
        <v>5402</v>
      </c>
      <c r="D5418" s="6" t="s">
        <v>14</v>
      </c>
      <c r="E5418" s="6" t="s">
        <v>5403</v>
      </c>
      <c r="F5418" s="6">
        <v>7.075763039E9</v>
      </c>
    </row>
    <row r="5419" ht="15.75" customHeight="1">
      <c r="A5419" s="6" t="s">
        <v>5404</v>
      </c>
      <c r="B5419" s="6" t="s">
        <v>225</v>
      </c>
      <c r="C5419" s="6" t="s">
        <v>5405</v>
      </c>
      <c r="D5419" s="6" t="s">
        <v>9</v>
      </c>
      <c r="E5419" s="6" t="s">
        <v>1102</v>
      </c>
      <c r="F5419" s="6">
        <v>7.683089932E9</v>
      </c>
    </row>
    <row r="5420" ht="15.75" customHeight="1">
      <c r="A5420" s="6" t="s">
        <v>2749</v>
      </c>
      <c r="B5420" s="6" t="s">
        <v>5406</v>
      </c>
      <c r="C5420" s="6" t="s">
        <v>925</v>
      </c>
      <c r="D5420" s="6" t="s">
        <v>26</v>
      </c>
      <c r="E5420" s="6" t="s">
        <v>926</v>
      </c>
      <c r="F5420" s="6">
        <v>9.781751E9</v>
      </c>
    </row>
    <row r="5421" ht="15.75" customHeight="1">
      <c r="A5421" s="6" t="s">
        <v>4761</v>
      </c>
      <c r="B5421" s="6" t="s">
        <v>108</v>
      </c>
      <c r="C5421" s="6" t="s">
        <v>5407</v>
      </c>
      <c r="D5421" s="6" t="s">
        <v>56</v>
      </c>
      <c r="E5421" s="6" t="s">
        <v>5408</v>
      </c>
      <c r="F5421" s="6">
        <v>8.054714331E9</v>
      </c>
    </row>
    <row r="5422" ht="15.75" customHeight="1">
      <c r="A5422" s="6" t="s">
        <v>5409</v>
      </c>
      <c r="B5422" s="6" t="s">
        <v>5410</v>
      </c>
      <c r="C5422" s="6" t="s">
        <v>3322</v>
      </c>
      <c r="D5422" s="6" t="s">
        <v>56</v>
      </c>
      <c r="E5422" s="6" t="s">
        <v>434</v>
      </c>
      <c r="F5422" s="6">
        <v>7.506578164E9</v>
      </c>
    </row>
    <row r="5423" ht="15.75" customHeight="1">
      <c r="A5423" s="6" t="s">
        <v>5411</v>
      </c>
      <c r="B5423" s="6" t="s">
        <v>5412</v>
      </c>
      <c r="C5423" s="6" t="s">
        <v>5413</v>
      </c>
      <c r="D5423" s="6" t="s">
        <v>14</v>
      </c>
      <c r="E5423" s="6" t="s">
        <v>2575</v>
      </c>
      <c r="F5423" s="6">
        <v>9.965311676E9</v>
      </c>
    </row>
    <row r="5424" ht="15.75" customHeight="1">
      <c r="A5424" s="6" t="s">
        <v>5414</v>
      </c>
      <c r="B5424" s="6" t="s">
        <v>63</v>
      </c>
      <c r="C5424" s="6" t="s">
        <v>5021</v>
      </c>
      <c r="D5424" s="6" t="s">
        <v>56</v>
      </c>
      <c r="E5424" s="6" t="s">
        <v>1102</v>
      </c>
      <c r="F5424" s="6">
        <v>9.953239915E9</v>
      </c>
    </row>
    <row r="5425" ht="15.75" customHeight="1">
      <c r="A5425" s="6" t="s">
        <v>5415</v>
      </c>
      <c r="B5425" s="6" t="s">
        <v>5416</v>
      </c>
      <c r="C5425" s="6" t="s">
        <v>5417</v>
      </c>
      <c r="D5425" s="6" t="s">
        <v>9</v>
      </c>
      <c r="E5425" s="6" t="s">
        <v>4276</v>
      </c>
      <c r="F5425" s="6">
        <v>9.666099663E9</v>
      </c>
    </row>
    <row r="5426" ht="15.75" customHeight="1">
      <c r="A5426" s="6" t="s">
        <v>5418</v>
      </c>
      <c r="B5426" s="6" t="s">
        <v>5419</v>
      </c>
      <c r="C5426" s="6" t="s">
        <v>5236</v>
      </c>
      <c r="D5426" s="6" t="s">
        <v>9</v>
      </c>
      <c r="E5426" s="6" t="s">
        <v>4276</v>
      </c>
      <c r="F5426" s="6">
        <v>9.346755808E9</v>
      </c>
    </row>
    <row r="5427" ht="15.75" customHeight="1">
      <c r="A5427" s="6" t="s">
        <v>5420</v>
      </c>
      <c r="B5427" s="6" t="s">
        <v>5421</v>
      </c>
      <c r="C5427" s="6" t="s">
        <v>5016</v>
      </c>
      <c r="D5427" s="6" t="s">
        <v>56</v>
      </c>
      <c r="E5427" s="6" t="s">
        <v>4276</v>
      </c>
      <c r="F5427" s="6">
        <v>9.959610409E9</v>
      </c>
    </row>
    <row r="5428" ht="15.75" customHeight="1">
      <c r="A5428" s="6" t="s">
        <v>3773</v>
      </c>
      <c r="B5428" s="6" t="s">
        <v>91</v>
      </c>
      <c r="C5428" s="6" t="s">
        <v>5422</v>
      </c>
      <c r="D5428" s="6" t="s">
        <v>44</v>
      </c>
      <c r="E5428" s="6" t="s">
        <v>5423</v>
      </c>
      <c r="F5428" s="6">
        <v>9.95874777E9</v>
      </c>
    </row>
    <row r="5429" ht="15.75" customHeight="1">
      <c r="A5429" s="6" t="s">
        <v>2109</v>
      </c>
      <c r="B5429" s="6" t="s">
        <v>251</v>
      </c>
      <c r="C5429" s="6" t="s">
        <v>5424</v>
      </c>
      <c r="D5429" s="6" t="s">
        <v>14</v>
      </c>
      <c r="E5429" s="6" t="s">
        <v>5408</v>
      </c>
      <c r="F5429" s="6">
        <v>9.855721911E9</v>
      </c>
    </row>
    <row r="5430" ht="15.75" customHeight="1">
      <c r="A5430" s="6" t="s">
        <v>5425</v>
      </c>
      <c r="B5430" s="6" t="s">
        <v>5426</v>
      </c>
      <c r="C5430" s="6" t="s">
        <v>5427</v>
      </c>
      <c r="D5430" s="6" t="s">
        <v>56</v>
      </c>
      <c r="E5430" s="6" t="s">
        <v>2575</v>
      </c>
      <c r="F5430" s="6">
        <v>8.68204618E9</v>
      </c>
    </row>
    <row r="5431" ht="15.75" customHeight="1">
      <c r="A5431" s="6" t="s">
        <v>5428</v>
      </c>
      <c r="B5431" s="6" t="s">
        <v>65</v>
      </c>
      <c r="C5431" s="6" t="s">
        <v>5429</v>
      </c>
      <c r="D5431" s="6" t="s">
        <v>44</v>
      </c>
      <c r="E5431" s="6" t="s">
        <v>5408</v>
      </c>
      <c r="F5431" s="6" t="str">
        <f>+91 94630 61297</f>
        <v>#ERROR!</v>
      </c>
    </row>
    <row r="5432" ht="15.75" customHeight="1">
      <c r="A5432" s="6" t="s">
        <v>5393</v>
      </c>
      <c r="B5432" s="6" t="s">
        <v>5394</v>
      </c>
      <c r="C5432" s="6" t="s">
        <v>5430</v>
      </c>
      <c r="D5432" s="6" t="s">
        <v>44</v>
      </c>
      <c r="E5432" s="6" t="s">
        <v>5396</v>
      </c>
      <c r="F5432" s="6">
        <v>9.6095207E9</v>
      </c>
    </row>
    <row r="5433" ht="15.75" customHeight="1">
      <c r="A5433" s="6" t="s">
        <v>2073</v>
      </c>
      <c r="B5433" s="6" t="s">
        <v>5431</v>
      </c>
      <c r="C5433" s="6" t="s">
        <v>5432</v>
      </c>
      <c r="D5433" s="6" t="s">
        <v>56</v>
      </c>
      <c r="E5433" s="6" t="s">
        <v>5433</v>
      </c>
      <c r="F5433" s="6">
        <v>8.777580834E9</v>
      </c>
    </row>
    <row r="5434" ht="15.75" customHeight="1">
      <c r="A5434" s="6" t="s">
        <v>5434</v>
      </c>
      <c r="B5434" s="6" t="s">
        <v>5435</v>
      </c>
      <c r="C5434" s="6" t="s">
        <v>5430</v>
      </c>
      <c r="D5434" s="6" t="s">
        <v>26</v>
      </c>
      <c r="E5434" s="6" t="s">
        <v>5396</v>
      </c>
      <c r="F5434" s="6">
        <v>7.90873294E9</v>
      </c>
    </row>
    <row r="5435" ht="15.75" customHeight="1">
      <c r="A5435" s="6" t="s">
        <v>5436</v>
      </c>
      <c r="B5435" s="6" t="s">
        <v>5437</v>
      </c>
      <c r="C5435" s="6" t="s">
        <v>5236</v>
      </c>
      <c r="D5435" s="6" t="s">
        <v>56</v>
      </c>
      <c r="E5435" s="6" t="s">
        <v>5438</v>
      </c>
      <c r="F5435" s="6">
        <v>6.309894707E9</v>
      </c>
    </row>
    <row r="5436" ht="15.75" customHeight="1">
      <c r="A5436" s="6" t="s">
        <v>5439</v>
      </c>
      <c r="B5436" s="6" t="s">
        <v>251</v>
      </c>
      <c r="C5436" s="6" t="s">
        <v>5429</v>
      </c>
      <c r="D5436" s="6" t="s">
        <v>44</v>
      </c>
      <c r="E5436" s="6" t="s">
        <v>5440</v>
      </c>
      <c r="F5436" s="6">
        <v>9.19417166898E11</v>
      </c>
    </row>
    <row r="5437" ht="15.75" customHeight="1">
      <c r="A5437" s="6" t="s">
        <v>4974</v>
      </c>
      <c r="B5437" s="6" t="s">
        <v>5441</v>
      </c>
      <c r="C5437" s="6" t="s">
        <v>5442</v>
      </c>
      <c r="D5437" s="6" t="s">
        <v>26</v>
      </c>
      <c r="E5437" s="6" t="s">
        <v>4276</v>
      </c>
      <c r="F5437" s="6">
        <v>6.305786043E9</v>
      </c>
    </row>
    <row r="5438" ht="15.75" customHeight="1">
      <c r="A5438" s="6" t="s">
        <v>5443</v>
      </c>
      <c r="B5438" s="6" t="s">
        <v>5444</v>
      </c>
      <c r="C5438" s="6" t="s">
        <v>5016</v>
      </c>
      <c r="D5438" s="6" t="s">
        <v>26</v>
      </c>
      <c r="E5438" s="6" t="s">
        <v>4276</v>
      </c>
      <c r="F5438" s="6">
        <v>7.093515201E9</v>
      </c>
    </row>
    <row r="5439" ht="15.75" customHeight="1">
      <c r="A5439" s="6" t="s">
        <v>1035</v>
      </c>
      <c r="B5439" s="6" t="s">
        <v>5445</v>
      </c>
      <c r="C5439" s="6" t="s">
        <v>5446</v>
      </c>
      <c r="D5439" s="6" t="s">
        <v>26</v>
      </c>
      <c r="E5439" s="6" t="s">
        <v>5408</v>
      </c>
      <c r="F5439" s="6">
        <v>9.041187623E9</v>
      </c>
    </row>
    <row r="5440" ht="15.75" customHeight="1">
      <c r="A5440" s="6" t="s">
        <v>5447</v>
      </c>
      <c r="B5440" s="6" t="s">
        <v>5448</v>
      </c>
      <c r="C5440" s="6" t="s">
        <v>5449</v>
      </c>
      <c r="D5440" s="6" t="s">
        <v>44</v>
      </c>
      <c r="E5440" s="6" t="s">
        <v>494</v>
      </c>
      <c r="F5440" s="6">
        <v>8.448803119E9</v>
      </c>
    </row>
    <row r="5441" ht="15.75" customHeight="1">
      <c r="A5441" s="6" t="s">
        <v>557</v>
      </c>
      <c r="B5441" s="6" t="s">
        <v>5450</v>
      </c>
      <c r="C5441" s="6" t="s">
        <v>5451</v>
      </c>
      <c r="D5441" s="6" t="s">
        <v>56</v>
      </c>
      <c r="E5441" s="6" t="s">
        <v>5452</v>
      </c>
      <c r="F5441" s="6">
        <v>9.780848078E9</v>
      </c>
    </row>
    <row r="5442" ht="15.75" customHeight="1">
      <c r="A5442" s="6" t="s">
        <v>2930</v>
      </c>
      <c r="B5442" s="6" t="s">
        <v>4229</v>
      </c>
      <c r="C5442" s="6" t="s">
        <v>5429</v>
      </c>
      <c r="D5442" s="6" t="s">
        <v>44</v>
      </c>
      <c r="E5442" s="6" t="s">
        <v>5408</v>
      </c>
      <c r="F5442" s="6">
        <v>9.464791647E9</v>
      </c>
    </row>
    <row r="5443" ht="15.75" customHeight="1">
      <c r="A5443" s="6" t="s">
        <v>4974</v>
      </c>
      <c r="B5443" s="6" t="s">
        <v>5453</v>
      </c>
      <c r="C5443" s="6" t="s">
        <v>5016</v>
      </c>
      <c r="D5443" s="6" t="s">
        <v>26</v>
      </c>
      <c r="E5443" s="6" t="s">
        <v>4276</v>
      </c>
      <c r="F5443" s="6">
        <v>9.885202511E9</v>
      </c>
    </row>
    <row r="5444" ht="15.75" customHeight="1">
      <c r="A5444" s="6" t="s">
        <v>5454</v>
      </c>
      <c r="B5444" s="6" t="s">
        <v>5455</v>
      </c>
      <c r="C5444" s="6" t="s">
        <v>5451</v>
      </c>
      <c r="D5444" s="6" t="s">
        <v>56</v>
      </c>
      <c r="E5444" s="6" t="s">
        <v>5452</v>
      </c>
      <c r="F5444" s="6">
        <v>9.815728813E9</v>
      </c>
    </row>
    <row r="5445" ht="15.75" customHeight="1">
      <c r="A5445" s="6" t="s">
        <v>1260</v>
      </c>
      <c r="B5445" s="6" t="s">
        <v>5456</v>
      </c>
      <c r="C5445" s="6" t="s">
        <v>3322</v>
      </c>
      <c r="D5445" s="6" t="s">
        <v>9</v>
      </c>
      <c r="E5445" s="6" t="s">
        <v>434</v>
      </c>
      <c r="F5445" s="6">
        <v>9.930399106E9</v>
      </c>
    </row>
    <row r="5446" ht="15.75" customHeight="1">
      <c r="A5446" s="6" t="s">
        <v>5457</v>
      </c>
      <c r="B5446" s="6" t="s">
        <v>5458</v>
      </c>
      <c r="C5446" s="6" t="s">
        <v>4218</v>
      </c>
      <c r="D5446" s="6" t="s">
        <v>9</v>
      </c>
      <c r="E5446" s="6" t="s">
        <v>4007</v>
      </c>
      <c r="F5446" s="6">
        <v>8.448271994E9</v>
      </c>
    </row>
    <row r="5447" ht="15.75" customHeight="1">
      <c r="A5447" s="6" t="s">
        <v>5459</v>
      </c>
      <c r="B5447" s="6" t="s">
        <v>603</v>
      </c>
      <c r="C5447" s="6" t="s">
        <v>5332</v>
      </c>
      <c r="D5447" s="6" t="s">
        <v>26</v>
      </c>
      <c r="E5447" s="6" t="s">
        <v>2115</v>
      </c>
      <c r="F5447" s="6">
        <v>9.007530103E9</v>
      </c>
    </row>
    <row r="5448" ht="15.75" customHeight="1">
      <c r="A5448" s="6" t="s">
        <v>4137</v>
      </c>
      <c r="B5448" s="6" t="s">
        <v>5460</v>
      </c>
      <c r="C5448" s="6" t="s">
        <v>5429</v>
      </c>
      <c r="D5448" s="6" t="s">
        <v>26</v>
      </c>
      <c r="E5448" s="6" t="s">
        <v>5461</v>
      </c>
      <c r="F5448" s="6">
        <v>7.657890065E9</v>
      </c>
    </row>
    <row r="5449" ht="15.75" customHeight="1">
      <c r="A5449" s="6" t="s">
        <v>996</v>
      </c>
      <c r="B5449" s="6" t="s">
        <v>3599</v>
      </c>
      <c r="C5449" s="6" t="s">
        <v>5462</v>
      </c>
      <c r="D5449" s="6" t="s">
        <v>44</v>
      </c>
      <c r="E5449" s="6" t="s">
        <v>434</v>
      </c>
      <c r="F5449" s="6">
        <v>9.324011666E9</v>
      </c>
    </row>
    <row r="5450" ht="15.75" customHeight="1">
      <c r="A5450" s="6" t="s">
        <v>5463</v>
      </c>
      <c r="B5450" s="6" t="s">
        <v>1663</v>
      </c>
      <c r="C5450" s="6" t="s">
        <v>3322</v>
      </c>
      <c r="D5450" s="6" t="s">
        <v>56</v>
      </c>
      <c r="E5450" s="6" t="s">
        <v>434</v>
      </c>
      <c r="F5450" s="6">
        <v>7.081222012E9</v>
      </c>
    </row>
    <row r="5451" ht="15.75" customHeight="1">
      <c r="A5451" s="6" t="s">
        <v>5464</v>
      </c>
      <c r="B5451" s="6" t="s">
        <v>5465</v>
      </c>
      <c r="C5451" s="6" t="s">
        <v>5466</v>
      </c>
      <c r="D5451" s="6" t="s">
        <v>56</v>
      </c>
      <c r="E5451" s="6" t="s">
        <v>4276</v>
      </c>
      <c r="F5451" s="6">
        <v>9.949316693E9</v>
      </c>
    </row>
    <row r="5452" ht="15.75" customHeight="1">
      <c r="A5452" s="6" t="s">
        <v>4505</v>
      </c>
      <c r="B5452" s="6" t="s">
        <v>117</v>
      </c>
      <c r="C5452" s="6" t="s">
        <v>5028</v>
      </c>
      <c r="D5452" s="6" t="s">
        <v>56</v>
      </c>
      <c r="E5452" s="6" t="s">
        <v>494</v>
      </c>
      <c r="F5452" s="6">
        <v>9.811765341E9</v>
      </c>
    </row>
    <row r="5453" ht="15.75" customHeight="1">
      <c r="A5453" s="6" t="s">
        <v>5467</v>
      </c>
      <c r="B5453" s="6" t="s">
        <v>49</v>
      </c>
      <c r="C5453" s="6" t="s">
        <v>5072</v>
      </c>
      <c r="D5453" s="6" t="s">
        <v>56</v>
      </c>
      <c r="E5453" s="6" t="s">
        <v>4276</v>
      </c>
      <c r="F5453" s="6">
        <v>9.100880303E9</v>
      </c>
    </row>
    <row r="5454" ht="15.75" customHeight="1">
      <c r="A5454" s="6" t="s">
        <v>5468</v>
      </c>
      <c r="B5454" s="6" t="s">
        <v>3078</v>
      </c>
      <c r="C5454" s="6" t="s">
        <v>5469</v>
      </c>
      <c r="D5454" s="6" t="s">
        <v>56</v>
      </c>
      <c r="E5454" s="6" t="s">
        <v>2575</v>
      </c>
      <c r="F5454" s="6">
        <v>9.786028729E9</v>
      </c>
    </row>
    <row r="5455" ht="15.75" customHeight="1">
      <c r="A5455" s="6" t="s">
        <v>5317</v>
      </c>
      <c r="B5455" s="6" t="s">
        <v>5470</v>
      </c>
      <c r="C5455" s="6" t="s">
        <v>3322</v>
      </c>
      <c r="D5455" s="6" t="s">
        <v>9</v>
      </c>
      <c r="E5455" s="6" t="s">
        <v>434</v>
      </c>
      <c r="F5455" s="6">
        <v>9.324632116E9</v>
      </c>
    </row>
    <row r="5456" ht="15.75" customHeight="1">
      <c r="A5456" s="6" t="s">
        <v>5471</v>
      </c>
      <c r="B5456" s="6" t="s">
        <v>50</v>
      </c>
      <c r="C5456" s="6" t="s">
        <v>2708</v>
      </c>
      <c r="D5456" s="6" t="s">
        <v>56</v>
      </c>
      <c r="E5456" s="6" t="s">
        <v>434</v>
      </c>
      <c r="F5456" s="6">
        <v>9.930836903E9</v>
      </c>
    </row>
    <row r="5457" ht="15.75" customHeight="1">
      <c r="A5457" s="6" t="s">
        <v>871</v>
      </c>
      <c r="B5457" s="6" t="s">
        <v>1791</v>
      </c>
      <c r="C5457" s="6" t="s">
        <v>3322</v>
      </c>
      <c r="D5457" s="6" t="s">
        <v>56</v>
      </c>
      <c r="E5457" s="6" t="s">
        <v>434</v>
      </c>
      <c r="F5457" s="6">
        <v>8.291365536E9</v>
      </c>
    </row>
    <row r="5458" ht="15.75" customHeight="1">
      <c r="A5458" s="6" t="s">
        <v>5472</v>
      </c>
      <c r="B5458" s="6" t="s">
        <v>2017</v>
      </c>
      <c r="C5458" s="6" t="s">
        <v>2708</v>
      </c>
      <c r="D5458" s="6" t="s">
        <v>56</v>
      </c>
      <c r="E5458" s="6" t="s">
        <v>434</v>
      </c>
      <c r="F5458" s="6">
        <v>9.326160511E9</v>
      </c>
    </row>
    <row r="5459" ht="15.75" customHeight="1">
      <c r="A5459" s="6" t="s">
        <v>5473</v>
      </c>
      <c r="B5459" s="6" t="s">
        <v>3078</v>
      </c>
      <c r="C5459" s="6" t="s">
        <v>5474</v>
      </c>
      <c r="D5459" s="6" t="s">
        <v>56</v>
      </c>
      <c r="E5459" s="6" t="s">
        <v>4971</v>
      </c>
      <c r="F5459" s="6">
        <v>9.84012518E9</v>
      </c>
    </row>
    <row r="5460" ht="15.75" customHeight="1">
      <c r="A5460" s="6" t="s">
        <v>35</v>
      </c>
      <c r="B5460" s="6" t="s">
        <v>5475</v>
      </c>
      <c r="C5460" s="6" t="s">
        <v>5469</v>
      </c>
      <c r="D5460" s="6" t="s">
        <v>9</v>
      </c>
      <c r="E5460" s="6" t="s">
        <v>2575</v>
      </c>
      <c r="F5460" s="6">
        <v>9.488078769E9</v>
      </c>
    </row>
    <row r="5461" ht="15.75" customHeight="1">
      <c r="A5461" s="6" t="s">
        <v>5476</v>
      </c>
      <c r="B5461" s="6" t="s">
        <v>5477</v>
      </c>
      <c r="C5461" s="6" t="s">
        <v>4850</v>
      </c>
      <c r="D5461" s="6" t="s">
        <v>26</v>
      </c>
      <c r="E5461" s="6" t="s">
        <v>5351</v>
      </c>
      <c r="F5461" s="6">
        <v>9.030392526E9</v>
      </c>
    </row>
    <row r="5462" ht="15.75" customHeight="1">
      <c r="A5462" s="6" t="s">
        <v>5478</v>
      </c>
      <c r="B5462" s="6" t="s">
        <v>5479</v>
      </c>
      <c r="C5462" s="6" t="s">
        <v>5236</v>
      </c>
      <c r="D5462" s="6" t="s">
        <v>56</v>
      </c>
      <c r="E5462" s="6" t="s">
        <v>4276</v>
      </c>
      <c r="F5462" s="6">
        <v>9.052550121E9</v>
      </c>
    </row>
    <row r="5463" ht="15.75" customHeight="1">
      <c r="A5463" s="6" t="s">
        <v>1889</v>
      </c>
      <c r="B5463" s="6" t="s">
        <v>1407</v>
      </c>
      <c r="C5463" s="6" t="s">
        <v>5480</v>
      </c>
      <c r="D5463" s="6" t="s">
        <v>9</v>
      </c>
      <c r="E5463" s="6" t="s">
        <v>5242</v>
      </c>
      <c r="F5463" s="6">
        <v>7.017920223E9</v>
      </c>
    </row>
    <row r="5464" ht="15.75" customHeight="1">
      <c r="A5464" s="6" t="s">
        <v>5481</v>
      </c>
      <c r="B5464" s="6" t="s">
        <v>5482</v>
      </c>
      <c r="C5464" s="6" t="s">
        <v>5483</v>
      </c>
      <c r="D5464" s="6" t="s">
        <v>9</v>
      </c>
      <c r="E5464" s="6" t="s">
        <v>195</v>
      </c>
      <c r="F5464" s="6" t="s">
        <v>5484</v>
      </c>
    </row>
    <row r="5465" ht="15.75" customHeight="1">
      <c r="A5465" s="6" t="s">
        <v>5485</v>
      </c>
      <c r="B5465" s="6" t="s">
        <v>4522</v>
      </c>
      <c r="C5465" s="6" t="s">
        <v>5021</v>
      </c>
      <c r="D5465" s="6" t="s">
        <v>56</v>
      </c>
      <c r="E5465" s="6" t="s">
        <v>494</v>
      </c>
      <c r="F5465" s="6">
        <v>9.582289149E9</v>
      </c>
    </row>
    <row r="5466" ht="15.75" customHeight="1">
      <c r="A5466" s="6" t="s">
        <v>1289</v>
      </c>
      <c r="B5466" s="6" t="s">
        <v>499</v>
      </c>
      <c r="C5466" s="6" t="s">
        <v>5486</v>
      </c>
      <c r="D5466" s="6" t="s">
        <v>9</v>
      </c>
      <c r="E5466" s="6" t="s">
        <v>5487</v>
      </c>
      <c r="F5466" s="6">
        <v>9.999926323E9</v>
      </c>
    </row>
    <row r="5467" ht="15.75" customHeight="1">
      <c r="A5467" s="6" t="s">
        <v>5488</v>
      </c>
      <c r="B5467" s="6" t="s">
        <v>5489</v>
      </c>
      <c r="C5467" s="6" t="s">
        <v>5490</v>
      </c>
      <c r="D5467" s="6" t="s">
        <v>56</v>
      </c>
      <c r="E5467" s="6" t="s">
        <v>494</v>
      </c>
      <c r="F5467" s="6">
        <v>9.711770528E9</v>
      </c>
    </row>
    <row r="5468" ht="15.75" customHeight="1">
      <c r="A5468" s="6" t="s">
        <v>5491</v>
      </c>
      <c r="B5468" s="6" t="s">
        <v>5492</v>
      </c>
      <c r="C5468" s="6" t="s">
        <v>5493</v>
      </c>
      <c r="D5468" s="6" t="s">
        <v>9</v>
      </c>
      <c r="E5468" s="6" t="s">
        <v>2575</v>
      </c>
      <c r="F5468" s="6">
        <v>9.444796343E9</v>
      </c>
    </row>
    <row r="5469" ht="15.75" customHeight="1">
      <c r="A5469" s="6" t="s">
        <v>3358</v>
      </c>
      <c r="B5469" s="6" t="s">
        <v>5494</v>
      </c>
      <c r="C5469" s="6" t="s">
        <v>5236</v>
      </c>
      <c r="D5469" s="6" t="s">
        <v>9</v>
      </c>
      <c r="E5469" s="6" t="s">
        <v>5495</v>
      </c>
      <c r="F5469" s="6">
        <v>7.470777748E9</v>
      </c>
    </row>
    <row r="5470" ht="15.75" customHeight="1">
      <c r="A5470" s="6" t="s">
        <v>189</v>
      </c>
      <c r="B5470" s="6" t="s">
        <v>1090</v>
      </c>
      <c r="C5470" s="6" t="s">
        <v>5332</v>
      </c>
      <c r="D5470" s="6" t="s">
        <v>29</v>
      </c>
      <c r="E5470" s="6" t="s">
        <v>2115</v>
      </c>
      <c r="F5470" s="6">
        <v>8.617584936E9</v>
      </c>
    </row>
    <row r="5471" ht="15.75" customHeight="1">
      <c r="A5471" s="6" t="s">
        <v>2475</v>
      </c>
      <c r="B5471" s="6" t="s">
        <v>3597</v>
      </c>
      <c r="C5471" s="6" t="s">
        <v>3351</v>
      </c>
      <c r="D5471" s="6" t="s">
        <v>9</v>
      </c>
      <c r="E5471" s="6" t="s">
        <v>434</v>
      </c>
      <c r="F5471" s="6">
        <v>9.920312838E9</v>
      </c>
    </row>
    <row r="5472" ht="15.75" customHeight="1">
      <c r="A5472" s="6" t="s">
        <v>5496</v>
      </c>
      <c r="B5472" s="6" t="s">
        <v>78</v>
      </c>
      <c r="C5472" s="6" t="s">
        <v>5417</v>
      </c>
      <c r="D5472" s="6" t="s">
        <v>9</v>
      </c>
      <c r="E5472" s="6" t="s">
        <v>4276</v>
      </c>
      <c r="F5472" s="6">
        <v>9.398852282E9</v>
      </c>
    </row>
    <row r="5473" ht="15.75" customHeight="1">
      <c r="A5473" s="6" t="s">
        <v>3888</v>
      </c>
      <c r="B5473" s="6" t="s">
        <v>5497</v>
      </c>
      <c r="C5473" s="6" t="s">
        <v>5236</v>
      </c>
      <c r="D5473" s="6" t="s">
        <v>9</v>
      </c>
      <c r="E5473" s="6" t="s">
        <v>5495</v>
      </c>
      <c r="F5473" s="6">
        <v>9.030066E9</v>
      </c>
    </row>
    <row r="5474" ht="15.75" customHeight="1">
      <c r="A5474" s="6" t="s">
        <v>5498</v>
      </c>
      <c r="B5474" s="6" t="s">
        <v>65</v>
      </c>
      <c r="C5474" s="6" t="s">
        <v>3322</v>
      </c>
      <c r="D5474" s="6" t="s">
        <v>56</v>
      </c>
      <c r="E5474" s="6" t="s">
        <v>434</v>
      </c>
      <c r="F5474" s="6">
        <v>7.045084364E9</v>
      </c>
    </row>
    <row r="5475" ht="15.75" customHeight="1">
      <c r="A5475" s="6" t="s">
        <v>520</v>
      </c>
      <c r="B5475" s="6" t="s">
        <v>5499</v>
      </c>
      <c r="C5475" s="6" t="s">
        <v>5500</v>
      </c>
      <c r="D5475" s="6" t="s">
        <v>44</v>
      </c>
      <c r="E5475" s="6" t="s">
        <v>19</v>
      </c>
      <c r="F5475" s="6" t="str">
        <f>+91 9234587887</f>
        <v>#ERROR!</v>
      </c>
    </row>
    <row r="5476" ht="15.75" customHeight="1">
      <c r="A5476" s="6" t="s">
        <v>5501</v>
      </c>
      <c r="B5476" s="6" t="s">
        <v>68</v>
      </c>
      <c r="C5476" s="6" t="s">
        <v>5502</v>
      </c>
      <c r="D5476" s="6" t="s">
        <v>44</v>
      </c>
      <c r="E5476" s="6" t="s">
        <v>4276</v>
      </c>
      <c r="F5476" s="6">
        <v>8.008954609E9</v>
      </c>
    </row>
    <row r="5477" ht="15.75" customHeight="1">
      <c r="A5477" s="6" t="s">
        <v>5503</v>
      </c>
      <c r="B5477" s="6" t="s">
        <v>5504</v>
      </c>
      <c r="C5477" s="6" t="s">
        <v>5505</v>
      </c>
      <c r="D5477" s="6" t="s">
        <v>9</v>
      </c>
      <c r="E5477" s="6" t="s">
        <v>5242</v>
      </c>
      <c r="F5477" s="6">
        <v>9.956059333E9</v>
      </c>
    </row>
    <row r="5478" ht="15.75" customHeight="1">
      <c r="A5478" s="6" t="s">
        <v>5506</v>
      </c>
      <c r="B5478" s="6" t="s">
        <v>5507</v>
      </c>
      <c r="C5478" s="6" t="s">
        <v>5332</v>
      </c>
      <c r="D5478" s="6" t="s">
        <v>9</v>
      </c>
      <c r="E5478" s="6" t="s">
        <v>2115</v>
      </c>
      <c r="F5478" s="6">
        <v>9.19903934809E11</v>
      </c>
    </row>
    <row r="5479" ht="15.75" customHeight="1">
      <c r="A5479" s="6" t="s">
        <v>5508</v>
      </c>
      <c r="B5479" s="6" t="s">
        <v>3440</v>
      </c>
      <c r="C5479" s="6" t="s">
        <v>5509</v>
      </c>
      <c r="D5479" s="6" t="s">
        <v>9</v>
      </c>
      <c r="E5479" s="6" t="s">
        <v>4276</v>
      </c>
      <c r="F5479" s="6">
        <v>9.000034545E9</v>
      </c>
    </row>
    <row r="5480" ht="15.75" customHeight="1">
      <c r="A5480" s="6" t="s">
        <v>5510</v>
      </c>
      <c r="B5480" s="6" t="s">
        <v>5511</v>
      </c>
      <c r="C5480" s="6" t="s">
        <v>5512</v>
      </c>
      <c r="D5480" s="6" t="s">
        <v>9</v>
      </c>
      <c r="E5480" s="6" t="s">
        <v>4276</v>
      </c>
      <c r="F5480" s="6">
        <v>9.34754341E9</v>
      </c>
    </row>
    <row r="5481" ht="15.75" customHeight="1">
      <c r="A5481" s="6" t="s">
        <v>871</v>
      </c>
      <c r="B5481" s="6" t="s">
        <v>5513</v>
      </c>
      <c r="C5481" s="6" t="s">
        <v>3322</v>
      </c>
      <c r="D5481" s="6" t="s">
        <v>29</v>
      </c>
      <c r="E5481" s="6" t="s">
        <v>434</v>
      </c>
      <c r="F5481" s="6">
        <v>9.819625232E9</v>
      </c>
    </row>
    <row r="5482" ht="15.75" customHeight="1">
      <c r="A5482" s="6" t="s">
        <v>5157</v>
      </c>
      <c r="B5482" s="6" t="s">
        <v>5514</v>
      </c>
      <c r="C5482" s="6" t="s">
        <v>5236</v>
      </c>
      <c r="D5482" s="6" t="s">
        <v>9</v>
      </c>
      <c r="E5482" s="6" t="s">
        <v>4455</v>
      </c>
      <c r="F5482" s="6">
        <v>8.074698484E9</v>
      </c>
    </row>
    <row r="5483" ht="15.75" customHeight="1">
      <c r="A5483" s="6" t="s">
        <v>3200</v>
      </c>
      <c r="B5483" s="6" t="s">
        <v>5515</v>
      </c>
      <c r="C5483" s="6" t="s">
        <v>4257</v>
      </c>
      <c r="D5483" s="6" t="s">
        <v>44</v>
      </c>
      <c r="E5483" s="6" t="s">
        <v>5516</v>
      </c>
      <c r="F5483" s="6">
        <v>9.820381302E9</v>
      </c>
    </row>
    <row r="5484" ht="15.75" customHeight="1">
      <c r="A5484" s="6" t="s">
        <v>40</v>
      </c>
      <c r="B5484" s="6" t="s">
        <v>5517</v>
      </c>
      <c r="C5484" s="6" t="s">
        <v>4275</v>
      </c>
      <c r="D5484" s="6" t="s">
        <v>26</v>
      </c>
      <c r="E5484" s="6" t="s">
        <v>4276</v>
      </c>
      <c r="F5484" s="6">
        <v>9.01489635E9</v>
      </c>
    </row>
    <row r="5485" ht="15.75" customHeight="1">
      <c r="A5485" s="6" t="s">
        <v>5518</v>
      </c>
      <c r="B5485" s="6" t="s">
        <v>5302</v>
      </c>
      <c r="C5485" s="6" t="s">
        <v>5519</v>
      </c>
      <c r="D5485" s="6" t="s">
        <v>9</v>
      </c>
      <c r="E5485" s="6" t="s">
        <v>494</v>
      </c>
      <c r="F5485" s="6">
        <v>9.990714556E9</v>
      </c>
    </row>
    <row r="5486" ht="15.75" customHeight="1">
      <c r="A5486" s="6" t="s">
        <v>5520</v>
      </c>
      <c r="B5486" s="6" t="s">
        <v>3015</v>
      </c>
      <c r="C5486" s="6" t="s">
        <v>5521</v>
      </c>
      <c r="D5486" s="6" t="s">
        <v>44</v>
      </c>
      <c r="E5486" s="6" t="s">
        <v>434</v>
      </c>
      <c r="F5486" s="6">
        <v>9.819543484E9</v>
      </c>
    </row>
    <row r="5487" ht="15.75" customHeight="1">
      <c r="A5487" s="6" t="s">
        <v>5522</v>
      </c>
      <c r="B5487" s="6" t="s">
        <v>1954</v>
      </c>
      <c r="C5487" s="6" t="s">
        <v>3322</v>
      </c>
      <c r="D5487" s="6" t="s">
        <v>44</v>
      </c>
      <c r="E5487" s="6" t="s">
        <v>434</v>
      </c>
      <c r="F5487" s="6">
        <v>9.987536728E9</v>
      </c>
    </row>
    <row r="5488" ht="15.75" customHeight="1">
      <c r="A5488" s="6" t="s">
        <v>189</v>
      </c>
      <c r="B5488" s="6" t="s">
        <v>5523</v>
      </c>
      <c r="C5488" s="6" t="s">
        <v>5524</v>
      </c>
      <c r="D5488" s="6" t="s">
        <v>44</v>
      </c>
      <c r="E5488" s="6" t="s">
        <v>434</v>
      </c>
      <c r="F5488" s="6">
        <v>8.879515164E9</v>
      </c>
    </row>
    <row r="5489" ht="15.75" customHeight="1">
      <c r="A5489" s="6" t="s">
        <v>5525</v>
      </c>
      <c r="B5489" s="6" t="s">
        <v>65</v>
      </c>
      <c r="C5489" s="6" t="s">
        <v>5526</v>
      </c>
      <c r="D5489" s="6" t="s">
        <v>56</v>
      </c>
      <c r="E5489" s="6" t="s">
        <v>5527</v>
      </c>
      <c r="F5489" s="6">
        <v>7.008695799E9</v>
      </c>
    </row>
    <row r="5490" ht="15.75" customHeight="1">
      <c r="A5490" s="6" t="s">
        <v>1248</v>
      </c>
      <c r="B5490" s="6" t="s">
        <v>3352</v>
      </c>
      <c r="C5490" s="6" t="s">
        <v>5528</v>
      </c>
      <c r="D5490" s="6" t="s">
        <v>44</v>
      </c>
      <c r="E5490" s="6" t="s">
        <v>4923</v>
      </c>
      <c r="F5490" s="6">
        <v>8.054463174E9</v>
      </c>
    </row>
    <row r="5491" ht="15.75" customHeight="1">
      <c r="A5491" s="6" t="s">
        <v>2879</v>
      </c>
      <c r="B5491" s="6" t="s">
        <v>5529</v>
      </c>
      <c r="C5491" s="6" t="s">
        <v>5236</v>
      </c>
      <c r="D5491" s="6" t="s">
        <v>9</v>
      </c>
      <c r="E5491" s="6" t="s">
        <v>4276</v>
      </c>
      <c r="F5491" s="6">
        <v>8.309191898E9</v>
      </c>
    </row>
    <row r="5492" ht="15.75" customHeight="1">
      <c r="A5492" s="6" t="s">
        <v>5530</v>
      </c>
      <c r="B5492" s="6" t="s">
        <v>5531</v>
      </c>
      <c r="C5492" s="6" t="s">
        <v>2708</v>
      </c>
      <c r="D5492" s="6" t="s">
        <v>9</v>
      </c>
      <c r="E5492" s="6" t="s">
        <v>434</v>
      </c>
      <c r="F5492" s="6">
        <v>9.98798717E9</v>
      </c>
    </row>
    <row r="5493" ht="15.75" customHeight="1">
      <c r="A5493" s="6" t="s">
        <v>4427</v>
      </c>
      <c r="B5493" s="6" t="s">
        <v>251</v>
      </c>
      <c r="C5493" s="6" t="s">
        <v>5519</v>
      </c>
      <c r="D5493" s="6" t="s">
        <v>9</v>
      </c>
      <c r="E5493" s="6" t="s">
        <v>1102</v>
      </c>
      <c r="F5493" s="6">
        <v>9.711422981E9</v>
      </c>
    </row>
    <row r="5494" ht="15.75" customHeight="1">
      <c r="A5494" s="6" t="s">
        <v>5532</v>
      </c>
      <c r="B5494" s="6" t="s">
        <v>5533</v>
      </c>
      <c r="C5494" s="6" t="s">
        <v>5429</v>
      </c>
      <c r="D5494" s="6" t="s">
        <v>44</v>
      </c>
      <c r="E5494" s="6" t="s">
        <v>5408</v>
      </c>
      <c r="F5494" s="6">
        <v>8.360482489E9</v>
      </c>
    </row>
    <row r="5495" ht="15.75" customHeight="1">
      <c r="A5495" s="6" t="s">
        <v>5534</v>
      </c>
      <c r="B5495" s="6" t="s">
        <v>5533</v>
      </c>
      <c r="C5495" s="6" t="s">
        <v>5429</v>
      </c>
      <c r="D5495" s="6" t="s">
        <v>1108</v>
      </c>
      <c r="E5495" s="6" t="s">
        <v>5408</v>
      </c>
      <c r="F5495" s="6">
        <v>9.888469658E9</v>
      </c>
    </row>
    <row r="5496" ht="15.75" customHeight="1">
      <c r="A5496" s="6" t="s">
        <v>5535</v>
      </c>
      <c r="B5496" s="6" t="s">
        <v>108</v>
      </c>
      <c r="C5496" s="6" t="s">
        <v>3322</v>
      </c>
      <c r="D5496" s="6" t="s">
        <v>9</v>
      </c>
      <c r="E5496" s="6" t="s">
        <v>434</v>
      </c>
      <c r="F5496" s="6">
        <v>8.369246482E9</v>
      </c>
    </row>
    <row r="5497" ht="15.75" customHeight="1">
      <c r="A5497" s="6" t="s">
        <v>3389</v>
      </c>
      <c r="B5497" s="6" t="s">
        <v>47</v>
      </c>
      <c r="C5497" s="6" t="s">
        <v>5462</v>
      </c>
      <c r="D5497" s="6" t="s">
        <v>26</v>
      </c>
      <c r="E5497" s="6" t="s">
        <v>434</v>
      </c>
      <c r="F5497" s="6">
        <v>7.208715071E9</v>
      </c>
    </row>
    <row r="5498" ht="15.75" customHeight="1">
      <c r="A5498" s="6" t="s">
        <v>4505</v>
      </c>
      <c r="B5498" s="6" t="s">
        <v>5020</v>
      </c>
      <c r="C5498" s="6" t="s">
        <v>5028</v>
      </c>
      <c r="D5498" s="6" t="s">
        <v>26</v>
      </c>
      <c r="E5498" s="6" t="s">
        <v>1102</v>
      </c>
      <c r="F5498" s="6">
        <v>9.212054234E9</v>
      </c>
    </row>
    <row r="5499" ht="15.75" customHeight="1">
      <c r="A5499" s="6" t="s">
        <v>5536</v>
      </c>
      <c r="B5499" s="6" t="s">
        <v>5537</v>
      </c>
      <c r="C5499" s="6" t="s">
        <v>5538</v>
      </c>
      <c r="D5499" s="6" t="s">
        <v>9</v>
      </c>
      <c r="E5499" s="6" t="s">
        <v>5539</v>
      </c>
      <c r="F5499" s="6">
        <v>7.428527503E9</v>
      </c>
    </row>
    <row r="5500" ht="15.75" customHeight="1">
      <c r="A5500" s="6" t="s">
        <v>5540</v>
      </c>
      <c r="B5500" s="6" t="s">
        <v>5541</v>
      </c>
      <c r="C5500" s="6" t="s">
        <v>5542</v>
      </c>
      <c r="D5500" s="6" t="s">
        <v>14</v>
      </c>
      <c r="E5500" s="6" t="s">
        <v>5543</v>
      </c>
      <c r="F5500" s="6">
        <v>9.791835825E9</v>
      </c>
    </row>
    <row r="5501" ht="15.75" customHeight="1">
      <c r="A5501" s="6" t="s">
        <v>5544</v>
      </c>
      <c r="B5501" s="6" t="s">
        <v>5545</v>
      </c>
      <c r="C5501" s="6" t="s">
        <v>5546</v>
      </c>
      <c r="D5501" s="6" t="s">
        <v>56</v>
      </c>
      <c r="E5501" s="6" t="s">
        <v>4276</v>
      </c>
      <c r="F5501" s="6">
        <v>9.818167227E9</v>
      </c>
    </row>
    <row r="5502" ht="15.75" customHeight="1">
      <c r="A5502" s="6" t="s">
        <v>2817</v>
      </c>
      <c r="B5502" s="6" t="s">
        <v>5547</v>
      </c>
      <c r="C5502" s="6" t="s">
        <v>5526</v>
      </c>
      <c r="D5502" s="6" t="s">
        <v>56</v>
      </c>
      <c r="E5502" s="6" t="s">
        <v>4729</v>
      </c>
      <c r="F5502" s="6">
        <v>6.371370563E9</v>
      </c>
    </row>
    <row r="5503" ht="15.75" customHeight="1">
      <c r="A5503" s="6" t="s">
        <v>5548</v>
      </c>
      <c r="B5503" s="6" t="s">
        <v>5312</v>
      </c>
      <c r="C5503" s="6" t="s">
        <v>5549</v>
      </c>
      <c r="D5503" s="6" t="s">
        <v>56</v>
      </c>
      <c r="E5503" s="6" t="s">
        <v>494</v>
      </c>
      <c r="F5503" s="6">
        <v>9.871991634E9</v>
      </c>
    </row>
    <row r="5504" ht="15.75" customHeight="1">
      <c r="A5504" s="6" t="s">
        <v>5550</v>
      </c>
      <c r="B5504" s="6" t="s">
        <v>4988</v>
      </c>
      <c r="C5504" s="6" t="s">
        <v>5551</v>
      </c>
      <c r="D5504" s="6" t="s">
        <v>29</v>
      </c>
      <c r="E5504" s="6" t="s">
        <v>5552</v>
      </c>
      <c r="F5504" s="6">
        <v>7.091924724E9</v>
      </c>
    </row>
    <row r="5505" ht="15.75" customHeight="1">
      <c r="A5505" s="6" t="s">
        <v>5553</v>
      </c>
      <c r="B5505" s="6" t="s">
        <v>5554</v>
      </c>
      <c r="C5505" s="6" t="s">
        <v>5555</v>
      </c>
      <c r="D5505" s="6" t="s">
        <v>26</v>
      </c>
      <c r="E5505" s="6" t="s">
        <v>5556</v>
      </c>
      <c r="F5505" s="6">
        <v>9.848922648E9</v>
      </c>
    </row>
    <row r="5506" ht="15.75" customHeight="1">
      <c r="A5506" s="6" t="s">
        <v>5557</v>
      </c>
      <c r="B5506" s="6" t="s">
        <v>5558</v>
      </c>
      <c r="C5506" s="6" t="s">
        <v>5559</v>
      </c>
      <c r="D5506" s="6" t="s">
        <v>56</v>
      </c>
      <c r="E5506" s="6" t="s">
        <v>4276</v>
      </c>
      <c r="F5506" s="6">
        <v>9.940640801E9</v>
      </c>
    </row>
    <row r="5507" ht="15.75" customHeight="1">
      <c r="A5507" s="6" t="s">
        <v>5560</v>
      </c>
      <c r="B5507" s="6" t="s">
        <v>1265</v>
      </c>
      <c r="C5507" s="6" t="s">
        <v>5546</v>
      </c>
      <c r="D5507" s="6" t="s">
        <v>56</v>
      </c>
      <c r="E5507" s="6" t="s">
        <v>4276</v>
      </c>
      <c r="F5507" s="6">
        <v>7.337335951E9</v>
      </c>
    </row>
    <row r="5508" ht="15.75" customHeight="1">
      <c r="A5508" s="6" t="s">
        <v>5561</v>
      </c>
      <c r="B5508" s="6" t="s">
        <v>2643</v>
      </c>
      <c r="C5508" s="6" t="s">
        <v>5562</v>
      </c>
      <c r="D5508" s="6" t="s">
        <v>44</v>
      </c>
      <c r="E5508" s="6" t="s">
        <v>2115</v>
      </c>
      <c r="F5508" s="6">
        <v>9.999999999E9</v>
      </c>
    </row>
    <row r="5509" ht="15.75" customHeight="1">
      <c r="A5509" s="6" t="s">
        <v>299</v>
      </c>
      <c r="B5509" s="6" t="s">
        <v>4840</v>
      </c>
      <c r="C5509" s="6" t="s">
        <v>5028</v>
      </c>
      <c r="D5509" s="6" t="s">
        <v>9</v>
      </c>
      <c r="E5509" s="6" t="s">
        <v>494</v>
      </c>
      <c r="F5509" s="6">
        <v>9.667736242E9</v>
      </c>
    </row>
    <row r="5510" ht="15.75" customHeight="1">
      <c r="A5510" s="6" t="s">
        <v>5563</v>
      </c>
      <c r="B5510" s="6" t="s">
        <v>5006</v>
      </c>
      <c r="C5510" s="6" t="s">
        <v>5563</v>
      </c>
      <c r="D5510" s="6" t="s">
        <v>9</v>
      </c>
      <c r="E5510" s="6" t="s">
        <v>494</v>
      </c>
      <c r="F5510" s="6">
        <v>9.19717426336E11</v>
      </c>
    </row>
    <row r="5511" ht="15.75" customHeight="1">
      <c r="A5511" s="6" t="s">
        <v>5564</v>
      </c>
      <c r="B5511" s="6" t="s">
        <v>5565</v>
      </c>
      <c r="C5511" s="6" t="s">
        <v>5566</v>
      </c>
      <c r="D5511" s="6" t="s">
        <v>56</v>
      </c>
      <c r="E5511" s="6" t="s">
        <v>494</v>
      </c>
      <c r="F5511" s="6">
        <v>7.98290422E9</v>
      </c>
    </row>
    <row r="5512" ht="15.75" customHeight="1">
      <c r="A5512" s="6" t="s">
        <v>5567</v>
      </c>
      <c r="B5512" s="6" t="s">
        <v>4856</v>
      </c>
      <c r="C5512" s="6" t="s">
        <v>5568</v>
      </c>
      <c r="D5512" s="6" t="s">
        <v>29</v>
      </c>
      <c r="E5512" s="6" t="s">
        <v>434</v>
      </c>
      <c r="F5512" s="6">
        <v>9.833536472E9</v>
      </c>
    </row>
    <row r="5513" ht="15.75" customHeight="1">
      <c r="A5513" s="6" t="s">
        <v>3805</v>
      </c>
      <c r="B5513" s="6" t="s">
        <v>5569</v>
      </c>
      <c r="C5513" s="6" t="s">
        <v>5570</v>
      </c>
      <c r="D5513" s="6" t="s">
        <v>44</v>
      </c>
      <c r="E5513" s="6" t="s">
        <v>494</v>
      </c>
      <c r="F5513" s="6">
        <v>9.711664545E9</v>
      </c>
    </row>
    <row r="5514" ht="15.75" customHeight="1">
      <c r="A5514" s="6" t="s">
        <v>5571</v>
      </c>
      <c r="B5514" s="6" t="s">
        <v>5572</v>
      </c>
      <c r="C5514" s="6" t="s">
        <v>5573</v>
      </c>
      <c r="D5514" s="6" t="s">
        <v>56</v>
      </c>
      <c r="E5514" s="6" t="s">
        <v>2575</v>
      </c>
      <c r="F5514" s="6">
        <v>9.789611681E9</v>
      </c>
    </row>
    <row r="5515" ht="15.75" customHeight="1">
      <c r="A5515" s="6" t="s">
        <v>5574</v>
      </c>
      <c r="B5515" s="6" t="s">
        <v>675</v>
      </c>
      <c r="C5515" s="6" t="s">
        <v>4257</v>
      </c>
      <c r="D5515" s="6" t="s">
        <v>44</v>
      </c>
      <c r="E5515" s="6" t="s">
        <v>5575</v>
      </c>
      <c r="F5515" s="6">
        <v>8.369409011E9</v>
      </c>
    </row>
    <row r="5516" ht="15.75" customHeight="1">
      <c r="A5516" s="6" t="s">
        <v>125</v>
      </c>
      <c r="B5516" s="6" t="s">
        <v>63</v>
      </c>
      <c r="C5516" s="6" t="s">
        <v>5576</v>
      </c>
      <c r="D5516" s="6" t="s">
        <v>44</v>
      </c>
      <c r="E5516" s="6" t="s">
        <v>5380</v>
      </c>
      <c r="F5516" s="6">
        <v>8.757869233E9</v>
      </c>
    </row>
    <row r="5517" ht="15.75" customHeight="1">
      <c r="A5517" s="6" t="s">
        <v>5577</v>
      </c>
      <c r="B5517" s="6" t="s">
        <v>2678</v>
      </c>
      <c r="C5517" s="6" t="s">
        <v>5578</v>
      </c>
      <c r="D5517" s="6" t="s">
        <v>102</v>
      </c>
      <c r="E5517" s="6" t="s">
        <v>494</v>
      </c>
      <c r="F5517" s="6">
        <v>6.375600667E9</v>
      </c>
    </row>
    <row r="5518" ht="15.75" customHeight="1">
      <c r="A5518" s="6" t="s">
        <v>5579</v>
      </c>
      <c r="B5518" s="6" t="s">
        <v>1378</v>
      </c>
      <c r="C5518" s="6" t="s">
        <v>5580</v>
      </c>
      <c r="D5518" s="6" t="s">
        <v>29</v>
      </c>
      <c r="E5518" s="6" t="s">
        <v>1095</v>
      </c>
      <c r="F5518" s="6">
        <v>7.428290427E9</v>
      </c>
    </row>
    <row r="5519" ht="15.75" customHeight="1">
      <c r="A5519" s="6" t="s">
        <v>5581</v>
      </c>
      <c r="B5519" s="6" t="s">
        <v>5582</v>
      </c>
      <c r="C5519" s="6" t="s">
        <v>5451</v>
      </c>
      <c r="D5519" s="6" t="s">
        <v>26</v>
      </c>
      <c r="E5519" s="6" t="s">
        <v>5452</v>
      </c>
      <c r="F5519" s="6">
        <v>9.877176317E9</v>
      </c>
    </row>
    <row r="5520" ht="15.75" customHeight="1">
      <c r="A5520" s="6" t="s">
        <v>5583</v>
      </c>
      <c r="B5520" s="6" t="s">
        <v>924</v>
      </c>
      <c r="C5520" s="6" t="s">
        <v>5584</v>
      </c>
      <c r="D5520" s="6" t="s">
        <v>26</v>
      </c>
      <c r="E5520" s="6" t="s">
        <v>5585</v>
      </c>
      <c r="F5520" s="6">
        <v>8.076654688E9</v>
      </c>
    </row>
    <row r="5521" ht="15.75" customHeight="1">
      <c r="A5521" s="6" t="s">
        <v>1555</v>
      </c>
      <c r="B5521" s="6" t="s">
        <v>1090</v>
      </c>
      <c r="C5521" s="6" t="s">
        <v>5586</v>
      </c>
      <c r="D5521" s="6" t="s">
        <v>56</v>
      </c>
      <c r="E5521" s="6" t="s">
        <v>5365</v>
      </c>
      <c r="F5521" s="6">
        <v>9.735872383E9</v>
      </c>
    </row>
    <row r="5522" ht="15.75" customHeight="1">
      <c r="A5522" s="6" t="s">
        <v>144</v>
      </c>
      <c r="B5522" s="6" t="s">
        <v>4988</v>
      </c>
      <c r="C5522" s="6" t="s">
        <v>5587</v>
      </c>
      <c r="D5522" s="6" t="s">
        <v>56</v>
      </c>
      <c r="E5522" s="6" t="s">
        <v>1102</v>
      </c>
      <c r="F5522" s="6">
        <v>7.291922684E9</v>
      </c>
    </row>
    <row r="5523" ht="15.75" customHeight="1">
      <c r="A5523" s="6" t="s">
        <v>396</v>
      </c>
      <c r="B5523" s="6" t="s">
        <v>5588</v>
      </c>
      <c r="C5523" s="6" t="s">
        <v>5589</v>
      </c>
      <c r="D5523" s="6" t="s">
        <v>1108</v>
      </c>
      <c r="E5523" s="6" t="s">
        <v>494</v>
      </c>
      <c r="F5523" s="6">
        <v>9.59976203E9</v>
      </c>
    </row>
    <row r="5524" ht="15.75" customHeight="1">
      <c r="A5524" s="6" t="s">
        <v>1389</v>
      </c>
      <c r="B5524" s="6" t="s">
        <v>382</v>
      </c>
      <c r="C5524" s="6" t="s">
        <v>5405</v>
      </c>
      <c r="D5524" s="6" t="s">
        <v>56</v>
      </c>
      <c r="E5524" s="6" t="s">
        <v>494</v>
      </c>
      <c r="F5524" s="6">
        <v>8.851131858E9</v>
      </c>
    </row>
    <row r="5525" ht="15.75" customHeight="1">
      <c r="A5525" s="6" t="s">
        <v>5590</v>
      </c>
      <c r="B5525" s="6" t="s">
        <v>4522</v>
      </c>
      <c r="C5525" s="6" t="s">
        <v>5028</v>
      </c>
      <c r="D5525" s="6" t="s">
        <v>26</v>
      </c>
      <c r="E5525" s="6" t="s">
        <v>1102</v>
      </c>
      <c r="F5525" s="6">
        <v>9.91019994E9</v>
      </c>
    </row>
    <row r="5526" ht="15.75" customHeight="1">
      <c r="A5526" s="6" t="s">
        <v>5591</v>
      </c>
      <c r="B5526" s="6" t="s">
        <v>4737</v>
      </c>
      <c r="C5526" s="6" t="s">
        <v>3322</v>
      </c>
      <c r="D5526" s="6" t="s">
        <v>44</v>
      </c>
      <c r="E5526" s="6" t="s">
        <v>5592</v>
      </c>
      <c r="F5526" s="6" t="str">
        <f>+91 9619919246</f>
        <v>#ERROR!</v>
      </c>
    </row>
    <row r="5527" ht="15.75" customHeight="1">
      <c r="A5527" s="6" t="s">
        <v>5593</v>
      </c>
      <c r="B5527" s="6" t="s">
        <v>5020</v>
      </c>
      <c r="C5527" s="6" t="s">
        <v>5570</v>
      </c>
      <c r="D5527" s="6" t="s">
        <v>26</v>
      </c>
      <c r="E5527" s="6" t="s">
        <v>494</v>
      </c>
      <c r="F5527" s="6">
        <v>7.701882234E9</v>
      </c>
    </row>
    <row r="5528" ht="15.75" customHeight="1">
      <c r="A5528" s="6" t="s">
        <v>5594</v>
      </c>
      <c r="B5528" s="6" t="s">
        <v>5595</v>
      </c>
      <c r="C5528" s="6" t="s">
        <v>3322</v>
      </c>
      <c r="D5528" s="6" t="s">
        <v>44</v>
      </c>
      <c r="E5528" s="6" t="s">
        <v>434</v>
      </c>
      <c r="F5528" s="6">
        <v>9.372917543E9</v>
      </c>
    </row>
    <row r="5529" ht="15.75" customHeight="1">
      <c r="A5529" s="6" t="s">
        <v>1838</v>
      </c>
      <c r="B5529" s="6" t="s">
        <v>5142</v>
      </c>
      <c r="C5529" s="6" t="s">
        <v>3322</v>
      </c>
      <c r="D5529" s="6" t="s">
        <v>44</v>
      </c>
      <c r="E5529" s="6" t="s">
        <v>434</v>
      </c>
      <c r="F5529" s="6">
        <v>7.718810816E9</v>
      </c>
    </row>
    <row r="5530" ht="15.75" customHeight="1">
      <c r="A5530" s="6" t="s">
        <v>1788</v>
      </c>
      <c r="B5530" s="6" t="s">
        <v>251</v>
      </c>
      <c r="C5530" s="6" t="s">
        <v>5596</v>
      </c>
      <c r="D5530" s="6" t="s">
        <v>56</v>
      </c>
      <c r="E5530" s="6" t="s">
        <v>494</v>
      </c>
      <c r="F5530" s="6">
        <v>8.800614348E9</v>
      </c>
    </row>
    <row r="5531" ht="15.75" customHeight="1">
      <c r="A5531" s="6" t="s">
        <v>3336</v>
      </c>
      <c r="B5531" s="6" t="s">
        <v>5597</v>
      </c>
      <c r="C5531" s="6" t="s">
        <v>5598</v>
      </c>
      <c r="D5531" s="6" t="s">
        <v>9</v>
      </c>
      <c r="E5531" s="6" t="s">
        <v>1102</v>
      </c>
      <c r="F5531" s="6">
        <v>7.678683479E9</v>
      </c>
    </row>
    <row r="5532" ht="15.75" customHeight="1">
      <c r="A5532" s="6" t="s">
        <v>5599</v>
      </c>
      <c r="B5532" s="6" t="s">
        <v>5600</v>
      </c>
      <c r="C5532" s="6" t="s">
        <v>5362</v>
      </c>
      <c r="D5532" s="6" t="s">
        <v>9</v>
      </c>
      <c r="E5532" s="6" t="s">
        <v>4007</v>
      </c>
      <c r="F5532" s="6">
        <v>9.910681239E9</v>
      </c>
    </row>
    <row r="5533" ht="15.75" customHeight="1">
      <c r="A5533" s="6" t="s">
        <v>413</v>
      </c>
      <c r="B5533" s="6" t="s">
        <v>50</v>
      </c>
      <c r="C5533" s="6" t="s">
        <v>5601</v>
      </c>
      <c r="D5533" s="6" t="s">
        <v>14</v>
      </c>
      <c r="E5533" s="6" t="s">
        <v>5380</v>
      </c>
      <c r="F5533" s="6">
        <v>7.209979631E9</v>
      </c>
    </row>
    <row r="5534" ht="15.75" customHeight="1">
      <c r="A5534" s="6" t="s">
        <v>5602</v>
      </c>
      <c r="B5534" s="6" t="s">
        <v>520</v>
      </c>
      <c r="C5534" s="6" t="s">
        <v>5603</v>
      </c>
      <c r="D5534" s="6" t="s">
        <v>44</v>
      </c>
      <c r="E5534" s="6" t="s">
        <v>5380</v>
      </c>
      <c r="F5534" s="6">
        <v>8.092880433E9</v>
      </c>
    </row>
    <row r="5535" ht="15.75" customHeight="1">
      <c r="A5535" s="6" t="s">
        <v>144</v>
      </c>
      <c r="B5535" s="6" t="s">
        <v>65</v>
      </c>
      <c r="C5535" s="6" t="s">
        <v>5604</v>
      </c>
      <c r="D5535" s="6" t="s">
        <v>26</v>
      </c>
      <c r="E5535" s="6" t="s">
        <v>5605</v>
      </c>
      <c r="F5535" s="6">
        <v>8.882405844E9</v>
      </c>
    </row>
    <row r="5536" ht="15.75" customHeight="1">
      <c r="A5536" s="6" t="s">
        <v>4815</v>
      </c>
      <c r="B5536" s="6" t="s">
        <v>68</v>
      </c>
      <c r="C5536" s="6" t="s">
        <v>4483</v>
      </c>
      <c r="D5536" s="6" t="s">
        <v>56</v>
      </c>
      <c r="E5536" s="6" t="s">
        <v>494</v>
      </c>
      <c r="F5536" s="6">
        <v>7.678647689E9</v>
      </c>
    </row>
    <row r="5537" ht="15.75" customHeight="1">
      <c r="A5537" s="6" t="s">
        <v>5606</v>
      </c>
      <c r="B5537" s="6" t="s">
        <v>5607</v>
      </c>
      <c r="C5537" s="6" t="s">
        <v>5608</v>
      </c>
      <c r="D5537" s="6" t="s">
        <v>14</v>
      </c>
      <c r="E5537" s="6" t="s">
        <v>5609</v>
      </c>
      <c r="F5537" s="6">
        <v>9.867798348E9</v>
      </c>
    </row>
    <row r="5538" ht="15.75" customHeight="1">
      <c r="A5538" s="6" t="s">
        <v>163</v>
      </c>
      <c r="B5538" s="6" t="s">
        <v>5105</v>
      </c>
      <c r="C5538" s="6" t="s">
        <v>5610</v>
      </c>
      <c r="D5538" s="6" t="s">
        <v>44</v>
      </c>
      <c r="E5538" s="6" t="s">
        <v>4587</v>
      </c>
      <c r="F5538" s="6">
        <v>9.009450527E9</v>
      </c>
    </row>
    <row r="5539" ht="15.75" customHeight="1">
      <c r="A5539" s="6" t="s">
        <v>5611</v>
      </c>
      <c r="B5539" s="6" t="s">
        <v>68</v>
      </c>
      <c r="C5539" s="6" t="s">
        <v>5610</v>
      </c>
      <c r="D5539" s="6" t="s">
        <v>44</v>
      </c>
      <c r="E5539" s="6" t="s">
        <v>4587</v>
      </c>
      <c r="F5539" s="6">
        <v>6.266866847E9</v>
      </c>
    </row>
    <row r="5540" ht="15.75" customHeight="1">
      <c r="A5540" s="6" t="s">
        <v>2565</v>
      </c>
      <c r="B5540" s="6" t="s">
        <v>63</v>
      </c>
      <c r="C5540" s="6" t="s">
        <v>4483</v>
      </c>
      <c r="D5540" s="6" t="s">
        <v>56</v>
      </c>
      <c r="E5540" s="6" t="s">
        <v>1102</v>
      </c>
      <c r="F5540" s="6">
        <v>9.871198293E9</v>
      </c>
    </row>
    <row r="5541" ht="15.75" customHeight="1">
      <c r="A5541" s="6" t="s">
        <v>1698</v>
      </c>
      <c r="B5541" s="6" t="s">
        <v>2678</v>
      </c>
      <c r="C5541" s="6" t="s">
        <v>5612</v>
      </c>
      <c r="D5541" s="6" t="s">
        <v>26</v>
      </c>
      <c r="E5541" s="6" t="s">
        <v>1102</v>
      </c>
      <c r="F5541" s="6">
        <v>9.315020272E9</v>
      </c>
    </row>
    <row r="5542" ht="15.75" customHeight="1">
      <c r="A5542" s="6" t="s">
        <v>33</v>
      </c>
      <c r="B5542" s="6" t="s">
        <v>1045</v>
      </c>
      <c r="C5542" s="6" t="s">
        <v>5613</v>
      </c>
      <c r="D5542" s="6" t="s">
        <v>9</v>
      </c>
      <c r="E5542" s="6" t="s">
        <v>494</v>
      </c>
      <c r="F5542" s="6">
        <v>9.354884977E9</v>
      </c>
    </row>
    <row r="5543" ht="15.75" customHeight="1">
      <c r="A5543" s="6" t="s">
        <v>33</v>
      </c>
      <c r="B5543" s="6" t="s">
        <v>65</v>
      </c>
      <c r="C5543" s="6" t="s">
        <v>5614</v>
      </c>
      <c r="D5543" s="6" t="s">
        <v>26</v>
      </c>
      <c r="E5543" s="6" t="s">
        <v>5615</v>
      </c>
      <c r="F5543" s="6">
        <v>8.178768474E9</v>
      </c>
    </row>
    <row r="5544" ht="15.75" customHeight="1">
      <c r="A5544" s="6" t="s">
        <v>2051</v>
      </c>
      <c r="B5544" s="6" t="s">
        <v>65</v>
      </c>
      <c r="C5544" s="6" t="s">
        <v>5616</v>
      </c>
      <c r="D5544" s="6" t="s">
        <v>102</v>
      </c>
      <c r="E5544" s="6" t="s">
        <v>494</v>
      </c>
      <c r="F5544" s="6">
        <v>8.851146891E9</v>
      </c>
    </row>
    <row r="5545" ht="15.75" customHeight="1">
      <c r="A5545" s="6" t="s">
        <v>2614</v>
      </c>
      <c r="B5545" s="6" t="s">
        <v>675</v>
      </c>
      <c r="C5545" s="6" t="s">
        <v>3322</v>
      </c>
      <c r="D5545" s="6" t="s">
        <v>44</v>
      </c>
      <c r="E5545" s="6" t="s">
        <v>434</v>
      </c>
      <c r="F5545" s="6">
        <v>9.820491078E9</v>
      </c>
    </row>
    <row r="5546" ht="15.75" customHeight="1">
      <c r="A5546" s="6" t="s">
        <v>5617</v>
      </c>
      <c r="B5546" s="6" t="s">
        <v>47</v>
      </c>
      <c r="C5546" s="6" t="s">
        <v>5618</v>
      </c>
      <c r="D5546" s="6" t="s">
        <v>26</v>
      </c>
      <c r="E5546" s="6" t="s">
        <v>1102</v>
      </c>
      <c r="F5546" s="6" t="s">
        <v>5619</v>
      </c>
    </row>
    <row r="5547" ht="15.75" customHeight="1">
      <c r="A5547" s="6" t="s">
        <v>463</v>
      </c>
      <c r="B5547" s="6" t="s">
        <v>65</v>
      </c>
      <c r="C5547" s="6" t="s">
        <v>5620</v>
      </c>
      <c r="D5547" s="6" t="s">
        <v>26</v>
      </c>
      <c r="E5547" s="6" t="s">
        <v>494</v>
      </c>
      <c r="F5547" s="6">
        <v>8.8028183E9</v>
      </c>
    </row>
    <row r="5548" ht="15.75" customHeight="1">
      <c r="A5548" s="6" t="s">
        <v>5621</v>
      </c>
      <c r="B5548" s="6" t="s">
        <v>5622</v>
      </c>
      <c r="C5548" s="6" t="s">
        <v>4783</v>
      </c>
      <c r="D5548" s="6" t="s">
        <v>29</v>
      </c>
      <c r="E5548" s="6" t="s">
        <v>494</v>
      </c>
      <c r="F5548" s="6">
        <v>7.838546966E9</v>
      </c>
    </row>
    <row r="5549" ht="15.75" customHeight="1">
      <c r="A5549" s="6" t="s">
        <v>2672</v>
      </c>
      <c r="B5549" s="6" t="s">
        <v>312</v>
      </c>
      <c r="C5549" s="6" t="s">
        <v>5623</v>
      </c>
      <c r="D5549" s="6" t="s">
        <v>56</v>
      </c>
      <c r="E5549" s="6" t="s">
        <v>5365</v>
      </c>
      <c r="F5549" s="6">
        <v>8.972058519E9</v>
      </c>
    </row>
    <row r="5550" ht="15.75" customHeight="1">
      <c r="A5550" s="6" t="s">
        <v>5624</v>
      </c>
      <c r="B5550" s="6" t="s">
        <v>765</v>
      </c>
      <c r="C5550" s="6" t="s">
        <v>5625</v>
      </c>
      <c r="D5550" s="6" t="s">
        <v>56</v>
      </c>
      <c r="E5550" s="6" t="s">
        <v>5365</v>
      </c>
      <c r="F5550" s="6">
        <v>9.18918765167E11</v>
      </c>
    </row>
    <row r="5551" ht="15.75" customHeight="1">
      <c r="A5551" s="6" t="s">
        <v>5626</v>
      </c>
      <c r="B5551" s="6" t="s">
        <v>2643</v>
      </c>
      <c r="C5551" s="6" t="s">
        <v>5627</v>
      </c>
      <c r="D5551" s="6" t="s">
        <v>9</v>
      </c>
      <c r="E5551" s="6" t="s">
        <v>5285</v>
      </c>
      <c r="F5551" s="6">
        <v>8.682861155E9</v>
      </c>
    </row>
    <row r="5552" ht="15.75" customHeight="1">
      <c r="A5552" s="6" t="s">
        <v>5628</v>
      </c>
      <c r="B5552" s="6" t="s">
        <v>5629</v>
      </c>
      <c r="C5552" s="6" t="s">
        <v>5630</v>
      </c>
      <c r="D5552" s="6" t="s">
        <v>26</v>
      </c>
      <c r="E5552" s="6" t="s">
        <v>4595</v>
      </c>
      <c r="F5552" s="6">
        <v>8.867383558E9</v>
      </c>
    </row>
    <row r="5553" ht="15.75" customHeight="1">
      <c r="A5553" s="6" t="s">
        <v>3353</v>
      </c>
      <c r="B5553" s="6" t="s">
        <v>5631</v>
      </c>
      <c r="C5553" s="6" t="s">
        <v>5632</v>
      </c>
      <c r="D5553" s="6" t="s">
        <v>26</v>
      </c>
      <c r="E5553" s="6" t="s">
        <v>494</v>
      </c>
      <c r="F5553" s="6">
        <v>9.971831221E9</v>
      </c>
    </row>
    <row r="5554" ht="15.75" customHeight="1">
      <c r="A5554" s="6" t="s">
        <v>1537</v>
      </c>
      <c r="B5554" s="6" t="s">
        <v>5633</v>
      </c>
      <c r="C5554" s="6" t="s">
        <v>5634</v>
      </c>
      <c r="D5554" s="6" t="s">
        <v>56</v>
      </c>
      <c r="E5554" s="6" t="s">
        <v>5635</v>
      </c>
      <c r="F5554" s="6">
        <v>9.311413345E9</v>
      </c>
    </row>
    <row r="5555" ht="15.75" customHeight="1">
      <c r="A5555" s="6" t="s">
        <v>5636</v>
      </c>
      <c r="B5555" s="6" t="s">
        <v>5637</v>
      </c>
      <c r="C5555" s="6" t="s">
        <v>5638</v>
      </c>
      <c r="D5555" s="6" t="s">
        <v>44</v>
      </c>
      <c r="E5555" s="6" t="s">
        <v>5639</v>
      </c>
      <c r="F5555" s="6">
        <v>9.302400803E9</v>
      </c>
    </row>
    <row r="5556" ht="15.75" customHeight="1">
      <c r="A5556" s="6" t="s">
        <v>5640</v>
      </c>
      <c r="B5556" s="6" t="s">
        <v>1630</v>
      </c>
      <c r="C5556" s="6" t="s">
        <v>5641</v>
      </c>
      <c r="D5556" s="6" t="s">
        <v>44</v>
      </c>
      <c r="E5556" s="6" t="s">
        <v>2025</v>
      </c>
      <c r="F5556" s="6">
        <v>9.911339591E9</v>
      </c>
    </row>
    <row r="5557" ht="15.75" customHeight="1">
      <c r="A5557" s="6" t="s">
        <v>5642</v>
      </c>
      <c r="B5557" s="6" t="s">
        <v>5643</v>
      </c>
      <c r="C5557" s="6" t="s">
        <v>5644</v>
      </c>
      <c r="D5557" s="6" t="s">
        <v>9</v>
      </c>
      <c r="E5557" s="6" t="s">
        <v>5645</v>
      </c>
      <c r="F5557" s="6">
        <v>9.19444965814E11</v>
      </c>
    </row>
    <row r="5558" ht="15.75" customHeight="1">
      <c r="A5558" s="6" t="s">
        <v>748</v>
      </c>
      <c r="B5558" s="6" t="s">
        <v>5646</v>
      </c>
      <c r="C5558" s="6" t="s">
        <v>5647</v>
      </c>
      <c r="D5558" s="6" t="s">
        <v>29</v>
      </c>
      <c r="E5558" s="6" t="s">
        <v>5648</v>
      </c>
      <c r="F5558" s="6">
        <v>9.884683011E9</v>
      </c>
    </row>
    <row r="5559" ht="15.75" customHeight="1">
      <c r="A5559" s="6" t="s">
        <v>5649</v>
      </c>
      <c r="B5559" s="6" t="s">
        <v>5650</v>
      </c>
      <c r="C5559" s="6" t="s">
        <v>5028</v>
      </c>
      <c r="D5559" s="6" t="s">
        <v>14</v>
      </c>
      <c r="E5559" s="6" t="s">
        <v>494</v>
      </c>
      <c r="F5559" s="6">
        <v>9.350232534E9</v>
      </c>
    </row>
    <row r="5560" ht="15.75" customHeight="1">
      <c r="A5560" s="6" t="s">
        <v>5651</v>
      </c>
      <c r="B5560" s="6" t="s">
        <v>108</v>
      </c>
      <c r="C5560" s="6" t="s">
        <v>5652</v>
      </c>
      <c r="D5560" s="6" t="s">
        <v>14</v>
      </c>
      <c r="E5560" s="6" t="s">
        <v>494</v>
      </c>
      <c r="F5560" s="6">
        <v>9.667750656E9</v>
      </c>
    </row>
    <row r="5561" ht="15.75" customHeight="1">
      <c r="A5561" s="6" t="s">
        <v>5653</v>
      </c>
      <c r="B5561" s="6" t="s">
        <v>5654</v>
      </c>
      <c r="C5561" s="6" t="s">
        <v>5655</v>
      </c>
      <c r="D5561" s="6" t="s">
        <v>1108</v>
      </c>
      <c r="E5561" s="6" t="s">
        <v>5109</v>
      </c>
      <c r="F5561" s="6">
        <v>9.871300157E9</v>
      </c>
    </row>
    <row r="5562" ht="15.75" customHeight="1">
      <c r="A5562" s="6" t="s">
        <v>5656</v>
      </c>
      <c r="B5562" s="6" t="s">
        <v>5657</v>
      </c>
      <c r="C5562" s="6" t="s">
        <v>5658</v>
      </c>
      <c r="D5562" s="6" t="s">
        <v>26</v>
      </c>
      <c r="E5562" s="6" t="s">
        <v>5648</v>
      </c>
      <c r="F5562" s="6">
        <v>9.345485348E9</v>
      </c>
    </row>
    <row r="5563" ht="15.75" customHeight="1">
      <c r="A5563" s="6" t="s">
        <v>3389</v>
      </c>
      <c r="B5563" s="6" t="s">
        <v>5183</v>
      </c>
      <c r="C5563" s="6" t="s">
        <v>5659</v>
      </c>
      <c r="D5563" s="6" t="s">
        <v>14</v>
      </c>
      <c r="E5563" s="6" t="s">
        <v>494</v>
      </c>
      <c r="F5563" s="6">
        <v>9.958398844E9</v>
      </c>
    </row>
    <row r="5564" ht="15.75" customHeight="1">
      <c r="A5564" s="6" t="s">
        <v>5660</v>
      </c>
      <c r="B5564" s="6" t="s">
        <v>5661</v>
      </c>
      <c r="C5564" s="6" t="s">
        <v>5584</v>
      </c>
      <c r="D5564" s="6" t="s">
        <v>14</v>
      </c>
      <c r="E5564" s="6" t="s">
        <v>5662</v>
      </c>
      <c r="F5564" s="6">
        <v>9.354444444E9</v>
      </c>
    </row>
    <row r="5565" ht="15.75" customHeight="1">
      <c r="A5565" s="6" t="s">
        <v>4846</v>
      </c>
      <c r="B5565" s="6" t="s">
        <v>5663</v>
      </c>
      <c r="C5565" s="6" t="s">
        <v>5126</v>
      </c>
      <c r="D5565" s="6" t="s">
        <v>14</v>
      </c>
      <c r="E5565" s="6" t="s">
        <v>2025</v>
      </c>
      <c r="F5565" s="6">
        <v>9.319616868E9</v>
      </c>
    </row>
    <row r="5566" ht="15.75" customHeight="1">
      <c r="A5566" s="6" t="s">
        <v>5640</v>
      </c>
      <c r="B5566" s="6" t="s">
        <v>5664</v>
      </c>
      <c r="C5566" s="6" t="s">
        <v>5665</v>
      </c>
      <c r="D5566" s="6" t="s">
        <v>14</v>
      </c>
      <c r="E5566" s="6" t="s">
        <v>5666</v>
      </c>
      <c r="F5566" s="6">
        <v>9.818260682E9</v>
      </c>
    </row>
    <row r="5567" ht="15.75" customHeight="1">
      <c r="A5567" s="6" t="s">
        <v>3531</v>
      </c>
      <c r="B5567" s="6" t="s">
        <v>654</v>
      </c>
      <c r="C5567" s="6" t="s">
        <v>5667</v>
      </c>
      <c r="D5567" s="6" t="s">
        <v>44</v>
      </c>
      <c r="E5567" s="6" t="s">
        <v>5380</v>
      </c>
      <c r="F5567" s="6">
        <v>7.488316211E9</v>
      </c>
    </row>
    <row r="5568" ht="15.75" customHeight="1">
      <c r="A5568" s="6" t="s">
        <v>5668</v>
      </c>
      <c r="B5568" s="6" t="s">
        <v>5669</v>
      </c>
      <c r="C5568" s="6" t="s">
        <v>5670</v>
      </c>
      <c r="D5568" s="6" t="s">
        <v>14</v>
      </c>
      <c r="E5568" s="6" t="s">
        <v>4276</v>
      </c>
      <c r="F5568" s="6">
        <v>7.799320786E9</v>
      </c>
    </row>
    <row r="5569" ht="15.75" customHeight="1">
      <c r="A5569" s="6" t="s">
        <v>5671</v>
      </c>
      <c r="B5569" s="6" t="s">
        <v>3547</v>
      </c>
      <c r="C5569" s="6" t="s">
        <v>5672</v>
      </c>
      <c r="D5569" s="6" t="s">
        <v>1108</v>
      </c>
      <c r="E5569" s="6" t="s">
        <v>2025</v>
      </c>
      <c r="F5569" s="6">
        <v>9.953636121E9</v>
      </c>
    </row>
    <row r="5570" ht="15.75" customHeight="1">
      <c r="A5570" s="6" t="s">
        <v>1700</v>
      </c>
      <c r="B5570" s="6" t="s">
        <v>65</v>
      </c>
      <c r="C5570" s="6" t="s">
        <v>5673</v>
      </c>
      <c r="D5570" s="6" t="s">
        <v>1108</v>
      </c>
      <c r="E5570" s="6" t="s">
        <v>5211</v>
      </c>
      <c r="F5570" s="6">
        <v>8.285832425E9</v>
      </c>
    </row>
    <row r="5571" ht="15.75" customHeight="1">
      <c r="A5571" s="6" t="s">
        <v>5674</v>
      </c>
      <c r="B5571" s="6" t="s">
        <v>212</v>
      </c>
      <c r="C5571" s="6" t="s">
        <v>5675</v>
      </c>
      <c r="D5571" s="6" t="s">
        <v>44</v>
      </c>
      <c r="E5571" s="6" t="s">
        <v>5676</v>
      </c>
      <c r="F5571" s="6">
        <v>8.904312881E9</v>
      </c>
    </row>
    <row r="5572" ht="15.75" customHeight="1">
      <c r="A5572" s="6" t="s">
        <v>5215</v>
      </c>
      <c r="B5572" s="6" t="s">
        <v>4217</v>
      </c>
      <c r="C5572" s="6" t="s">
        <v>3322</v>
      </c>
      <c r="D5572" s="6" t="s">
        <v>56</v>
      </c>
      <c r="E5572" s="6" t="s">
        <v>434</v>
      </c>
      <c r="F5572" s="6" t="str">
        <f>+91 7045571807</f>
        <v>#ERROR!</v>
      </c>
    </row>
    <row r="5573" ht="15.75" customHeight="1">
      <c r="A5573" s="6" t="s">
        <v>189</v>
      </c>
      <c r="B5573" s="6" t="s">
        <v>212</v>
      </c>
      <c r="C5573" s="6" t="s">
        <v>5677</v>
      </c>
      <c r="D5573" s="6" t="s">
        <v>14</v>
      </c>
      <c r="E5573" s="6" t="s">
        <v>2025</v>
      </c>
      <c r="F5573" s="6">
        <v>9.871322647E9</v>
      </c>
    </row>
    <row r="5574" ht="15.75" customHeight="1">
      <c r="A5574" s="6" t="s">
        <v>5678</v>
      </c>
      <c r="B5574" s="6" t="s">
        <v>5679</v>
      </c>
      <c r="C5574" s="6" t="s">
        <v>5680</v>
      </c>
      <c r="D5574" s="6" t="s">
        <v>9</v>
      </c>
      <c r="E5574" s="6" t="s">
        <v>5109</v>
      </c>
      <c r="F5574" s="6">
        <v>9.958219603E9</v>
      </c>
    </row>
    <row r="5575" ht="15.75" customHeight="1">
      <c r="A5575" s="6" t="s">
        <v>4505</v>
      </c>
      <c r="B5575" s="6" t="s">
        <v>65</v>
      </c>
      <c r="C5575" s="6" t="s">
        <v>3790</v>
      </c>
      <c r="D5575" s="6" t="s">
        <v>9</v>
      </c>
      <c r="E5575" s="6" t="s">
        <v>5242</v>
      </c>
      <c r="F5575" s="6" t="s">
        <v>5681</v>
      </c>
    </row>
    <row r="5576" ht="15.75" customHeight="1">
      <c r="A5576" s="6" t="s">
        <v>5682</v>
      </c>
      <c r="B5576" s="6" t="s">
        <v>108</v>
      </c>
      <c r="C5576" s="6" t="s">
        <v>3790</v>
      </c>
      <c r="D5576" s="6" t="s">
        <v>9</v>
      </c>
      <c r="E5576" s="6" t="s">
        <v>5242</v>
      </c>
      <c r="F5576" s="6">
        <v>7.01702563E9</v>
      </c>
    </row>
    <row r="5577" ht="15.75" customHeight="1">
      <c r="A5577" s="6" t="s">
        <v>146</v>
      </c>
      <c r="B5577" s="6" t="s">
        <v>108</v>
      </c>
      <c r="C5577" s="6" t="s">
        <v>4218</v>
      </c>
      <c r="D5577" s="6" t="s">
        <v>9</v>
      </c>
      <c r="E5577" s="6" t="s">
        <v>494</v>
      </c>
      <c r="F5577" s="6">
        <v>8.447085934E9</v>
      </c>
    </row>
    <row r="5578" ht="15.75" customHeight="1">
      <c r="A5578" s="6" t="s">
        <v>3200</v>
      </c>
      <c r="B5578" s="6" t="s">
        <v>1587</v>
      </c>
      <c r="C5578" s="6" t="s">
        <v>5683</v>
      </c>
      <c r="D5578" s="6" t="s">
        <v>26</v>
      </c>
      <c r="E5578" s="6" t="s">
        <v>5684</v>
      </c>
      <c r="F5578" s="6">
        <v>9.602483256E9</v>
      </c>
    </row>
    <row r="5579" ht="15.75" customHeight="1">
      <c r="A5579" s="6" t="s">
        <v>1394</v>
      </c>
      <c r="B5579" s="6" t="s">
        <v>1290</v>
      </c>
      <c r="C5579" s="6" t="s">
        <v>4483</v>
      </c>
      <c r="D5579" s="6" t="s">
        <v>9</v>
      </c>
      <c r="E5579" s="6" t="s">
        <v>2025</v>
      </c>
      <c r="F5579" s="6">
        <v>8.826479659E9</v>
      </c>
    </row>
    <row r="5580" ht="15.75" customHeight="1">
      <c r="A5580" s="6" t="s">
        <v>5685</v>
      </c>
      <c r="B5580" s="6" t="s">
        <v>119</v>
      </c>
      <c r="C5580" s="6" t="s">
        <v>5686</v>
      </c>
      <c r="D5580" s="6" t="s">
        <v>29</v>
      </c>
      <c r="E5580" s="6" t="s">
        <v>15</v>
      </c>
      <c r="F5580" s="6">
        <v>8.788335829E9</v>
      </c>
    </row>
    <row r="5581" ht="15.75" customHeight="1">
      <c r="A5581" s="6" t="s">
        <v>51</v>
      </c>
      <c r="B5581" s="6" t="s">
        <v>1172</v>
      </c>
      <c r="C5581" s="6" t="s">
        <v>5687</v>
      </c>
      <c r="D5581" s="6" t="s">
        <v>29</v>
      </c>
      <c r="E5581" s="6" t="s">
        <v>5688</v>
      </c>
      <c r="F5581" s="6">
        <v>9.593624782E9</v>
      </c>
    </row>
    <row r="5582" ht="15.75" customHeight="1">
      <c r="A5582" s="6" t="s">
        <v>5689</v>
      </c>
      <c r="B5582" s="6" t="s">
        <v>5690</v>
      </c>
      <c r="C5582" s="6" t="s">
        <v>5691</v>
      </c>
      <c r="D5582" s="6" t="s">
        <v>9</v>
      </c>
      <c r="E5582" s="6" t="s">
        <v>1102</v>
      </c>
      <c r="F5582" s="6">
        <v>9.19315165197E11</v>
      </c>
    </row>
    <row r="5583" ht="15.75" customHeight="1">
      <c r="A5583" s="6" t="s">
        <v>5692</v>
      </c>
      <c r="B5583" s="6" t="s">
        <v>5693</v>
      </c>
      <c r="C5583" s="6" t="s">
        <v>5694</v>
      </c>
      <c r="D5583" s="6" t="s">
        <v>56</v>
      </c>
      <c r="E5583" s="6" t="s">
        <v>5695</v>
      </c>
      <c r="F5583" s="6">
        <v>7.676866693E9</v>
      </c>
    </row>
    <row r="5584" ht="15.75" customHeight="1">
      <c r="A5584" s="6" t="s">
        <v>5696</v>
      </c>
      <c r="B5584" s="6" t="s">
        <v>1658</v>
      </c>
      <c r="C5584" s="6" t="s">
        <v>5697</v>
      </c>
      <c r="D5584" s="6" t="s">
        <v>44</v>
      </c>
      <c r="E5584" s="6" t="s">
        <v>2025</v>
      </c>
      <c r="F5584" s="6">
        <v>8.383861596E9</v>
      </c>
    </row>
    <row r="5585" ht="15.75" customHeight="1">
      <c r="A5585" s="6" t="s">
        <v>2777</v>
      </c>
      <c r="B5585" s="6" t="s">
        <v>5698</v>
      </c>
      <c r="C5585" s="6" t="s">
        <v>3322</v>
      </c>
      <c r="D5585" s="6" t="s">
        <v>44</v>
      </c>
      <c r="E5585" s="6" t="s">
        <v>434</v>
      </c>
      <c r="F5585" s="6">
        <v>7.506218017E9</v>
      </c>
    </row>
    <row r="5586" ht="15.75" customHeight="1">
      <c r="A5586" s="6" t="s">
        <v>5503</v>
      </c>
      <c r="B5586" s="6" t="s">
        <v>5504</v>
      </c>
      <c r="C5586" s="6" t="s">
        <v>5699</v>
      </c>
      <c r="D5586" s="6" t="s">
        <v>9</v>
      </c>
      <c r="E5586" s="6" t="s">
        <v>5242</v>
      </c>
      <c r="F5586" s="6">
        <v>9.956059333E9</v>
      </c>
    </row>
    <row r="5587" ht="15.75" customHeight="1">
      <c r="A5587" s="6" t="s">
        <v>1889</v>
      </c>
      <c r="B5587" s="6" t="s">
        <v>1407</v>
      </c>
      <c r="C5587" s="6" t="s">
        <v>5505</v>
      </c>
      <c r="D5587" s="6" t="s">
        <v>9</v>
      </c>
      <c r="E5587" s="6" t="s">
        <v>5242</v>
      </c>
      <c r="F5587" s="6">
        <v>7.017920223E9</v>
      </c>
    </row>
    <row r="5588" ht="15.75" customHeight="1">
      <c r="A5588" s="6" t="s">
        <v>1435</v>
      </c>
      <c r="B5588" s="6" t="s">
        <v>5700</v>
      </c>
      <c r="C5588" s="6" t="s">
        <v>5701</v>
      </c>
      <c r="D5588" s="6" t="s">
        <v>9</v>
      </c>
      <c r="E5588" s="6" t="s">
        <v>5702</v>
      </c>
      <c r="F5588" s="6">
        <v>8.70830656E9</v>
      </c>
    </row>
    <row r="5589" ht="15.75" customHeight="1">
      <c r="A5589" s="6" t="s">
        <v>125</v>
      </c>
      <c r="B5589" s="6" t="s">
        <v>5703</v>
      </c>
      <c r="C5589" s="6" t="s">
        <v>1818</v>
      </c>
      <c r="D5589" s="6" t="s">
        <v>9</v>
      </c>
      <c r="E5589" s="6" t="s">
        <v>434</v>
      </c>
      <c r="F5589" s="6">
        <v>9.324632115E9</v>
      </c>
    </row>
    <row r="5590" ht="15.75" customHeight="1">
      <c r="A5590" s="6" t="s">
        <v>3575</v>
      </c>
      <c r="B5590" s="6" t="s">
        <v>1265</v>
      </c>
      <c r="C5590" s="6" t="s">
        <v>5704</v>
      </c>
      <c r="D5590" s="6" t="s">
        <v>44</v>
      </c>
      <c r="E5590" s="6" t="s">
        <v>5666</v>
      </c>
      <c r="F5590" s="6">
        <v>9.891436263E9</v>
      </c>
    </row>
    <row r="5591" ht="15.75" customHeight="1">
      <c r="A5591" s="6" t="s">
        <v>5705</v>
      </c>
      <c r="B5591" s="6" t="s">
        <v>5706</v>
      </c>
      <c r="C5591" s="6" t="s">
        <v>5707</v>
      </c>
      <c r="D5591" s="6" t="s">
        <v>29</v>
      </c>
      <c r="E5591" s="6" t="s">
        <v>5708</v>
      </c>
      <c r="F5591" s="6">
        <v>7.001569636E9</v>
      </c>
    </row>
    <row r="5592" ht="15.75" customHeight="1">
      <c r="A5592" s="6" t="s">
        <v>5709</v>
      </c>
      <c r="B5592" s="6" t="s">
        <v>50</v>
      </c>
      <c r="C5592" s="6" t="s">
        <v>5710</v>
      </c>
      <c r="D5592" s="6" t="s">
        <v>29</v>
      </c>
      <c r="E5592" s="6" t="s">
        <v>5711</v>
      </c>
      <c r="F5592" s="6">
        <v>9.7431559707E10</v>
      </c>
    </row>
    <row r="5593" ht="15.75" customHeight="1">
      <c r="A5593" s="6" t="s">
        <v>298</v>
      </c>
      <c r="B5593" s="6" t="s">
        <v>5712</v>
      </c>
      <c r="C5593" s="6" t="s">
        <v>5713</v>
      </c>
      <c r="D5593" s="6" t="s">
        <v>102</v>
      </c>
      <c r="E5593" s="6" t="s">
        <v>5714</v>
      </c>
      <c r="F5593" s="6">
        <v>8.708879754E9</v>
      </c>
    </row>
    <row r="5594" ht="15.75" customHeight="1">
      <c r="A5594" s="6" t="s">
        <v>5715</v>
      </c>
      <c r="B5594" s="6" t="s">
        <v>5716</v>
      </c>
      <c r="C5594" s="6" t="s">
        <v>5717</v>
      </c>
      <c r="D5594" s="6" t="s">
        <v>29</v>
      </c>
      <c r="E5594" s="6" t="s">
        <v>5718</v>
      </c>
      <c r="F5594" s="6" t="str">
        <f>+968 79556398</f>
        <v>#ERROR!</v>
      </c>
    </row>
    <row r="5595" ht="15.75" customHeight="1">
      <c r="A5595" s="6" t="s">
        <v>5719</v>
      </c>
      <c r="B5595" s="6" t="s">
        <v>153</v>
      </c>
      <c r="C5595" s="6" t="s">
        <v>5720</v>
      </c>
      <c r="D5595" s="6" t="s">
        <v>56</v>
      </c>
      <c r="E5595" s="6" t="s">
        <v>5721</v>
      </c>
      <c r="F5595" s="6">
        <v>9.643849009E9</v>
      </c>
    </row>
    <row r="5596" ht="15.75" customHeight="1">
      <c r="A5596" s="6" t="s">
        <v>1842</v>
      </c>
      <c r="B5596" s="6" t="s">
        <v>606</v>
      </c>
      <c r="C5596" s="6" t="s">
        <v>5201</v>
      </c>
      <c r="D5596" s="6" t="s">
        <v>26</v>
      </c>
      <c r="E5596" s="6" t="s">
        <v>5722</v>
      </c>
      <c r="F5596" s="6">
        <v>9.711627734E9</v>
      </c>
    </row>
    <row r="5597" ht="15.75" customHeight="1">
      <c r="A5597" s="6" t="s">
        <v>5723</v>
      </c>
      <c r="B5597" s="6" t="s">
        <v>4696</v>
      </c>
      <c r="C5597" s="6" t="s">
        <v>412</v>
      </c>
      <c r="D5597" s="6" t="s">
        <v>29</v>
      </c>
      <c r="E5597" s="6" t="s">
        <v>4587</v>
      </c>
      <c r="F5597" s="6">
        <v>7.000312527E9</v>
      </c>
    </row>
    <row r="5598" ht="15.75" customHeight="1">
      <c r="A5598" s="6" t="s">
        <v>5724</v>
      </c>
      <c r="B5598" s="6" t="s">
        <v>4401</v>
      </c>
      <c r="C5598" s="6" t="s">
        <v>5725</v>
      </c>
      <c r="D5598" s="6" t="s">
        <v>14</v>
      </c>
      <c r="E5598" s="6" t="s">
        <v>5666</v>
      </c>
      <c r="F5598" s="6">
        <v>9.718237381E9</v>
      </c>
    </row>
    <row r="5599" ht="15.75" customHeight="1">
      <c r="A5599" s="6" t="s">
        <v>5726</v>
      </c>
      <c r="B5599" s="6" t="s">
        <v>5727</v>
      </c>
      <c r="C5599" s="6" t="s">
        <v>4594</v>
      </c>
      <c r="D5599" s="6" t="s">
        <v>26</v>
      </c>
      <c r="E5599" s="6" t="s">
        <v>4385</v>
      </c>
      <c r="F5599" s="6">
        <v>6.36119613E9</v>
      </c>
    </row>
    <row r="5600" ht="15.75" customHeight="1">
      <c r="A5600" s="6" t="s">
        <v>5728</v>
      </c>
      <c r="B5600" s="6" t="s">
        <v>63</v>
      </c>
      <c r="C5600" s="6" t="s">
        <v>5729</v>
      </c>
      <c r="D5600" s="6" t="s">
        <v>9</v>
      </c>
      <c r="E5600" s="6" t="s">
        <v>5452</v>
      </c>
      <c r="F5600" s="6">
        <v>8.360983545E9</v>
      </c>
    </row>
    <row r="5601" ht="15.75" customHeight="1">
      <c r="A5601" s="6" t="s">
        <v>3302</v>
      </c>
      <c r="B5601" s="6" t="s">
        <v>5313</v>
      </c>
      <c r="C5601" s="6" t="s">
        <v>5730</v>
      </c>
      <c r="D5601" s="6" t="s">
        <v>9</v>
      </c>
      <c r="E5601" s="6" t="s">
        <v>494</v>
      </c>
      <c r="F5601" s="6">
        <v>9.35482323E9</v>
      </c>
    </row>
    <row r="5602" ht="15.75" customHeight="1">
      <c r="A5602" s="6" t="s">
        <v>5731</v>
      </c>
      <c r="B5602" s="6" t="s">
        <v>1702</v>
      </c>
      <c r="C5602" s="6" t="s">
        <v>5732</v>
      </c>
      <c r="D5602" s="6" t="s">
        <v>14</v>
      </c>
      <c r="E5602" s="6" t="s">
        <v>5733</v>
      </c>
      <c r="F5602" s="6">
        <v>7.827026383E9</v>
      </c>
    </row>
    <row r="5603" ht="15.75" customHeight="1">
      <c r="A5603" s="6" t="s">
        <v>5734</v>
      </c>
      <c r="B5603" s="6" t="s">
        <v>5735</v>
      </c>
      <c r="C5603" s="6" t="s">
        <v>5736</v>
      </c>
      <c r="D5603" s="6" t="s">
        <v>44</v>
      </c>
      <c r="E5603" s="6" t="s">
        <v>5737</v>
      </c>
      <c r="F5603" s="6">
        <v>9.31983698E9</v>
      </c>
    </row>
    <row r="5604" ht="15.75" customHeight="1">
      <c r="A5604" s="6" t="s">
        <v>5738</v>
      </c>
      <c r="B5604" s="6" t="s">
        <v>4921</v>
      </c>
      <c r="C5604" s="6" t="s">
        <v>5739</v>
      </c>
      <c r="D5604" s="6" t="s">
        <v>1108</v>
      </c>
      <c r="E5604" s="6" t="s">
        <v>5740</v>
      </c>
      <c r="F5604" s="6">
        <v>9.599560927E9</v>
      </c>
    </row>
    <row r="5605" ht="15.75" customHeight="1">
      <c r="A5605" s="6" t="s">
        <v>5741</v>
      </c>
      <c r="B5605" s="6" t="s">
        <v>654</v>
      </c>
      <c r="C5605" s="6" t="s">
        <v>5742</v>
      </c>
      <c r="D5605" s="6" t="s">
        <v>44</v>
      </c>
      <c r="E5605" s="6" t="s">
        <v>5743</v>
      </c>
      <c r="F5605" s="6">
        <v>9.871287914E9</v>
      </c>
    </row>
    <row r="5606" ht="15.75" customHeight="1">
      <c r="A5606" s="6" t="s">
        <v>80</v>
      </c>
      <c r="B5606" s="6" t="s">
        <v>5744</v>
      </c>
      <c r="C5606" s="6" t="s">
        <v>5745</v>
      </c>
      <c r="D5606" s="6" t="s">
        <v>44</v>
      </c>
      <c r="E5606" s="6" t="s">
        <v>5708</v>
      </c>
      <c r="F5606" s="6">
        <v>8.597386838E9</v>
      </c>
    </row>
    <row r="5607" ht="15.75" customHeight="1">
      <c r="A5607" s="6" t="s">
        <v>5678</v>
      </c>
      <c r="B5607" s="6" t="s">
        <v>5746</v>
      </c>
      <c r="C5607" s="6" t="s">
        <v>5747</v>
      </c>
      <c r="D5607" s="6" t="s">
        <v>26</v>
      </c>
      <c r="E5607" s="6" t="s">
        <v>402</v>
      </c>
      <c r="F5607" s="6">
        <v>9.904235633E9</v>
      </c>
    </row>
    <row r="5608" ht="15.75" customHeight="1">
      <c r="A5608" s="6" t="s">
        <v>5748</v>
      </c>
      <c r="B5608" s="6" t="s">
        <v>3307</v>
      </c>
      <c r="C5608" s="6" t="s">
        <v>5747</v>
      </c>
      <c r="D5608" s="6" t="s">
        <v>56</v>
      </c>
      <c r="E5608" s="6" t="s">
        <v>402</v>
      </c>
      <c r="F5608" s="6">
        <v>9.904235633E9</v>
      </c>
    </row>
    <row r="5609" ht="15.75" customHeight="1">
      <c r="A5609" s="6" t="s">
        <v>1590</v>
      </c>
      <c r="B5609" s="6" t="s">
        <v>50</v>
      </c>
      <c r="C5609" s="6" t="s">
        <v>5749</v>
      </c>
      <c r="D5609" s="6" t="s">
        <v>26</v>
      </c>
      <c r="E5609" s="6" t="s">
        <v>5750</v>
      </c>
      <c r="F5609" s="6">
        <v>7.988756869E9</v>
      </c>
    </row>
    <row r="5610" ht="15.75" customHeight="1">
      <c r="A5610" s="6" t="s">
        <v>5751</v>
      </c>
      <c r="B5610" s="6" t="s">
        <v>65</v>
      </c>
      <c r="C5610" s="6" t="s">
        <v>5752</v>
      </c>
      <c r="D5610" s="6" t="s">
        <v>102</v>
      </c>
      <c r="E5610" s="6" t="s">
        <v>5684</v>
      </c>
      <c r="F5610" s="6" t="s">
        <v>5753</v>
      </c>
    </row>
    <row r="5611" ht="15.75" customHeight="1">
      <c r="A5611" s="6" t="s">
        <v>121</v>
      </c>
      <c r="B5611" s="6" t="s">
        <v>5754</v>
      </c>
      <c r="C5611" s="6" t="s">
        <v>5755</v>
      </c>
      <c r="D5611" s="6" t="s">
        <v>56</v>
      </c>
      <c r="E5611" s="6" t="s">
        <v>2579</v>
      </c>
      <c r="F5611" s="6">
        <v>8.05965475E9</v>
      </c>
    </row>
    <row r="5612" ht="15.75" customHeight="1">
      <c r="A5612" s="6" t="s">
        <v>5756</v>
      </c>
      <c r="B5612" s="6" t="s">
        <v>5757</v>
      </c>
      <c r="C5612" s="6" t="s">
        <v>5758</v>
      </c>
      <c r="D5612" s="6" t="s">
        <v>56</v>
      </c>
      <c r="E5612" s="6" t="s">
        <v>5759</v>
      </c>
      <c r="F5612" s="6">
        <v>9.220774094E9</v>
      </c>
    </row>
    <row r="5613" ht="15.75" customHeight="1">
      <c r="A5613" s="6" t="s">
        <v>5760</v>
      </c>
      <c r="B5613" s="6" t="s">
        <v>3547</v>
      </c>
      <c r="C5613" s="6" t="s">
        <v>5761</v>
      </c>
      <c r="D5613" s="6" t="s">
        <v>29</v>
      </c>
      <c r="E5613" s="6" t="s">
        <v>5762</v>
      </c>
      <c r="F5613" s="6">
        <v>9.877412074E9</v>
      </c>
    </row>
    <row r="5614" ht="15.75" customHeight="1">
      <c r="A5614" s="6" t="s">
        <v>5763</v>
      </c>
      <c r="B5614" s="6" t="s">
        <v>5764</v>
      </c>
      <c r="C5614" s="6" t="s">
        <v>5761</v>
      </c>
      <c r="D5614" s="6" t="s">
        <v>29</v>
      </c>
      <c r="E5614" s="6" t="s">
        <v>5762</v>
      </c>
      <c r="F5614" s="6">
        <v>8.283086881E9</v>
      </c>
    </row>
    <row r="5615" ht="15.75" customHeight="1">
      <c r="A5615" s="6" t="s">
        <v>5765</v>
      </c>
      <c r="B5615" s="6" t="s">
        <v>5766</v>
      </c>
      <c r="C5615" s="6" t="s">
        <v>5767</v>
      </c>
      <c r="D5615" s="6" t="s">
        <v>44</v>
      </c>
      <c r="E5615" s="6" t="s">
        <v>434</v>
      </c>
      <c r="F5615" s="6">
        <v>8.879694864E9</v>
      </c>
    </row>
    <row r="5616" ht="15.75" customHeight="1">
      <c r="A5616" s="6" t="s">
        <v>5768</v>
      </c>
      <c r="B5616" s="6" t="s">
        <v>5769</v>
      </c>
      <c r="C5616" s="6" t="s">
        <v>5770</v>
      </c>
      <c r="D5616" s="6" t="s">
        <v>56</v>
      </c>
      <c r="E5616" s="6" t="s">
        <v>434</v>
      </c>
      <c r="F5616" s="6">
        <v>8.652206206E9</v>
      </c>
    </row>
    <row r="5617" ht="15.75" customHeight="1">
      <c r="A5617" s="6" t="s">
        <v>5771</v>
      </c>
      <c r="B5617" s="6" t="s">
        <v>2612</v>
      </c>
      <c r="C5617" s="6" t="s">
        <v>5772</v>
      </c>
      <c r="D5617" s="6" t="s">
        <v>56</v>
      </c>
      <c r="E5617" s="6" t="s">
        <v>434</v>
      </c>
      <c r="F5617" s="6">
        <v>7.021667634E9</v>
      </c>
    </row>
    <row r="5618" ht="15.75" customHeight="1">
      <c r="A5618" s="6" t="s">
        <v>2331</v>
      </c>
      <c r="B5618" s="6" t="s">
        <v>4401</v>
      </c>
      <c r="C5618" s="6" t="s">
        <v>5773</v>
      </c>
      <c r="D5618" s="6" t="s">
        <v>9</v>
      </c>
      <c r="E5618" s="6" t="s">
        <v>4656</v>
      </c>
      <c r="F5618" s="6">
        <v>7.602322283E9</v>
      </c>
    </row>
    <row r="5619" ht="15.75" customHeight="1">
      <c r="A5619" s="6" t="s">
        <v>3653</v>
      </c>
      <c r="B5619" s="6" t="s">
        <v>5774</v>
      </c>
      <c r="C5619" s="6" t="s">
        <v>5775</v>
      </c>
      <c r="D5619" s="6" t="s">
        <v>9</v>
      </c>
      <c r="E5619" s="6" t="s">
        <v>4656</v>
      </c>
      <c r="F5619" s="6">
        <v>9.800470438E9</v>
      </c>
    </row>
    <row r="5620" ht="15.75" customHeight="1">
      <c r="A5620" s="6" t="s">
        <v>94</v>
      </c>
      <c r="B5620" s="6" t="s">
        <v>5690</v>
      </c>
      <c r="C5620" s="6" t="s">
        <v>5776</v>
      </c>
      <c r="D5620" s="6" t="s">
        <v>1108</v>
      </c>
      <c r="E5620" s="6" t="s">
        <v>5777</v>
      </c>
      <c r="F5620" s="6">
        <v>9.254710727E9</v>
      </c>
    </row>
    <row r="5621" ht="15.75" customHeight="1">
      <c r="A5621" s="6" t="s">
        <v>5778</v>
      </c>
      <c r="B5621" s="6" t="s">
        <v>603</v>
      </c>
      <c r="C5621" s="6" t="s">
        <v>5779</v>
      </c>
      <c r="D5621" s="6" t="s">
        <v>9</v>
      </c>
      <c r="E5621" s="6" t="s">
        <v>5780</v>
      </c>
      <c r="F5621" s="6">
        <v>9.832295777E9</v>
      </c>
    </row>
    <row r="5622" ht="15.75" customHeight="1">
      <c r="A5622" s="6" t="s">
        <v>5781</v>
      </c>
      <c r="B5622" s="6" t="s">
        <v>5782</v>
      </c>
      <c r="C5622" s="6" t="s">
        <v>5783</v>
      </c>
      <c r="D5622" s="6" t="s">
        <v>9</v>
      </c>
      <c r="E5622" s="6" t="s">
        <v>4484</v>
      </c>
      <c r="F5622" s="6">
        <v>9.599241918E9</v>
      </c>
    </row>
    <row r="5623" ht="15.75" customHeight="1">
      <c r="A5623" s="6" t="s">
        <v>5784</v>
      </c>
      <c r="B5623" s="6" t="s">
        <v>5785</v>
      </c>
      <c r="C5623" s="6" t="s">
        <v>5623</v>
      </c>
      <c r="D5623" s="6" t="s">
        <v>9</v>
      </c>
      <c r="E5623" s="6" t="s">
        <v>4656</v>
      </c>
      <c r="F5623" s="6">
        <v>8.637862325E9</v>
      </c>
    </row>
    <row r="5624" ht="15.75" customHeight="1">
      <c r="A5624" s="6" t="s">
        <v>2709</v>
      </c>
      <c r="B5624" s="6" t="s">
        <v>5786</v>
      </c>
      <c r="C5624" s="6" t="s">
        <v>5787</v>
      </c>
      <c r="D5624" s="6" t="s">
        <v>44</v>
      </c>
      <c r="E5624" s="6" t="s">
        <v>5788</v>
      </c>
      <c r="F5624" s="6">
        <v>9.447363445E9</v>
      </c>
    </row>
    <row r="5625" ht="15.75" customHeight="1">
      <c r="A5625" s="6" t="s">
        <v>5789</v>
      </c>
      <c r="B5625" s="6" t="s">
        <v>1672</v>
      </c>
      <c r="C5625" s="6" t="s">
        <v>5790</v>
      </c>
      <c r="D5625" s="6" t="s">
        <v>29</v>
      </c>
      <c r="E5625" s="6" t="s">
        <v>4587</v>
      </c>
      <c r="F5625" s="6">
        <v>9.10939146E9</v>
      </c>
    </row>
    <row r="5626" ht="15.75" customHeight="1">
      <c r="A5626" s="6" t="s">
        <v>764</v>
      </c>
      <c r="B5626" s="6" t="s">
        <v>65</v>
      </c>
      <c r="C5626" s="6" t="s">
        <v>5014</v>
      </c>
      <c r="D5626" s="6" t="s">
        <v>9</v>
      </c>
      <c r="E5626" s="6" t="s">
        <v>5791</v>
      </c>
      <c r="F5626" s="6">
        <v>9.306365056E9</v>
      </c>
    </row>
    <row r="5627" ht="15.75" customHeight="1">
      <c r="A5627" s="6" t="s">
        <v>5792</v>
      </c>
      <c r="B5627" s="6" t="s">
        <v>5793</v>
      </c>
      <c r="C5627" s="6" t="s">
        <v>5794</v>
      </c>
      <c r="D5627" s="6" t="s">
        <v>29</v>
      </c>
      <c r="E5627" s="6" t="s">
        <v>5795</v>
      </c>
      <c r="F5627" s="6">
        <v>8.269833239E9</v>
      </c>
    </row>
    <row r="5628" ht="15.75" customHeight="1">
      <c r="A5628" s="6" t="s">
        <v>1683</v>
      </c>
      <c r="B5628" s="6" t="s">
        <v>382</v>
      </c>
      <c r="C5628" s="6" t="s">
        <v>5707</v>
      </c>
      <c r="D5628" s="6" t="s">
        <v>102</v>
      </c>
      <c r="E5628" s="6" t="s">
        <v>5688</v>
      </c>
      <c r="F5628" s="6">
        <v>7.602111774E9</v>
      </c>
    </row>
    <row r="5629" ht="15.75" customHeight="1">
      <c r="A5629" s="6" t="s">
        <v>5796</v>
      </c>
      <c r="B5629" s="6" t="s">
        <v>5797</v>
      </c>
      <c r="C5629" s="6" t="s">
        <v>5798</v>
      </c>
      <c r="D5629" s="6" t="s">
        <v>9</v>
      </c>
      <c r="E5629" s="6" t="s">
        <v>494</v>
      </c>
      <c r="F5629" s="6">
        <v>9.555641727E9</v>
      </c>
    </row>
    <row r="5630" ht="15.75" customHeight="1">
      <c r="A5630" s="6" t="s">
        <v>5799</v>
      </c>
      <c r="B5630" s="6" t="s">
        <v>5800</v>
      </c>
      <c r="C5630" s="6" t="s">
        <v>4973</v>
      </c>
      <c r="D5630" s="6" t="s">
        <v>56</v>
      </c>
      <c r="E5630" s="6" t="s">
        <v>421</v>
      </c>
      <c r="F5630" s="6">
        <v>8.675323232E9</v>
      </c>
    </row>
    <row r="5631" ht="15.75" customHeight="1">
      <c r="A5631" s="6" t="s">
        <v>40</v>
      </c>
      <c r="B5631" s="6" t="s">
        <v>5801</v>
      </c>
      <c r="C5631" s="6" t="s">
        <v>5802</v>
      </c>
      <c r="D5631" s="6" t="s">
        <v>56</v>
      </c>
      <c r="E5631" s="6" t="s">
        <v>421</v>
      </c>
      <c r="F5631" s="6">
        <v>6.385277969E9</v>
      </c>
    </row>
    <row r="5632" ht="15.75" customHeight="1">
      <c r="A5632" s="6" t="s">
        <v>5803</v>
      </c>
      <c r="B5632" s="6" t="s">
        <v>5804</v>
      </c>
      <c r="C5632" s="6" t="s">
        <v>4480</v>
      </c>
      <c r="D5632" s="6" t="s">
        <v>9</v>
      </c>
      <c r="E5632" s="6" t="s">
        <v>4481</v>
      </c>
      <c r="F5632" s="6">
        <v>8.086767779E9</v>
      </c>
    </row>
    <row r="5633" ht="15.75" customHeight="1">
      <c r="A5633" s="6" t="s">
        <v>463</v>
      </c>
      <c r="B5633" s="6" t="s">
        <v>108</v>
      </c>
      <c r="C5633" s="6" t="s">
        <v>5805</v>
      </c>
      <c r="D5633" s="6" t="s">
        <v>56</v>
      </c>
      <c r="E5633" s="6" t="s">
        <v>2025</v>
      </c>
      <c r="F5633" s="6">
        <v>9.650722255E9</v>
      </c>
    </row>
    <row r="5634" ht="15.75" customHeight="1">
      <c r="A5634" s="6" t="s">
        <v>5806</v>
      </c>
      <c r="B5634" s="6" t="s">
        <v>5807</v>
      </c>
      <c r="C5634" s="6" t="s">
        <v>5808</v>
      </c>
      <c r="D5634" s="6" t="s">
        <v>26</v>
      </c>
      <c r="E5634" s="6" t="s">
        <v>5809</v>
      </c>
      <c r="F5634" s="6">
        <v>9.894597757E9</v>
      </c>
    </row>
    <row r="5635" ht="15.75" customHeight="1">
      <c r="A5635" s="6" t="s">
        <v>4918</v>
      </c>
      <c r="B5635" s="6" t="s">
        <v>108</v>
      </c>
      <c r="C5635" s="6" t="s">
        <v>5810</v>
      </c>
      <c r="D5635" s="6" t="s">
        <v>14</v>
      </c>
      <c r="E5635" s="6" t="s">
        <v>434</v>
      </c>
      <c r="F5635" s="6">
        <v>9.967064353E9</v>
      </c>
    </row>
    <row r="5636" ht="15.75" customHeight="1">
      <c r="A5636" s="6" t="s">
        <v>5811</v>
      </c>
      <c r="B5636" s="6" t="s">
        <v>65</v>
      </c>
      <c r="C5636" s="6" t="s">
        <v>106</v>
      </c>
      <c r="D5636" s="6" t="s">
        <v>56</v>
      </c>
      <c r="E5636" s="6" t="s">
        <v>1102</v>
      </c>
      <c r="F5636" s="6">
        <v>9.212431494E9</v>
      </c>
    </row>
    <row r="5637" ht="15.75" customHeight="1">
      <c r="A5637" s="6" t="s">
        <v>5812</v>
      </c>
      <c r="B5637" s="6" t="s">
        <v>5813</v>
      </c>
      <c r="C5637" s="6" t="s">
        <v>5814</v>
      </c>
      <c r="D5637" s="6" t="s">
        <v>14</v>
      </c>
      <c r="E5637" s="6" t="s">
        <v>494</v>
      </c>
      <c r="F5637" s="6">
        <v>7.838522107E9</v>
      </c>
    </row>
    <row r="5638" ht="15.75" customHeight="1">
      <c r="A5638" s="6" t="s">
        <v>5815</v>
      </c>
      <c r="B5638" s="6" t="s">
        <v>5816</v>
      </c>
      <c r="C5638" s="6" t="s">
        <v>5817</v>
      </c>
      <c r="D5638" s="6" t="s">
        <v>9</v>
      </c>
      <c r="E5638" s="6" t="s">
        <v>5818</v>
      </c>
      <c r="F5638" s="6">
        <v>8.886935561E9</v>
      </c>
    </row>
    <row r="5639" ht="15.75" customHeight="1">
      <c r="A5639" s="6" t="s">
        <v>5819</v>
      </c>
      <c r="B5639" s="6" t="s">
        <v>606</v>
      </c>
      <c r="C5639" s="6" t="s">
        <v>5805</v>
      </c>
      <c r="D5639" s="6" t="s">
        <v>56</v>
      </c>
      <c r="E5639" s="6" t="s">
        <v>2025</v>
      </c>
      <c r="F5639" s="6">
        <v>9.999518171E9</v>
      </c>
    </row>
    <row r="5640" ht="15.75" customHeight="1">
      <c r="A5640" s="6" t="s">
        <v>5820</v>
      </c>
      <c r="B5640" s="6" t="s">
        <v>5821</v>
      </c>
      <c r="C5640" s="6" t="s">
        <v>5822</v>
      </c>
      <c r="D5640" s="6" t="s">
        <v>9</v>
      </c>
      <c r="E5640" s="6" t="s">
        <v>5823</v>
      </c>
      <c r="F5640" s="6">
        <v>8.595615715E9</v>
      </c>
    </row>
    <row r="5641" ht="15.75" customHeight="1">
      <c r="A5641" s="6" t="s">
        <v>5824</v>
      </c>
      <c r="B5641" s="6" t="s">
        <v>2436</v>
      </c>
      <c r="C5641" s="6" t="s">
        <v>5825</v>
      </c>
      <c r="D5641" s="6" t="s">
        <v>44</v>
      </c>
      <c r="E5641" s="6" t="s">
        <v>5826</v>
      </c>
      <c r="F5641" s="6">
        <v>8.714820752E9</v>
      </c>
    </row>
    <row r="5642" ht="15.75" customHeight="1">
      <c r="A5642" s="6" t="s">
        <v>141</v>
      </c>
      <c r="B5642" s="6" t="s">
        <v>5827</v>
      </c>
      <c r="C5642" s="6" t="s">
        <v>5828</v>
      </c>
      <c r="D5642" s="6" t="s">
        <v>44</v>
      </c>
      <c r="E5642" s="6" t="s">
        <v>5708</v>
      </c>
      <c r="F5642" s="6">
        <v>9.434305524E9</v>
      </c>
    </row>
    <row r="5643" ht="15.75" customHeight="1">
      <c r="A5643" s="6" t="s">
        <v>5829</v>
      </c>
      <c r="B5643" s="6" t="s">
        <v>225</v>
      </c>
      <c r="C5643" s="6" t="s">
        <v>3790</v>
      </c>
      <c r="D5643" s="6" t="s">
        <v>14</v>
      </c>
      <c r="E5643" s="6" t="s">
        <v>4587</v>
      </c>
      <c r="F5643" s="6">
        <v>9.340816942E9</v>
      </c>
    </row>
    <row r="5644" ht="15.75" customHeight="1">
      <c r="A5644" s="6" t="s">
        <v>1700</v>
      </c>
      <c r="B5644" s="6" t="s">
        <v>5830</v>
      </c>
      <c r="C5644" s="6" t="s">
        <v>412</v>
      </c>
      <c r="D5644" s="6" t="s">
        <v>9</v>
      </c>
      <c r="E5644" s="6" t="s">
        <v>4587</v>
      </c>
      <c r="F5644" s="6">
        <v>9.584344797E9</v>
      </c>
    </row>
    <row r="5645" ht="15.75" customHeight="1">
      <c r="A5645" s="6" t="s">
        <v>5831</v>
      </c>
      <c r="B5645" s="6" t="s">
        <v>5832</v>
      </c>
      <c r="C5645" s="6" t="s">
        <v>576</v>
      </c>
      <c r="D5645" s="6" t="s">
        <v>26</v>
      </c>
      <c r="E5645" s="6" t="s">
        <v>4587</v>
      </c>
      <c r="F5645" s="6">
        <v>8.349045386E9</v>
      </c>
    </row>
    <row r="5646" ht="15.75" customHeight="1">
      <c r="A5646" s="6" t="s">
        <v>5833</v>
      </c>
      <c r="B5646" s="6" t="s">
        <v>5834</v>
      </c>
      <c r="C5646" s="6" t="s">
        <v>106</v>
      </c>
      <c r="D5646" s="6" t="s">
        <v>102</v>
      </c>
      <c r="E5646" s="6" t="s">
        <v>5087</v>
      </c>
      <c r="F5646" s="6">
        <v>9.88334329E9</v>
      </c>
    </row>
    <row r="5647" ht="15.75" customHeight="1">
      <c r="A5647" s="6" t="s">
        <v>5835</v>
      </c>
      <c r="B5647" s="6" t="s">
        <v>112</v>
      </c>
      <c r="C5647" s="6" t="s">
        <v>5836</v>
      </c>
      <c r="D5647" s="6" t="s">
        <v>9</v>
      </c>
      <c r="E5647" s="6" t="s">
        <v>5837</v>
      </c>
      <c r="F5647" s="6">
        <v>8.249723837E9</v>
      </c>
    </row>
    <row r="5648" ht="15.75" customHeight="1">
      <c r="A5648" s="6" t="s">
        <v>5838</v>
      </c>
      <c r="B5648" s="6" t="s">
        <v>4982</v>
      </c>
      <c r="C5648" s="6" t="s">
        <v>5707</v>
      </c>
      <c r="D5648" s="6" t="s">
        <v>9</v>
      </c>
      <c r="E5648" s="6" t="s">
        <v>5708</v>
      </c>
      <c r="F5648" s="6">
        <v>9.83219096E9</v>
      </c>
    </row>
    <row r="5649" ht="15.75" customHeight="1">
      <c r="A5649" s="6" t="s">
        <v>5839</v>
      </c>
      <c r="B5649" s="6" t="s">
        <v>4453</v>
      </c>
      <c r="C5649" s="6" t="s">
        <v>5840</v>
      </c>
      <c r="D5649" s="6" t="s">
        <v>26</v>
      </c>
      <c r="E5649" s="6" t="s">
        <v>5841</v>
      </c>
      <c r="F5649" s="6">
        <v>8.491866841E9</v>
      </c>
    </row>
    <row r="5650" ht="15.75" customHeight="1">
      <c r="A5650" s="6" t="s">
        <v>5842</v>
      </c>
      <c r="B5650" s="6" t="s">
        <v>5843</v>
      </c>
      <c r="C5650" s="6" t="s">
        <v>5798</v>
      </c>
      <c r="D5650" s="6" t="s">
        <v>26</v>
      </c>
      <c r="E5650" s="6" t="s">
        <v>494</v>
      </c>
      <c r="F5650" s="6">
        <v>9.91018893E9</v>
      </c>
    </row>
    <row r="5651" ht="15.75" customHeight="1">
      <c r="A5651" s="6" t="s">
        <v>5189</v>
      </c>
      <c r="B5651" s="6" t="s">
        <v>5844</v>
      </c>
      <c r="C5651" s="6" t="s">
        <v>5845</v>
      </c>
      <c r="D5651" s="6" t="s">
        <v>29</v>
      </c>
      <c r="E5651" s="6" t="s">
        <v>5711</v>
      </c>
      <c r="F5651" s="6">
        <v>7.034411308E9</v>
      </c>
    </row>
    <row r="5652" ht="15.75" customHeight="1">
      <c r="A5652" s="6" t="s">
        <v>5846</v>
      </c>
      <c r="B5652" s="6" t="s">
        <v>308</v>
      </c>
      <c r="C5652" s="6" t="s">
        <v>4275</v>
      </c>
      <c r="D5652" s="6" t="s">
        <v>29</v>
      </c>
      <c r="E5652" s="6" t="s">
        <v>5847</v>
      </c>
      <c r="F5652" s="6">
        <v>7.799551418E9</v>
      </c>
    </row>
    <row r="5653" ht="15.75" customHeight="1">
      <c r="A5653" s="6" t="s">
        <v>4614</v>
      </c>
      <c r="B5653" s="6" t="s">
        <v>5848</v>
      </c>
      <c r="C5653" s="6" t="s">
        <v>5849</v>
      </c>
      <c r="D5653" s="6" t="s">
        <v>56</v>
      </c>
      <c r="E5653" s="6" t="s">
        <v>1109</v>
      </c>
      <c r="F5653" s="6">
        <v>9.488828967E9</v>
      </c>
    </row>
    <row r="5654" ht="15.75" customHeight="1">
      <c r="A5654" s="6" t="s">
        <v>4846</v>
      </c>
      <c r="B5654" s="6" t="s">
        <v>1587</v>
      </c>
      <c r="C5654" s="6" t="s">
        <v>5850</v>
      </c>
      <c r="D5654" s="6" t="s">
        <v>44</v>
      </c>
      <c r="E5654" s="6" t="s">
        <v>5851</v>
      </c>
      <c r="F5654" s="6">
        <v>6.006529554E9</v>
      </c>
    </row>
    <row r="5655" ht="15.75" customHeight="1">
      <c r="A5655" s="6" t="s">
        <v>5852</v>
      </c>
      <c r="B5655" s="6" t="s">
        <v>5853</v>
      </c>
      <c r="C5655" s="6" t="s">
        <v>5387</v>
      </c>
      <c r="D5655" s="6" t="s">
        <v>56</v>
      </c>
      <c r="E5655" s="6" t="s">
        <v>5854</v>
      </c>
      <c r="F5655" s="6">
        <v>7.78086584E9</v>
      </c>
    </row>
    <row r="5656" ht="15.75" customHeight="1">
      <c r="A5656" s="6" t="s">
        <v>5855</v>
      </c>
      <c r="B5656" s="6" t="s">
        <v>5856</v>
      </c>
      <c r="C5656" s="6" t="s">
        <v>5857</v>
      </c>
      <c r="D5656" s="6" t="s">
        <v>14</v>
      </c>
      <c r="E5656" s="6" t="s">
        <v>421</v>
      </c>
      <c r="F5656" s="6">
        <v>9.994133341E9</v>
      </c>
    </row>
    <row r="5657" ht="15.75" customHeight="1">
      <c r="A5657" s="6" t="s">
        <v>5858</v>
      </c>
      <c r="B5657" s="6" t="s">
        <v>5859</v>
      </c>
      <c r="C5657" s="6" t="s">
        <v>5808</v>
      </c>
      <c r="D5657" s="6" t="s">
        <v>26</v>
      </c>
      <c r="E5657" s="6" t="s">
        <v>5860</v>
      </c>
      <c r="F5657" s="6">
        <v>1.9944295884E10</v>
      </c>
    </row>
    <row r="5658" ht="15.75" customHeight="1">
      <c r="A5658" s="6" t="s">
        <v>5861</v>
      </c>
      <c r="B5658" s="6" t="s">
        <v>47</v>
      </c>
      <c r="C5658" s="6" t="s">
        <v>5862</v>
      </c>
      <c r="D5658" s="6" t="s">
        <v>56</v>
      </c>
      <c r="E5658" s="6" t="s">
        <v>1102</v>
      </c>
      <c r="F5658" s="6">
        <v>9.971006718E9</v>
      </c>
    </row>
    <row r="5659" ht="15.75" customHeight="1">
      <c r="A5659" s="6" t="s">
        <v>5863</v>
      </c>
      <c r="B5659" s="6" t="s">
        <v>3872</v>
      </c>
      <c r="C5659" s="6" t="s">
        <v>5864</v>
      </c>
      <c r="D5659" s="6" t="s">
        <v>44</v>
      </c>
      <c r="E5659" s="6" t="s">
        <v>4769</v>
      </c>
      <c r="F5659" s="6">
        <v>9.643789248E9</v>
      </c>
    </row>
    <row r="5660" ht="15.75" customHeight="1">
      <c r="A5660" s="6" t="s">
        <v>1440</v>
      </c>
      <c r="B5660" s="6" t="s">
        <v>5865</v>
      </c>
      <c r="C5660" s="6" t="s">
        <v>5866</v>
      </c>
      <c r="D5660" s="6" t="s">
        <v>44</v>
      </c>
      <c r="E5660" s="6" t="s">
        <v>5867</v>
      </c>
      <c r="F5660" s="6">
        <v>8.208261839E9</v>
      </c>
    </row>
    <row r="5661" ht="15.75" customHeight="1">
      <c r="A5661" s="6" t="s">
        <v>4087</v>
      </c>
      <c r="B5661" s="6" t="s">
        <v>1090</v>
      </c>
      <c r="C5661" s="6" t="s">
        <v>3790</v>
      </c>
      <c r="D5661" s="6" t="s">
        <v>44</v>
      </c>
      <c r="E5661" s="6" t="s">
        <v>5868</v>
      </c>
      <c r="F5661" s="6">
        <v>9.197601125E11</v>
      </c>
    </row>
    <row r="5662" ht="15.75" customHeight="1">
      <c r="A5662" s="6" t="s">
        <v>1079</v>
      </c>
      <c r="B5662" s="6" t="s">
        <v>4342</v>
      </c>
      <c r="C5662" s="6" t="s">
        <v>5869</v>
      </c>
      <c r="D5662" s="6" t="s">
        <v>9</v>
      </c>
      <c r="E5662" s="6" t="s">
        <v>5870</v>
      </c>
      <c r="F5662" s="6">
        <v>6.296968546E9</v>
      </c>
    </row>
    <row r="5663" ht="15.75" customHeight="1">
      <c r="A5663" s="6" t="s">
        <v>5871</v>
      </c>
      <c r="B5663" s="6" t="s">
        <v>5872</v>
      </c>
      <c r="C5663" s="6" t="s">
        <v>5873</v>
      </c>
      <c r="D5663" s="6" t="s">
        <v>26</v>
      </c>
      <c r="E5663" s="6" t="s">
        <v>494</v>
      </c>
      <c r="F5663" s="6">
        <v>9.971634558E9</v>
      </c>
    </row>
    <row r="5664" ht="15.75" customHeight="1">
      <c r="A5664" s="6" t="s">
        <v>5874</v>
      </c>
      <c r="B5664" s="6" t="s">
        <v>214</v>
      </c>
      <c r="C5664" s="6" t="s">
        <v>5875</v>
      </c>
      <c r="D5664" s="6" t="s">
        <v>56</v>
      </c>
      <c r="E5664" s="6" t="s">
        <v>5867</v>
      </c>
      <c r="F5664" s="6">
        <v>9.730754563E9</v>
      </c>
    </row>
    <row r="5665" ht="15.75" customHeight="1">
      <c r="A5665" s="6" t="s">
        <v>5876</v>
      </c>
      <c r="B5665" s="6" t="s">
        <v>119</v>
      </c>
      <c r="C5665" s="6" t="s">
        <v>5877</v>
      </c>
      <c r="D5665" s="6" t="s">
        <v>26</v>
      </c>
      <c r="E5665" s="6" t="s">
        <v>5878</v>
      </c>
      <c r="F5665" s="6">
        <v>7.987515478E9</v>
      </c>
    </row>
    <row r="5666" ht="15.75" customHeight="1">
      <c r="A5666" s="6" t="s">
        <v>5879</v>
      </c>
      <c r="B5666" s="6" t="s">
        <v>5880</v>
      </c>
      <c r="C5666" s="6" t="s">
        <v>5881</v>
      </c>
      <c r="D5666" s="6" t="s">
        <v>44</v>
      </c>
      <c r="E5666" s="6" t="s">
        <v>5882</v>
      </c>
      <c r="F5666" s="6">
        <v>9.779297911E9</v>
      </c>
    </row>
    <row r="5667" ht="15.75" customHeight="1">
      <c r="A5667" s="6" t="s">
        <v>2605</v>
      </c>
      <c r="B5667" s="6" t="s">
        <v>483</v>
      </c>
      <c r="C5667" s="6" t="s">
        <v>5883</v>
      </c>
      <c r="D5667" s="6" t="s">
        <v>1108</v>
      </c>
      <c r="E5667" s="6" t="s">
        <v>5868</v>
      </c>
      <c r="F5667" s="6">
        <v>8.755647203E9</v>
      </c>
    </row>
    <row r="5668" ht="15.75" customHeight="1">
      <c r="A5668" s="6" t="s">
        <v>5884</v>
      </c>
      <c r="B5668" s="6" t="s">
        <v>5884</v>
      </c>
      <c r="C5668" s="6" t="s">
        <v>5885</v>
      </c>
      <c r="D5668" s="6" t="s">
        <v>1108</v>
      </c>
      <c r="E5668" s="6" t="s">
        <v>5851</v>
      </c>
      <c r="F5668" s="6">
        <v>7.298205701E9</v>
      </c>
    </row>
    <row r="5669" ht="15.75" customHeight="1">
      <c r="A5669" s="6" t="s">
        <v>5886</v>
      </c>
      <c r="B5669" s="6" t="s">
        <v>5887</v>
      </c>
      <c r="C5669" s="6" t="s">
        <v>5888</v>
      </c>
      <c r="D5669" s="6" t="s">
        <v>44</v>
      </c>
      <c r="E5669" s="6" t="s">
        <v>4865</v>
      </c>
      <c r="F5669" s="6">
        <v>7.624964194E9</v>
      </c>
    </row>
    <row r="5670" ht="15.75" customHeight="1">
      <c r="A5670" s="6" t="s">
        <v>1092</v>
      </c>
      <c r="B5670" s="6" t="s">
        <v>5889</v>
      </c>
      <c r="C5670" s="6" t="s">
        <v>5890</v>
      </c>
      <c r="D5670" s="6" t="s">
        <v>1108</v>
      </c>
      <c r="E5670" s="6" t="s">
        <v>5854</v>
      </c>
      <c r="F5670" s="6">
        <v>9.682378083E9</v>
      </c>
    </row>
    <row r="5671" ht="15.75" customHeight="1">
      <c r="A5671" s="6" t="s">
        <v>5891</v>
      </c>
      <c r="B5671" s="6" t="s">
        <v>5892</v>
      </c>
      <c r="C5671" s="6" t="s">
        <v>5893</v>
      </c>
      <c r="D5671" s="6" t="s">
        <v>56</v>
      </c>
      <c r="E5671" s="6" t="s">
        <v>5894</v>
      </c>
      <c r="F5671" s="6">
        <v>9.49658523E9</v>
      </c>
    </row>
    <row r="5672" ht="15.75" customHeight="1">
      <c r="A5672" s="6" t="s">
        <v>1611</v>
      </c>
      <c r="B5672" s="6" t="s">
        <v>5827</v>
      </c>
      <c r="C5672" s="6" t="s">
        <v>5895</v>
      </c>
      <c r="D5672" s="6" t="s">
        <v>9</v>
      </c>
      <c r="E5672" s="6" t="s">
        <v>2115</v>
      </c>
      <c r="F5672" s="6">
        <v>8.910147936E9</v>
      </c>
    </row>
    <row r="5673" ht="15.75" customHeight="1">
      <c r="A5673" s="6" t="s">
        <v>1389</v>
      </c>
      <c r="B5673" s="6" t="s">
        <v>5896</v>
      </c>
      <c r="C5673" s="6" t="s">
        <v>5897</v>
      </c>
      <c r="D5673" s="6" t="s">
        <v>9</v>
      </c>
      <c r="E5673" s="6" t="s">
        <v>5898</v>
      </c>
      <c r="F5673" s="6">
        <v>7.510122336E9</v>
      </c>
    </row>
    <row r="5674" ht="15.75" customHeight="1">
      <c r="A5674" s="6" t="s">
        <v>2112</v>
      </c>
      <c r="B5674" s="6" t="s">
        <v>418</v>
      </c>
      <c r="C5674" s="6" t="s">
        <v>5899</v>
      </c>
      <c r="D5674" s="6" t="s">
        <v>9</v>
      </c>
      <c r="E5674" s="6" t="s">
        <v>5645</v>
      </c>
      <c r="F5674" s="6">
        <v>8.015960773E9</v>
      </c>
    </row>
    <row r="5675" ht="15.75" customHeight="1">
      <c r="A5675" s="6" t="s">
        <v>5900</v>
      </c>
      <c r="B5675" s="6" t="s">
        <v>108</v>
      </c>
      <c r="C5675" s="6" t="s">
        <v>3790</v>
      </c>
      <c r="D5675" s="6" t="s">
        <v>29</v>
      </c>
      <c r="E5675" s="6" t="s">
        <v>4015</v>
      </c>
      <c r="F5675" s="6">
        <v>9.810759801E9</v>
      </c>
    </row>
    <row r="5676" ht="15.75" customHeight="1">
      <c r="A5676" s="6" t="s">
        <v>5901</v>
      </c>
      <c r="B5676" s="6" t="s">
        <v>5902</v>
      </c>
      <c r="C5676" s="6" t="s">
        <v>5903</v>
      </c>
      <c r="D5676" s="6" t="s">
        <v>44</v>
      </c>
      <c r="E5676" s="6" t="s">
        <v>5904</v>
      </c>
      <c r="F5676" s="6">
        <v>9.464565559E9</v>
      </c>
    </row>
    <row r="5677" ht="15.75" customHeight="1">
      <c r="A5677" s="6" t="s">
        <v>5905</v>
      </c>
      <c r="B5677" s="6" t="s">
        <v>1015</v>
      </c>
      <c r="C5677" s="6" t="s">
        <v>5893</v>
      </c>
      <c r="D5677" s="6" t="s">
        <v>9</v>
      </c>
      <c r="E5677" s="6" t="s">
        <v>5906</v>
      </c>
      <c r="F5677" s="6">
        <v>9.99596509E9</v>
      </c>
    </row>
    <row r="5678" ht="15.75" customHeight="1">
      <c r="A5678" s="6" t="s">
        <v>5907</v>
      </c>
      <c r="B5678" s="6" t="s">
        <v>3162</v>
      </c>
      <c r="C5678" s="6" t="s">
        <v>5908</v>
      </c>
      <c r="D5678" s="6" t="s">
        <v>56</v>
      </c>
      <c r="E5678" s="6" t="s">
        <v>5438</v>
      </c>
      <c r="F5678" s="6">
        <v>7.013139947E9</v>
      </c>
    </row>
    <row r="5679" ht="15.75" customHeight="1">
      <c r="A5679" s="6" t="s">
        <v>5909</v>
      </c>
      <c r="B5679" s="6" t="s">
        <v>5910</v>
      </c>
      <c r="C5679" s="6" t="s">
        <v>5911</v>
      </c>
      <c r="D5679" s="6" t="s">
        <v>56</v>
      </c>
      <c r="E5679" s="6" t="s">
        <v>5851</v>
      </c>
      <c r="F5679" s="6">
        <v>9.086952543E9</v>
      </c>
    </row>
    <row r="5680" ht="15.75" customHeight="1">
      <c r="A5680" s="6" t="s">
        <v>5912</v>
      </c>
      <c r="B5680" s="6" t="s">
        <v>5913</v>
      </c>
      <c r="C5680" s="6" t="s">
        <v>5914</v>
      </c>
      <c r="D5680" s="6" t="s">
        <v>1108</v>
      </c>
      <c r="E5680" s="6" t="s">
        <v>5915</v>
      </c>
      <c r="F5680" s="6">
        <v>8.082729635E9</v>
      </c>
    </row>
    <row r="5681" ht="15.75" customHeight="1">
      <c r="A5681" s="6" t="s">
        <v>3653</v>
      </c>
      <c r="B5681" s="6" t="s">
        <v>5916</v>
      </c>
      <c r="C5681" s="6" t="s">
        <v>5917</v>
      </c>
      <c r="D5681" s="6" t="s">
        <v>44</v>
      </c>
      <c r="E5681" s="6" t="s">
        <v>5702</v>
      </c>
      <c r="F5681" s="6">
        <v>7.988073813E9</v>
      </c>
    </row>
    <row r="5682" ht="15.75" customHeight="1">
      <c r="A5682" s="6" t="s">
        <v>5918</v>
      </c>
      <c r="B5682" s="6" t="s">
        <v>5547</v>
      </c>
      <c r="C5682" s="6" t="s">
        <v>5919</v>
      </c>
      <c r="D5682" s="6" t="s">
        <v>14</v>
      </c>
      <c r="E5682" s="6" t="s">
        <v>5920</v>
      </c>
      <c r="F5682" s="6">
        <v>7.678345291E9</v>
      </c>
    </row>
    <row r="5683" ht="15.75" customHeight="1">
      <c r="A5683" s="6" t="s">
        <v>4021</v>
      </c>
      <c r="B5683" s="6" t="s">
        <v>5921</v>
      </c>
      <c r="C5683" s="6" t="s">
        <v>5922</v>
      </c>
      <c r="D5683" s="6" t="s">
        <v>14</v>
      </c>
      <c r="E5683" s="6" t="s">
        <v>5923</v>
      </c>
      <c r="F5683" s="6">
        <v>8.086884588E9</v>
      </c>
    </row>
    <row r="5684" ht="15.75" customHeight="1">
      <c r="A5684" s="6" t="s">
        <v>1991</v>
      </c>
      <c r="B5684" s="6" t="s">
        <v>811</v>
      </c>
      <c r="C5684" s="6" t="s">
        <v>5924</v>
      </c>
      <c r="D5684" s="6" t="s">
        <v>14</v>
      </c>
      <c r="E5684" s="6" t="s">
        <v>5851</v>
      </c>
      <c r="F5684" s="6">
        <v>6.006584167E9</v>
      </c>
    </row>
    <row r="5685" ht="15.75" customHeight="1">
      <c r="A5685" s="6" t="s">
        <v>5925</v>
      </c>
      <c r="B5685" s="6" t="s">
        <v>5926</v>
      </c>
      <c r="C5685" s="6" t="s">
        <v>5927</v>
      </c>
      <c r="D5685" s="6" t="s">
        <v>56</v>
      </c>
      <c r="E5685" s="6" t="s">
        <v>5851</v>
      </c>
      <c r="F5685" s="6">
        <v>8.082754966E9</v>
      </c>
    </row>
    <row r="5686" ht="15.75" customHeight="1">
      <c r="A5686" s="6" t="s">
        <v>5928</v>
      </c>
      <c r="B5686" s="6" t="s">
        <v>5929</v>
      </c>
      <c r="C5686" s="6" t="s">
        <v>5930</v>
      </c>
      <c r="D5686" s="6" t="s">
        <v>1108</v>
      </c>
      <c r="E5686" s="6" t="s">
        <v>494</v>
      </c>
      <c r="F5686" s="6">
        <v>9.818703925E9</v>
      </c>
    </row>
    <row r="5687" ht="15.75" customHeight="1">
      <c r="A5687" s="6" t="s">
        <v>5931</v>
      </c>
      <c r="B5687" s="6" t="s">
        <v>68</v>
      </c>
      <c r="C5687" s="6" t="s">
        <v>5932</v>
      </c>
      <c r="D5687" s="6" t="s">
        <v>44</v>
      </c>
      <c r="E5687" s="6" t="s">
        <v>2025</v>
      </c>
      <c r="F5687" s="6">
        <v>9.899086941E9</v>
      </c>
    </row>
    <row r="5688" ht="15.75" customHeight="1">
      <c r="A5688" s="6" t="s">
        <v>2899</v>
      </c>
      <c r="B5688" s="6" t="s">
        <v>508</v>
      </c>
      <c r="C5688" s="6" t="s">
        <v>5933</v>
      </c>
      <c r="D5688" s="6" t="s">
        <v>102</v>
      </c>
      <c r="E5688" s="6" t="s">
        <v>5920</v>
      </c>
      <c r="F5688" s="6">
        <v>7.471157627E9</v>
      </c>
    </row>
    <row r="5689" ht="15.75" customHeight="1">
      <c r="A5689" s="6" t="s">
        <v>3728</v>
      </c>
      <c r="B5689" s="6" t="s">
        <v>5006</v>
      </c>
      <c r="C5689" s="6" t="s">
        <v>5934</v>
      </c>
      <c r="D5689" s="6" t="s">
        <v>56</v>
      </c>
      <c r="E5689" s="6" t="s">
        <v>5906</v>
      </c>
      <c r="F5689" s="6">
        <v>9.497600646E9</v>
      </c>
    </row>
    <row r="5690" ht="15.75" customHeight="1">
      <c r="A5690" s="6" t="s">
        <v>2822</v>
      </c>
      <c r="B5690" s="6" t="s">
        <v>5935</v>
      </c>
      <c r="C5690" s="6" t="s">
        <v>5936</v>
      </c>
      <c r="D5690" s="6" t="s">
        <v>26</v>
      </c>
      <c r="E5690" s="6" t="s">
        <v>5937</v>
      </c>
      <c r="F5690" s="6">
        <v>8.805391333E9</v>
      </c>
    </row>
    <row r="5691" ht="15.75" customHeight="1">
      <c r="A5691" s="6" t="s">
        <v>511</v>
      </c>
      <c r="B5691" s="6" t="s">
        <v>508</v>
      </c>
      <c r="C5691" s="6" t="s">
        <v>5938</v>
      </c>
      <c r="D5691" s="6" t="s">
        <v>26</v>
      </c>
      <c r="E5691" s="6" t="s">
        <v>5939</v>
      </c>
      <c r="F5691" s="6">
        <v>9.493016436E9</v>
      </c>
    </row>
    <row r="5692" ht="15.75" customHeight="1">
      <c r="A5692" s="6" t="s">
        <v>5940</v>
      </c>
      <c r="B5692" s="6" t="s">
        <v>5221</v>
      </c>
      <c r="C5692" s="6" t="s">
        <v>5941</v>
      </c>
      <c r="D5692" s="6" t="s">
        <v>44</v>
      </c>
      <c r="E5692" s="6" t="s">
        <v>193</v>
      </c>
      <c r="F5692" s="6">
        <v>9.76917989E9</v>
      </c>
    </row>
    <row r="5693" ht="15.75" customHeight="1">
      <c r="A5693" s="6" t="s">
        <v>1623</v>
      </c>
      <c r="B5693" s="6" t="s">
        <v>3394</v>
      </c>
      <c r="C5693" s="6" t="s">
        <v>5942</v>
      </c>
      <c r="D5693" s="6" t="s">
        <v>44</v>
      </c>
      <c r="E5693" s="6" t="s">
        <v>434</v>
      </c>
      <c r="F5693" s="6">
        <v>9.167565841E9</v>
      </c>
    </row>
    <row r="5694" ht="15.75" customHeight="1">
      <c r="A5694" s="6" t="s">
        <v>727</v>
      </c>
      <c r="B5694" s="6" t="s">
        <v>3527</v>
      </c>
      <c r="C5694" s="6" t="s">
        <v>5942</v>
      </c>
      <c r="D5694" s="6" t="s">
        <v>44</v>
      </c>
      <c r="E5694" s="6" t="s">
        <v>434</v>
      </c>
      <c r="F5694" s="6">
        <v>9.820174755E9</v>
      </c>
    </row>
    <row r="5695" ht="15.75" customHeight="1">
      <c r="A5695" s="6" t="s">
        <v>687</v>
      </c>
      <c r="B5695" s="6" t="s">
        <v>5757</v>
      </c>
      <c r="C5695" s="6" t="s">
        <v>5943</v>
      </c>
      <c r="D5695" s="6" t="s">
        <v>9</v>
      </c>
      <c r="E5695" s="6" t="s">
        <v>5609</v>
      </c>
      <c r="F5695" s="6">
        <v>9.004045629E9</v>
      </c>
    </row>
    <row r="5696" ht="15.75" customHeight="1">
      <c r="A5696" s="6" t="s">
        <v>5944</v>
      </c>
      <c r="B5696" s="6" t="s">
        <v>2864</v>
      </c>
      <c r="C5696" s="6" t="s">
        <v>5945</v>
      </c>
      <c r="D5696" s="6" t="s">
        <v>102</v>
      </c>
      <c r="E5696" s="6" t="s">
        <v>5946</v>
      </c>
      <c r="F5696" s="6">
        <v>9.847812394E9</v>
      </c>
    </row>
    <row r="5697" ht="15.75" customHeight="1">
      <c r="A5697" s="6" t="s">
        <v>893</v>
      </c>
      <c r="B5697" s="6" t="s">
        <v>5947</v>
      </c>
      <c r="C5697" s="6" t="s">
        <v>5948</v>
      </c>
      <c r="D5697" s="6" t="s">
        <v>1108</v>
      </c>
      <c r="E5697" s="6" t="s">
        <v>5949</v>
      </c>
      <c r="F5697" s="6">
        <v>7.976913081E9</v>
      </c>
    </row>
    <row r="5698" ht="15.75" customHeight="1">
      <c r="A5698" s="6" t="s">
        <v>3625</v>
      </c>
      <c r="B5698" s="6" t="s">
        <v>5142</v>
      </c>
      <c r="C5698" s="6" t="s">
        <v>5950</v>
      </c>
      <c r="D5698" s="6" t="s">
        <v>44</v>
      </c>
      <c r="E5698" s="6" t="s">
        <v>4416</v>
      </c>
      <c r="F5698" s="6">
        <v>9.045905494E9</v>
      </c>
    </row>
    <row r="5699" ht="15.75" customHeight="1">
      <c r="A5699" s="6" t="s">
        <v>5951</v>
      </c>
      <c r="B5699" s="6" t="s">
        <v>5952</v>
      </c>
      <c r="C5699" s="6" t="s">
        <v>5953</v>
      </c>
      <c r="D5699" s="6" t="s">
        <v>44</v>
      </c>
      <c r="E5699" s="6" t="s">
        <v>434</v>
      </c>
      <c r="F5699" s="6">
        <v>9.323599347E9</v>
      </c>
    </row>
    <row r="5700" ht="15.75" customHeight="1">
      <c r="A5700" s="6" t="s">
        <v>2772</v>
      </c>
      <c r="B5700" s="6" t="s">
        <v>1090</v>
      </c>
      <c r="C5700" s="6" t="s">
        <v>412</v>
      </c>
      <c r="D5700" s="6" t="s">
        <v>26</v>
      </c>
      <c r="E5700" s="6" t="s">
        <v>5242</v>
      </c>
      <c r="F5700" s="6">
        <v>9.927011415E9</v>
      </c>
    </row>
    <row r="5701" ht="15.75" customHeight="1">
      <c r="A5701" s="6" t="s">
        <v>446</v>
      </c>
      <c r="B5701" s="6" t="s">
        <v>5954</v>
      </c>
      <c r="C5701" s="6" t="s">
        <v>5955</v>
      </c>
      <c r="D5701" s="6" t="s">
        <v>44</v>
      </c>
      <c r="E5701" s="6" t="s">
        <v>5956</v>
      </c>
      <c r="F5701" s="6">
        <v>7.021523735E9</v>
      </c>
    </row>
    <row r="5702" ht="15.75" customHeight="1">
      <c r="A5702" s="6" t="s">
        <v>5957</v>
      </c>
      <c r="B5702" s="6" t="s">
        <v>5954</v>
      </c>
      <c r="C5702" s="6" t="s">
        <v>5958</v>
      </c>
      <c r="D5702" s="6" t="s">
        <v>44</v>
      </c>
      <c r="E5702" s="6" t="s">
        <v>434</v>
      </c>
      <c r="F5702" s="6">
        <v>7.97756075E9</v>
      </c>
    </row>
    <row r="5703" ht="15.75" customHeight="1">
      <c r="A5703" s="6" t="s">
        <v>1071</v>
      </c>
      <c r="B5703" s="6" t="s">
        <v>3309</v>
      </c>
      <c r="C5703" s="6" t="s">
        <v>5959</v>
      </c>
      <c r="D5703" s="6" t="s">
        <v>56</v>
      </c>
      <c r="E5703" s="6" t="s">
        <v>4720</v>
      </c>
      <c r="F5703" s="6">
        <v>8.806565004E9</v>
      </c>
    </row>
    <row r="5704" ht="15.75" customHeight="1">
      <c r="A5704" s="6" t="s">
        <v>5476</v>
      </c>
      <c r="B5704" s="6" t="s">
        <v>5960</v>
      </c>
      <c r="C5704" s="6" t="s">
        <v>5961</v>
      </c>
      <c r="D5704" s="6" t="s">
        <v>44</v>
      </c>
      <c r="E5704" s="6" t="s">
        <v>4276</v>
      </c>
      <c r="F5704" s="6">
        <v>9.000234056E9</v>
      </c>
    </row>
    <row r="5705" ht="15.75" customHeight="1">
      <c r="A5705" s="6" t="s">
        <v>3926</v>
      </c>
      <c r="B5705" s="6" t="s">
        <v>5633</v>
      </c>
      <c r="C5705" s="6" t="s">
        <v>5950</v>
      </c>
      <c r="D5705" s="6" t="s">
        <v>44</v>
      </c>
      <c r="E5705" s="6" t="s">
        <v>4416</v>
      </c>
      <c r="F5705" s="6">
        <v>8.398895567E9</v>
      </c>
    </row>
    <row r="5706" ht="15.75" customHeight="1">
      <c r="A5706" s="6" t="s">
        <v>5962</v>
      </c>
      <c r="B5706" s="6" t="s">
        <v>78</v>
      </c>
      <c r="C5706" s="6" t="s">
        <v>5963</v>
      </c>
      <c r="D5706" s="6" t="s">
        <v>44</v>
      </c>
      <c r="E5706" s="6" t="s">
        <v>4416</v>
      </c>
      <c r="F5706" s="6">
        <v>9.927001196E9</v>
      </c>
    </row>
    <row r="5707" ht="15.75" customHeight="1">
      <c r="A5707" s="6" t="s">
        <v>4413</v>
      </c>
      <c r="B5707" s="6" t="s">
        <v>606</v>
      </c>
      <c r="C5707" s="6" t="s">
        <v>5893</v>
      </c>
      <c r="D5707" s="6" t="s">
        <v>44</v>
      </c>
      <c r="E5707" s="6" t="s">
        <v>5964</v>
      </c>
      <c r="F5707" s="6">
        <v>7.01197722E9</v>
      </c>
    </row>
    <row r="5708" ht="15.75" customHeight="1">
      <c r="A5708" s="6" t="s">
        <v>5965</v>
      </c>
      <c r="B5708" s="6" t="s">
        <v>5966</v>
      </c>
      <c r="C5708" s="6" t="s">
        <v>5967</v>
      </c>
      <c r="D5708" s="6" t="s">
        <v>9</v>
      </c>
      <c r="E5708" s="6" t="s">
        <v>5968</v>
      </c>
      <c r="F5708" s="6">
        <v>8.265086562E9</v>
      </c>
    </row>
    <row r="5709" ht="15.75" customHeight="1">
      <c r="A5709" s="6" t="s">
        <v>1260</v>
      </c>
      <c r="B5709" s="6" t="s">
        <v>4921</v>
      </c>
      <c r="C5709" s="6" t="s">
        <v>5893</v>
      </c>
      <c r="D5709" s="6" t="s">
        <v>44</v>
      </c>
      <c r="E5709" s="6" t="s">
        <v>1102</v>
      </c>
      <c r="F5709" s="6">
        <v>9.312413737E9</v>
      </c>
    </row>
    <row r="5710" ht="15.75" customHeight="1">
      <c r="A5710" s="6" t="s">
        <v>205</v>
      </c>
      <c r="B5710" s="6" t="s">
        <v>722</v>
      </c>
      <c r="C5710" s="6" t="s">
        <v>160</v>
      </c>
      <c r="D5710" s="6" t="s">
        <v>44</v>
      </c>
      <c r="E5710" s="6" t="s">
        <v>4318</v>
      </c>
      <c r="F5710" s="6">
        <v>6.20505335E9</v>
      </c>
    </row>
    <row r="5711" ht="15.75" customHeight="1">
      <c r="A5711" s="6" t="s">
        <v>5636</v>
      </c>
      <c r="B5711" s="6" t="s">
        <v>108</v>
      </c>
      <c r="C5711" s="6" t="s">
        <v>5969</v>
      </c>
      <c r="D5711" s="6" t="s">
        <v>9</v>
      </c>
      <c r="E5711" s="6" t="s">
        <v>4015</v>
      </c>
      <c r="F5711" s="6">
        <v>9.911284035E9</v>
      </c>
    </row>
    <row r="5712" ht="15.75" customHeight="1">
      <c r="A5712" s="6" t="s">
        <v>5970</v>
      </c>
      <c r="B5712" s="6" t="s">
        <v>5971</v>
      </c>
      <c r="C5712" s="6" t="s">
        <v>5972</v>
      </c>
      <c r="D5712" s="6" t="s">
        <v>9</v>
      </c>
      <c r="E5712" s="6" t="s">
        <v>5973</v>
      </c>
      <c r="F5712" s="6">
        <v>4.633223101E9</v>
      </c>
    </row>
    <row r="5713" ht="15.75" customHeight="1">
      <c r="A5713" s="6" t="s">
        <v>5689</v>
      </c>
      <c r="B5713" s="6" t="s">
        <v>4229</v>
      </c>
      <c r="C5713" s="6" t="s">
        <v>3790</v>
      </c>
      <c r="D5713" s="6" t="s">
        <v>56</v>
      </c>
      <c r="E5713" s="6" t="s">
        <v>4886</v>
      </c>
      <c r="F5713" s="6">
        <v>9.19999345643E11</v>
      </c>
    </row>
    <row r="5714" ht="15.75" customHeight="1">
      <c r="A5714" s="6" t="s">
        <v>5974</v>
      </c>
      <c r="B5714" s="6" t="s">
        <v>5975</v>
      </c>
      <c r="C5714" s="6" t="s">
        <v>5976</v>
      </c>
      <c r="D5714" s="6" t="s">
        <v>102</v>
      </c>
      <c r="E5714" s="6" t="s">
        <v>5949</v>
      </c>
      <c r="F5714" s="6">
        <v>8.905536882E9</v>
      </c>
    </row>
    <row r="5715" ht="15.75" customHeight="1">
      <c r="A5715" s="6" t="s">
        <v>5977</v>
      </c>
      <c r="B5715" s="6" t="s">
        <v>5978</v>
      </c>
      <c r="C5715" s="6" t="s">
        <v>5979</v>
      </c>
      <c r="D5715" s="6" t="s">
        <v>29</v>
      </c>
      <c r="E5715" s="6" t="s">
        <v>2115</v>
      </c>
      <c r="F5715" s="6">
        <v>9.804114784E9</v>
      </c>
    </row>
    <row r="5716" ht="15.75" customHeight="1">
      <c r="A5716" s="6" t="s">
        <v>202</v>
      </c>
      <c r="B5716" s="6" t="s">
        <v>5980</v>
      </c>
      <c r="C5716" s="6" t="s">
        <v>5981</v>
      </c>
      <c r="D5716" s="6" t="s">
        <v>56</v>
      </c>
      <c r="E5716" s="6" t="s">
        <v>5982</v>
      </c>
      <c r="F5716" s="6">
        <v>9.843223092E9</v>
      </c>
    </row>
    <row r="5717" ht="15.75" customHeight="1">
      <c r="A5717" s="6" t="s">
        <v>707</v>
      </c>
      <c r="B5717" s="6" t="s">
        <v>50</v>
      </c>
      <c r="C5717" s="6" t="s">
        <v>5983</v>
      </c>
      <c r="D5717" s="6" t="s">
        <v>26</v>
      </c>
      <c r="E5717" s="6" t="s">
        <v>4923</v>
      </c>
      <c r="F5717" s="6">
        <v>7.087087917E9</v>
      </c>
    </row>
    <row r="5718" ht="15.75" customHeight="1">
      <c r="A5718" s="6" t="s">
        <v>3325</v>
      </c>
      <c r="B5718" s="6" t="s">
        <v>3769</v>
      </c>
      <c r="C5718" s="6" t="s">
        <v>5984</v>
      </c>
      <c r="D5718" s="6" t="s">
        <v>9</v>
      </c>
      <c r="E5718" s="6" t="s">
        <v>4886</v>
      </c>
      <c r="F5718" s="6">
        <v>9.311124174E9</v>
      </c>
    </row>
    <row r="5719" ht="15.75" customHeight="1">
      <c r="A5719" s="6" t="s">
        <v>1386</v>
      </c>
      <c r="B5719" s="6" t="s">
        <v>50</v>
      </c>
      <c r="C5719" s="6" t="s">
        <v>5985</v>
      </c>
      <c r="D5719" s="6" t="s">
        <v>26</v>
      </c>
      <c r="E5719" s="6" t="s">
        <v>4923</v>
      </c>
      <c r="F5719" s="6">
        <v>7.087087917E9</v>
      </c>
    </row>
    <row r="5720" ht="15.75" customHeight="1">
      <c r="A5720" s="6" t="s">
        <v>5986</v>
      </c>
      <c r="B5720" s="6" t="s">
        <v>5987</v>
      </c>
      <c r="C5720" s="6" t="s">
        <v>5988</v>
      </c>
      <c r="D5720" s="6" t="s">
        <v>29</v>
      </c>
      <c r="E5720" s="6" t="s">
        <v>5989</v>
      </c>
      <c r="F5720" s="6">
        <v>9.431066582E9</v>
      </c>
    </row>
    <row r="5721" ht="15.75" customHeight="1">
      <c r="A5721" s="6" t="s">
        <v>4846</v>
      </c>
      <c r="B5721" s="6" t="s">
        <v>5990</v>
      </c>
      <c r="C5721" s="6" t="s">
        <v>5991</v>
      </c>
      <c r="D5721" s="6" t="s">
        <v>56</v>
      </c>
      <c r="E5721" s="6" t="s">
        <v>494</v>
      </c>
      <c r="F5721" s="6">
        <v>9.560400515E9</v>
      </c>
    </row>
    <row r="5722" ht="15.75" customHeight="1">
      <c r="A5722" s="6" t="s">
        <v>5155</v>
      </c>
      <c r="B5722" s="6" t="s">
        <v>786</v>
      </c>
      <c r="C5722" s="6" t="s">
        <v>5992</v>
      </c>
      <c r="D5722" s="6" t="s">
        <v>9</v>
      </c>
      <c r="E5722" s="6" t="s">
        <v>5993</v>
      </c>
      <c r="F5722" s="6">
        <v>9.544251258E9</v>
      </c>
    </row>
    <row r="5723" ht="15.75" customHeight="1">
      <c r="A5723" s="6" t="s">
        <v>5994</v>
      </c>
      <c r="B5723" s="6" t="s">
        <v>119</v>
      </c>
      <c r="C5723" s="6" t="s">
        <v>5995</v>
      </c>
      <c r="D5723" s="6" t="s">
        <v>56</v>
      </c>
      <c r="E5723" s="6" t="s">
        <v>5242</v>
      </c>
      <c r="F5723" s="6">
        <v>9.105298013E9</v>
      </c>
    </row>
    <row r="5724" ht="15.75" customHeight="1">
      <c r="A5724" s="6" t="s">
        <v>5996</v>
      </c>
      <c r="B5724" s="6" t="s">
        <v>5997</v>
      </c>
      <c r="C5724" s="6" t="s">
        <v>5998</v>
      </c>
      <c r="D5724" s="6" t="s">
        <v>26</v>
      </c>
      <c r="E5724" s="6" t="s">
        <v>5999</v>
      </c>
      <c r="F5724" s="6">
        <v>9.908516662E9</v>
      </c>
    </row>
    <row r="5725" ht="15.75" customHeight="1">
      <c r="A5725" s="6" t="s">
        <v>6000</v>
      </c>
      <c r="B5725" s="6" t="s">
        <v>5343</v>
      </c>
      <c r="C5725" s="6" t="s">
        <v>6001</v>
      </c>
      <c r="D5725" s="6" t="s">
        <v>56</v>
      </c>
      <c r="E5725" s="6" t="s">
        <v>5367</v>
      </c>
      <c r="F5725" s="6">
        <v>9.813600847E9</v>
      </c>
    </row>
    <row r="5726" ht="15.75" customHeight="1">
      <c r="A5726" s="6" t="s">
        <v>6002</v>
      </c>
      <c r="B5726" s="6" t="s">
        <v>675</v>
      </c>
      <c r="C5726" s="6" t="s">
        <v>5387</v>
      </c>
      <c r="D5726" s="6" t="s">
        <v>26</v>
      </c>
      <c r="E5726" s="6" t="s">
        <v>5841</v>
      </c>
      <c r="F5726" s="6">
        <v>6.005801411E9</v>
      </c>
    </row>
    <row r="5727" ht="15.75" customHeight="1">
      <c r="A5727" s="6" t="s">
        <v>3773</v>
      </c>
      <c r="B5727" s="6" t="s">
        <v>5706</v>
      </c>
      <c r="C5727" s="6" t="s">
        <v>6003</v>
      </c>
      <c r="D5727" s="6" t="s">
        <v>26</v>
      </c>
      <c r="E5727" s="6" t="s">
        <v>6004</v>
      </c>
      <c r="F5727" s="6">
        <v>8.225096021E9</v>
      </c>
    </row>
    <row r="5728" ht="15.75" customHeight="1">
      <c r="A5728" s="6" t="s">
        <v>6005</v>
      </c>
      <c r="B5728" s="6" t="s">
        <v>1658</v>
      </c>
      <c r="C5728" s="6" t="s">
        <v>6006</v>
      </c>
      <c r="D5728" s="6" t="s">
        <v>56</v>
      </c>
      <c r="E5728" s="6" t="s">
        <v>3870</v>
      </c>
      <c r="F5728" s="6">
        <v>7.380446056E9</v>
      </c>
    </row>
    <row r="5729" ht="15.75" customHeight="1">
      <c r="A5729" s="6" t="s">
        <v>6007</v>
      </c>
      <c r="B5729" s="6" t="s">
        <v>6008</v>
      </c>
      <c r="C5729" s="6" t="s">
        <v>6009</v>
      </c>
      <c r="D5729" s="6" t="s">
        <v>26</v>
      </c>
      <c r="E5729" s="6" t="s">
        <v>434</v>
      </c>
      <c r="F5729" s="6">
        <v>9.19819788198E11</v>
      </c>
    </row>
    <row r="5730" ht="15.75" customHeight="1">
      <c r="A5730" s="6" t="s">
        <v>2051</v>
      </c>
      <c r="B5730" s="6" t="s">
        <v>6010</v>
      </c>
      <c r="C5730" s="6" t="s">
        <v>6011</v>
      </c>
      <c r="D5730" s="6" t="s">
        <v>9</v>
      </c>
      <c r="E5730" s="6" t="s">
        <v>1102</v>
      </c>
      <c r="F5730" s="6">
        <v>8.447149419E9</v>
      </c>
    </row>
    <row r="5731" ht="15.75" customHeight="1">
      <c r="A5731" s="6" t="s">
        <v>6012</v>
      </c>
      <c r="B5731" s="6" t="s">
        <v>6013</v>
      </c>
      <c r="C5731" s="6" t="s">
        <v>6014</v>
      </c>
      <c r="D5731" s="6" t="s">
        <v>44</v>
      </c>
      <c r="E5731" s="6" t="s">
        <v>434</v>
      </c>
      <c r="F5731" s="6">
        <v>9.820208362E9</v>
      </c>
    </row>
    <row r="5732" ht="15.75" customHeight="1">
      <c r="A5732" s="6" t="s">
        <v>6015</v>
      </c>
      <c r="B5732" s="6" t="s">
        <v>6016</v>
      </c>
      <c r="C5732" s="6" t="s">
        <v>6017</v>
      </c>
      <c r="D5732" s="6" t="s">
        <v>56</v>
      </c>
      <c r="E5732" s="6" t="s">
        <v>6018</v>
      </c>
      <c r="F5732" s="6">
        <v>9.16000327684E11</v>
      </c>
    </row>
    <row r="5733" ht="15.75" customHeight="1">
      <c r="A5733" s="6" t="s">
        <v>6019</v>
      </c>
      <c r="B5733" s="6" t="s">
        <v>6020</v>
      </c>
      <c r="C5733" s="6" t="s">
        <v>6021</v>
      </c>
      <c r="D5733" s="6" t="s">
        <v>56</v>
      </c>
      <c r="E5733" s="6" t="s">
        <v>434</v>
      </c>
      <c r="F5733" s="6">
        <v>9.082647466E9</v>
      </c>
    </row>
    <row r="5734" ht="15.75" customHeight="1">
      <c r="A5734" s="6" t="s">
        <v>6022</v>
      </c>
      <c r="B5734" s="6" t="s">
        <v>6023</v>
      </c>
      <c r="C5734" s="6" t="s">
        <v>5998</v>
      </c>
      <c r="D5734" s="6" t="s">
        <v>102</v>
      </c>
      <c r="E5734" s="6" t="s">
        <v>5999</v>
      </c>
      <c r="F5734" s="6">
        <v>9.642796084E9</v>
      </c>
    </row>
    <row r="5735" ht="15.75" customHeight="1">
      <c r="A5735" s="6" t="s">
        <v>1248</v>
      </c>
      <c r="B5735" s="6" t="s">
        <v>6024</v>
      </c>
      <c r="C5735" s="6" t="s">
        <v>6025</v>
      </c>
      <c r="D5735" s="6" t="s">
        <v>26</v>
      </c>
      <c r="E5735" s="6" t="s">
        <v>6026</v>
      </c>
      <c r="F5735" s="6">
        <v>9.18625871732E11</v>
      </c>
    </row>
    <row r="5736" ht="15.75" customHeight="1">
      <c r="A5736" s="6" t="s">
        <v>1230</v>
      </c>
      <c r="B5736" s="6" t="s">
        <v>6027</v>
      </c>
      <c r="C5736" s="6" t="s">
        <v>6028</v>
      </c>
      <c r="D5736" s="6" t="s">
        <v>9</v>
      </c>
      <c r="E5736" s="6" t="s">
        <v>6029</v>
      </c>
      <c r="F5736" s="6">
        <v>8.059398888E9</v>
      </c>
    </row>
    <row r="5737" ht="15.75" customHeight="1">
      <c r="A5737" s="6" t="s">
        <v>6030</v>
      </c>
      <c r="B5737" s="6" t="s">
        <v>6031</v>
      </c>
      <c r="C5737" s="6" t="s">
        <v>4218</v>
      </c>
      <c r="D5737" s="6" t="s">
        <v>9</v>
      </c>
      <c r="E5737" s="6" t="s">
        <v>1102</v>
      </c>
      <c r="F5737" s="6">
        <v>9.205033693E9</v>
      </c>
    </row>
    <row r="5738" ht="15.75" customHeight="1">
      <c r="A5738" s="6" t="s">
        <v>6032</v>
      </c>
      <c r="B5738" s="6" t="s">
        <v>3126</v>
      </c>
      <c r="C5738" s="6" t="s">
        <v>6033</v>
      </c>
      <c r="D5738" s="6" t="s">
        <v>29</v>
      </c>
      <c r="E5738" s="6" t="s">
        <v>1102</v>
      </c>
      <c r="F5738" s="6">
        <v>9.650728367E9</v>
      </c>
    </row>
    <row r="5739" ht="15.75" customHeight="1">
      <c r="A5739" s="6" t="s">
        <v>6034</v>
      </c>
      <c r="B5739" s="6" t="s">
        <v>6035</v>
      </c>
      <c r="C5739" s="6" t="s">
        <v>6036</v>
      </c>
      <c r="D5739" s="6" t="s">
        <v>56</v>
      </c>
      <c r="E5739" s="6" t="s">
        <v>6037</v>
      </c>
      <c r="F5739" s="6">
        <v>8.072797344E9</v>
      </c>
    </row>
    <row r="5740" ht="15.75" customHeight="1">
      <c r="A5740" s="6" t="s">
        <v>2582</v>
      </c>
      <c r="B5740" s="6" t="s">
        <v>519</v>
      </c>
      <c r="C5740" s="6" t="s">
        <v>6038</v>
      </c>
      <c r="D5740" s="6" t="s">
        <v>29</v>
      </c>
      <c r="E5740" s="6" t="s">
        <v>4652</v>
      </c>
      <c r="F5740" s="6">
        <v>9.219519219E9</v>
      </c>
    </row>
    <row r="5741" ht="15.75" customHeight="1">
      <c r="A5741" s="6" t="s">
        <v>146</v>
      </c>
      <c r="B5741" s="6" t="s">
        <v>603</v>
      </c>
      <c r="C5741" s="6" t="s">
        <v>6039</v>
      </c>
      <c r="D5741" s="6" t="s">
        <v>26</v>
      </c>
      <c r="E5741" s="6" t="s">
        <v>5087</v>
      </c>
      <c r="F5741" s="6">
        <v>9.80075973E9</v>
      </c>
    </row>
    <row r="5742" ht="15.75" customHeight="1">
      <c r="A5742" s="6" t="s">
        <v>111</v>
      </c>
      <c r="B5742" s="6" t="s">
        <v>603</v>
      </c>
      <c r="C5742" s="6" t="s">
        <v>6040</v>
      </c>
      <c r="D5742" s="6" t="s">
        <v>26</v>
      </c>
      <c r="E5742" s="6" t="s">
        <v>5087</v>
      </c>
      <c r="F5742" s="6">
        <v>9.80075973E9</v>
      </c>
    </row>
    <row r="5743" ht="15.75" customHeight="1">
      <c r="A5743" s="6" t="s">
        <v>6041</v>
      </c>
      <c r="B5743" s="6" t="s">
        <v>1134</v>
      </c>
      <c r="C5743" s="6" t="s">
        <v>6042</v>
      </c>
      <c r="D5743" s="6" t="s">
        <v>44</v>
      </c>
      <c r="E5743" s="6" t="s">
        <v>6043</v>
      </c>
      <c r="F5743" s="6">
        <v>9.973643839E9</v>
      </c>
    </row>
    <row r="5744" ht="15.75" customHeight="1">
      <c r="A5744" s="6" t="s">
        <v>3143</v>
      </c>
      <c r="B5744" s="6" t="s">
        <v>6044</v>
      </c>
      <c r="C5744" s="6" t="s">
        <v>6045</v>
      </c>
      <c r="D5744" s="6" t="s">
        <v>9</v>
      </c>
      <c r="E5744" s="6" t="s">
        <v>4571</v>
      </c>
      <c r="F5744" s="6">
        <v>8.890410666E9</v>
      </c>
    </row>
    <row r="5745" ht="15.75" customHeight="1">
      <c r="A5745" s="6" t="s">
        <v>1391</v>
      </c>
      <c r="B5745" s="6" t="s">
        <v>5827</v>
      </c>
      <c r="C5745" s="6" t="s">
        <v>6046</v>
      </c>
      <c r="D5745" s="6" t="s">
        <v>9</v>
      </c>
      <c r="E5745" s="6" t="s">
        <v>494</v>
      </c>
      <c r="F5745" s="6">
        <v>9.911114053E9</v>
      </c>
    </row>
    <row r="5746" ht="15.75" customHeight="1">
      <c r="A5746" s="6" t="s">
        <v>5308</v>
      </c>
      <c r="B5746" s="6" t="s">
        <v>3527</v>
      </c>
      <c r="C5746" s="6" t="s">
        <v>6047</v>
      </c>
      <c r="D5746" s="6" t="s">
        <v>44</v>
      </c>
      <c r="E5746" s="6" t="s">
        <v>434</v>
      </c>
      <c r="F5746" s="6">
        <v>9.967402744E9</v>
      </c>
    </row>
    <row r="5747" ht="15.75" customHeight="1">
      <c r="A5747" s="6" t="s">
        <v>4487</v>
      </c>
      <c r="B5747" s="6" t="s">
        <v>4488</v>
      </c>
      <c r="C5747" s="6" t="s">
        <v>6048</v>
      </c>
      <c r="D5747" s="6" t="s">
        <v>56</v>
      </c>
      <c r="E5747" s="6" t="s">
        <v>4007</v>
      </c>
      <c r="F5747" s="6">
        <v>9.911083712E9</v>
      </c>
    </row>
    <row r="5748" ht="15.75" customHeight="1">
      <c r="A5748" s="6" t="s">
        <v>1623</v>
      </c>
      <c r="B5748" s="6" t="s">
        <v>251</v>
      </c>
      <c r="C5748" s="6" t="s">
        <v>6049</v>
      </c>
      <c r="D5748" s="6" t="s">
        <v>26</v>
      </c>
      <c r="E5748" s="6" t="s">
        <v>494</v>
      </c>
      <c r="F5748" s="6">
        <v>8.368727429E9</v>
      </c>
    </row>
    <row r="5749" ht="15.75" customHeight="1">
      <c r="A5749" s="6" t="s">
        <v>1044</v>
      </c>
      <c r="B5749" s="6" t="s">
        <v>675</v>
      </c>
      <c r="C5749" s="6" t="s">
        <v>6050</v>
      </c>
      <c r="D5749" s="6" t="s">
        <v>44</v>
      </c>
      <c r="E5749" s="6" t="s">
        <v>6051</v>
      </c>
      <c r="F5749" s="6">
        <v>8.850801269E9</v>
      </c>
    </row>
    <row r="5750" ht="15.75" customHeight="1">
      <c r="A5750" s="6" t="s">
        <v>6052</v>
      </c>
      <c r="B5750" s="6" t="s">
        <v>225</v>
      </c>
      <c r="C5750" s="6" t="s">
        <v>6053</v>
      </c>
      <c r="D5750" s="6" t="s">
        <v>9</v>
      </c>
      <c r="E5750" s="6" t="s">
        <v>1102</v>
      </c>
      <c r="F5750" s="6">
        <v>9.311297982E9</v>
      </c>
    </row>
    <row r="5751" ht="15.75" customHeight="1">
      <c r="A5751" s="6" t="s">
        <v>3355</v>
      </c>
      <c r="B5751" s="6" t="s">
        <v>4840</v>
      </c>
      <c r="C5751" s="6" t="s">
        <v>6054</v>
      </c>
      <c r="D5751" s="6" t="s">
        <v>56</v>
      </c>
      <c r="E5751" s="6" t="s">
        <v>6055</v>
      </c>
      <c r="F5751" s="6">
        <v>9.991057976E9</v>
      </c>
    </row>
    <row r="5752" ht="15.75" customHeight="1">
      <c r="A5752" s="6" t="s">
        <v>24</v>
      </c>
      <c r="B5752" s="6" t="s">
        <v>47</v>
      </c>
      <c r="C5752" s="6" t="s">
        <v>6056</v>
      </c>
      <c r="D5752" s="6" t="s">
        <v>9</v>
      </c>
      <c r="E5752" s="6" t="s">
        <v>6057</v>
      </c>
      <c r="F5752" s="6">
        <v>9.19518238074E11</v>
      </c>
    </row>
    <row r="5753" ht="15.75" customHeight="1">
      <c r="A5753" s="6" t="s">
        <v>5038</v>
      </c>
      <c r="B5753" s="6" t="s">
        <v>1658</v>
      </c>
      <c r="C5753" s="6" t="s">
        <v>6058</v>
      </c>
      <c r="D5753" s="6" t="s">
        <v>26</v>
      </c>
      <c r="E5753" s="6" t="s">
        <v>6059</v>
      </c>
      <c r="F5753" s="6">
        <v>7.88905424E9</v>
      </c>
    </row>
    <row r="5754" ht="15.75" customHeight="1">
      <c r="A5754" s="6" t="s">
        <v>396</v>
      </c>
      <c r="B5754" s="6" t="s">
        <v>108</v>
      </c>
      <c r="C5754" s="6" t="s">
        <v>6060</v>
      </c>
      <c r="D5754" s="6" t="s">
        <v>29</v>
      </c>
      <c r="E5754" s="6" t="s">
        <v>6061</v>
      </c>
      <c r="F5754" s="6">
        <v>9.548083131E9</v>
      </c>
    </row>
    <row r="5755" ht="15.75" customHeight="1">
      <c r="A5755" s="6" t="s">
        <v>764</v>
      </c>
      <c r="B5755" s="6" t="s">
        <v>47</v>
      </c>
      <c r="C5755" s="6" t="s">
        <v>6062</v>
      </c>
      <c r="D5755" s="6" t="s">
        <v>9</v>
      </c>
      <c r="E5755" s="6" t="s">
        <v>6063</v>
      </c>
      <c r="F5755" s="6">
        <v>9.467506298E9</v>
      </c>
    </row>
    <row r="5756" ht="15.75" customHeight="1">
      <c r="A5756" s="6" t="s">
        <v>1386</v>
      </c>
      <c r="B5756" s="6" t="s">
        <v>6064</v>
      </c>
      <c r="C5756" s="6" t="s">
        <v>6065</v>
      </c>
      <c r="D5756" s="6" t="s">
        <v>9</v>
      </c>
      <c r="E5756" s="6" t="s">
        <v>5777</v>
      </c>
      <c r="F5756" s="6">
        <v>8.607589551E9</v>
      </c>
    </row>
    <row r="5757" ht="15.75" customHeight="1">
      <c r="A5757" s="6" t="s">
        <v>5599</v>
      </c>
      <c r="B5757" s="6" t="s">
        <v>6066</v>
      </c>
      <c r="C5757" s="6" t="s">
        <v>6067</v>
      </c>
      <c r="D5757" s="6" t="s">
        <v>26</v>
      </c>
      <c r="E5757" s="6" t="s">
        <v>4276</v>
      </c>
      <c r="F5757" s="6">
        <v>6.305977584E9</v>
      </c>
    </row>
    <row r="5758" ht="15.75" customHeight="1">
      <c r="A5758" s="6" t="s">
        <v>6068</v>
      </c>
      <c r="B5758" s="6" t="s">
        <v>65</v>
      </c>
      <c r="C5758" s="6" t="s">
        <v>6056</v>
      </c>
      <c r="D5758" s="6" t="s">
        <v>9</v>
      </c>
      <c r="E5758" s="6" t="s">
        <v>6029</v>
      </c>
      <c r="F5758" s="6">
        <v>9.050207682E9</v>
      </c>
    </row>
    <row r="5759" ht="15.75" customHeight="1">
      <c r="A5759" s="6" t="s">
        <v>6069</v>
      </c>
      <c r="B5759" s="6" t="s">
        <v>6070</v>
      </c>
      <c r="C5759" s="6" t="s">
        <v>6045</v>
      </c>
      <c r="D5759" s="6" t="s">
        <v>9</v>
      </c>
      <c r="E5759" s="6" t="s">
        <v>4571</v>
      </c>
      <c r="F5759" s="6">
        <v>8.890410666E9</v>
      </c>
    </row>
    <row r="5760" ht="15.75" customHeight="1">
      <c r="A5760" s="6" t="s">
        <v>1435</v>
      </c>
      <c r="B5760" s="6" t="s">
        <v>6071</v>
      </c>
      <c r="C5760" s="6" t="s">
        <v>6072</v>
      </c>
      <c r="D5760" s="6" t="s">
        <v>56</v>
      </c>
      <c r="E5760" s="6" t="s">
        <v>6073</v>
      </c>
      <c r="F5760" s="6">
        <v>9.896054995E9</v>
      </c>
    </row>
    <row r="5761" ht="15.75" customHeight="1">
      <c r="A5761" s="6" t="s">
        <v>146</v>
      </c>
      <c r="B5761" s="6" t="s">
        <v>189</v>
      </c>
      <c r="C5761" s="6" t="s">
        <v>6074</v>
      </c>
      <c r="D5761" s="6" t="s">
        <v>56</v>
      </c>
      <c r="E5761" s="6" t="s">
        <v>6073</v>
      </c>
      <c r="F5761" s="6">
        <v>8.709815131E9</v>
      </c>
    </row>
    <row r="5762" ht="15.75" customHeight="1">
      <c r="A5762" s="6" t="s">
        <v>146</v>
      </c>
      <c r="B5762" s="6" t="s">
        <v>6075</v>
      </c>
      <c r="C5762" s="6" t="s">
        <v>4844</v>
      </c>
      <c r="D5762" s="6" t="s">
        <v>26</v>
      </c>
      <c r="E5762" s="6" t="s">
        <v>1102</v>
      </c>
      <c r="F5762" s="6">
        <v>9.818851259E9</v>
      </c>
    </row>
    <row r="5763" ht="15.75" customHeight="1">
      <c r="A5763" s="6" t="s">
        <v>1728</v>
      </c>
      <c r="B5763" s="6" t="s">
        <v>108</v>
      </c>
      <c r="C5763" s="6" t="s">
        <v>6076</v>
      </c>
      <c r="D5763" s="6" t="s">
        <v>9</v>
      </c>
      <c r="E5763" s="6" t="s">
        <v>1102</v>
      </c>
      <c r="F5763" s="6">
        <v>8.375059409E9</v>
      </c>
    </row>
    <row r="5764" ht="15.75" customHeight="1">
      <c r="A5764" s="6" t="s">
        <v>6077</v>
      </c>
      <c r="B5764" s="6" t="s">
        <v>6078</v>
      </c>
      <c r="C5764" s="6" t="s">
        <v>6079</v>
      </c>
      <c r="D5764" s="6" t="s">
        <v>56</v>
      </c>
      <c r="E5764" s="6" t="s">
        <v>6080</v>
      </c>
      <c r="F5764" s="6">
        <v>9.511514263E9</v>
      </c>
    </row>
    <row r="5765" ht="15.75" customHeight="1">
      <c r="A5765" s="6" t="s">
        <v>6081</v>
      </c>
      <c r="B5765" s="6" t="s">
        <v>108</v>
      </c>
      <c r="C5765" s="6" t="s">
        <v>6082</v>
      </c>
      <c r="D5765" s="6" t="s">
        <v>14</v>
      </c>
      <c r="E5765" s="6" t="s">
        <v>1095</v>
      </c>
      <c r="F5765" s="6">
        <v>9.811094382E9</v>
      </c>
    </row>
    <row r="5766" ht="15.75" customHeight="1">
      <c r="A5766" s="6" t="s">
        <v>6083</v>
      </c>
      <c r="B5766" s="6" t="s">
        <v>6084</v>
      </c>
      <c r="C5766" s="6" t="s">
        <v>6085</v>
      </c>
      <c r="D5766" s="6" t="s">
        <v>14</v>
      </c>
      <c r="E5766" s="6" t="s">
        <v>6086</v>
      </c>
      <c r="F5766" s="6">
        <v>6.361092406E9</v>
      </c>
    </row>
    <row r="5767" ht="15.75" customHeight="1">
      <c r="A5767" s="6" t="s">
        <v>6087</v>
      </c>
      <c r="B5767" s="6" t="s">
        <v>1658</v>
      </c>
      <c r="C5767" s="6" t="s">
        <v>6088</v>
      </c>
      <c r="D5767" s="6" t="s">
        <v>14</v>
      </c>
      <c r="E5767" s="6" t="s">
        <v>3870</v>
      </c>
      <c r="F5767" s="6">
        <v>8.299352913E9</v>
      </c>
    </row>
    <row r="5768" ht="15.75" customHeight="1">
      <c r="A5768" s="6" t="s">
        <v>6089</v>
      </c>
      <c r="B5768" s="6" t="s">
        <v>6090</v>
      </c>
      <c r="C5768" s="6" t="s">
        <v>6091</v>
      </c>
      <c r="D5768" s="6" t="s">
        <v>44</v>
      </c>
      <c r="E5768" s="6" t="s">
        <v>6092</v>
      </c>
      <c r="F5768" s="6">
        <v>9.1949767764E11</v>
      </c>
    </row>
    <row r="5769" ht="15.75" customHeight="1">
      <c r="A5769" s="6" t="s">
        <v>545</v>
      </c>
      <c r="B5769" s="6" t="s">
        <v>69</v>
      </c>
      <c r="C5769" s="6" t="s">
        <v>6093</v>
      </c>
      <c r="D5769" s="6" t="s">
        <v>26</v>
      </c>
      <c r="E5769" s="6" t="s">
        <v>6094</v>
      </c>
      <c r="F5769" s="6">
        <v>9.306848401E9</v>
      </c>
    </row>
    <row r="5770" ht="15.75" customHeight="1">
      <c r="A5770" s="6" t="s">
        <v>396</v>
      </c>
      <c r="B5770" s="6" t="s">
        <v>6095</v>
      </c>
      <c r="C5770" s="6" t="s">
        <v>6096</v>
      </c>
      <c r="D5770" s="6" t="s">
        <v>26</v>
      </c>
      <c r="E5770" s="6" t="s">
        <v>4276</v>
      </c>
      <c r="F5770" s="6">
        <v>8.008385186E9</v>
      </c>
    </row>
    <row r="5771" ht="15.75" customHeight="1">
      <c r="A5771" s="6" t="s">
        <v>2643</v>
      </c>
      <c r="B5771" s="6" t="s">
        <v>6097</v>
      </c>
      <c r="C5771" s="6" t="s">
        <v>6098</v>
      </c>
      <c r="D5771" s="6" t="s">
        <v>9</v>
      </c>
      <c r="E5771" s="6" t="s">
        <v>494</v>
      </c>
      <c r="F5771" s="6">
        <v>9.19899555537E11</v>
      </c>
    </row>
    <row r="5772" ht="15.75" customHeight="1">
      <c r="A5772" s="6" t="s">
        <v>6087</v>
      </c>
      <c r="B5772" s="6" t="s">
        <v>1658</v>
      </c>
      <c r="C5772" s="6" t="s">
        <v>6099</v>
      </c>
      <c r="D5772" s="6" t="s">
        <v>14</v>
      </c>
      <c r="E5772" s="6" t="s">
        <v>3870</v>
      </c>
      <c r="F5772" s="6">
        <v>8.299352913E9</v>
      </c>
    </row>
    <row r="5773" ht="15.75" customHeight="1">
      <c r="A5773" s="6" t="s">
        <v>6100</v>
      </c>
      <c r="B5773" s="6" t="s">
        <v>6101</v>
      </c>
      <c r="C5773" s="6" t="s">
        <v>5961</v>
      </c>
      <c r="D5773" s="6" t="s">
        <v>9</v>
      </c>
      <c r="E5773" s="6" t="s">
        <v>4276</v>
      </c>
      <c r="F5773" s="6">
        <v>7.569506481E9</v>
      </c>
    </row>
    <row r="5774" ht="15.75" customHeight="1">
      <c r="A5774" s="6" t="s">
        <v>6102</v>
      </c>
      <c r="B5774" s="6" t="s">
        <v>5600</v>
      </c>
      <c r="C5774" s="6" t="s">
        <v>6103</v>
      </c>
      <c r="D5774" s="6" t="s">
        <v>26</v>
      </c>
      <c r="E5774" s="6" t="s">
        <v>5408</v>
      </c>
      <c r="F5774" s="6">
        <v>7.837414824E9</v>
      </c>
    </row>
    <row r="5775" ht="15.75" customHeight="1">
      <c r="A5775" s="6" t="s">
        <v>1889</v>
      </c>
      <c r="B5775" s="6" t="s">
        <v>459</v>
      </c>
      <c r="C5775" s="6" t="s">
        <v>6104</v>
      </c>
      <c r="D5775" s="6" t="s">
        <v>44</v>
      </c>
      <c r="E5775" s="6" t="s">
        <v>6105</v>
      </c>
      <c r="F5775" s="6">
        <v>9.71999632E9</v>
      </c>
    </row>
    <row r="5776" ht="15.75" customHeight="1">
      <c r="A5776" s="6" t="s">
        <v>124</v>
      </c>
      <c r="B5776" s="6" t="s">
        <v>47</v>
      </c>
      <c r="C5776" s="6" t="s">
        <v>6106</v>
      </c>
      <c r="D5776" s="6" t="s">
        <v>56</v>
      </c>
      <c r="E5776" s="6" t="s">
        <v>6107</v>
      </c>
      <c r="F5776" s="6">
        <v>7.056166826E9</v>
      </c>
    </row>
    <row r="5777" ht="15.75" customHeight="1">
      <c r="A5777" s="6" t="s">
        <v>6108</v>
      </c>
      <c r="B5777" s="6" t="s">
        <v>6109</v>
      </c>
      <c r="C5777" s="6" t="s">
        <v>6110</v>
      </c>
      <c r="D5777" s="6" t="s">
        <v>29</v>
      </c>
      <c r="E5777" s="6" t="s">
        <v>5285</v>
      </c>
      <c r="F5777" s="6">
        <v>9.443267955E9</v>
      </c>
    </row>
    <row r="5778" ht="15.75" customHeight="1">
      <c r="A5778" s="6" t="s">
        <v>6111</v>
      </c>
      <c r="B5778" s="6" t="s">
        <v>6112</v>
      </c>
      <c r="C5778" s="6" t="s">
        <v>6113</v>
      </c>
      <c r="D5778" s="6" t="s">
        <v>9</v>
      </c>
      <c r="E5778" s="6" t="s">
        <v>434</v>
      </c>
      <c r="F5778" s="6">
        <v>7.777093817E9</v>
      </c>
    </row>
    <row r="5779" ht="15.75" customHeight="1">
      <c r="A5779" s="6" t="s">
        <v>5876</v>
      </c>
      <c r="B5779" s="6" t="s">
        <v>119</v>
      </c>
      <c r="C5779" s="6" t="s">
        <v>6114</v>
      </c>
      <c r="D5779" s="6" t="s">
        <v>26</v>
      </c>
      <c r="E5779" s="6" t="s">
        <v>3453</v>
      </c>
      <c r="F5779" s="6">
        <v>9.752411419E9</v>
      </c>
    </row>
    <row r="5780" ht="15.75" customHeight="1">
      <c r="A5780" s="6" t="s">
        <v>6115</v>
      </c>
      <c r="B5780" s="6" t="s">
        <v>6116</v>
      </c>
      <c r="C5780" s="6" t="s">
        <v>6117</v>
      </c>
      <c r="D5780" s="6" t="s">
        <v>9</v>
      </c>
      <c r="E5780" s="6" t="s">
        <v>1102</v>
      </c>
      <c r="F5780" s="6">
        <v>8.377885939E9</v>
      </c>
    </row>
    <row r="5781" ht="15.75" customHeight="1">
      <c r="A5781" s="6" t="s">
        <v>6118</v>
      </c>
      <c r="B5781" s="6" t="s">
        <v>6119</v>
      </c>
      <c r="C5781" s="6" t="s">
        <v>5976</v>
      </c>
      <c r="D5781" s="6" t="s">
        <v>26</v>
      </c>
      <c r="E5781" s="6" t="s">
        <v>6120</v>
      </c>
      <c r="F5781" s="6">
        <v>8.239963032E9</v>
      </c>
    </row>
    <row r="5782" ht="15.75" customHeight="1">
      <c r="A5782" s="6" t="s">
        <v>496</v>
      </c>
      <c r="B5782" s="6" t="s">
        <v>6121</v>
      </c>
      <c r="C5782" s="6" t="s">
        <v>6122</v>
      </c>
      <c r="D5782" s="6" t="s">
        <v>29</v>
      </c>
      <c r="E5782" s="6" t="s">
        <v>6123</v>
      </c>
      <c r="F5782" s="6">
        <v>8.668970423E9</v>
      </c>
    </row>
    <row r="5783" ht="15.75" customHeight="1">
      <c r="A5783" s="6" t="s">
        <v>6124</v>
      </c>
      <c r="B5783" s="6" t="s">
        <v>6125</v>
      </c>
      <c r="C5783" s="6" t="s">
        <v>6126</v>
      </c>
      <c r="D5783" s="6" t="s">
        <v>26</v>
      </c>
      <c r="E5783" s="6" t="s">
        <v>6127</v>
      </c>
      <c r="F5783" s="6">
        <v>6.361056915E9</v>
      </c>
    </row>
    <row r="5784" ht="15.75" customHeight="1">
      <c r="A5784" s="6" t="s">
        <v>1534</v>
      </c>
      <c r="B5784" s="6" t="s">
        <v>6128</v>
      </c>
      <c r="C5784" s="6" t="s">
        <v>6122</v>
      </c>
      <c r="D5784" s="6" t="s">
        <v>26</v>
      </c>
      <c r="E5784" s="6" t="s">
        <v>6123</v>
      </c>
      <c r="F5784" s="6">
        <v>8.767086171E9</v>
      </c>
    </row>
    <row r="5785" ht="15.75" customHeight="1">
      <c r="A5785" s="6" t="s">
        <v>6129</v>
      </c>
      <c r="B5785" s="6" t="s">
        <v>800</v>
      </c>
      <c r="C5785" s="6" t="s">
        <v>6130</v>
      </c>
      <c r="D5785" s="6" t="s">
        <v>26</v>
      </c>
      <c r="E5785" s="6" t="s">
        <v>5230</v>
      </c>
      <c r="F5785" s="6">
        <v>9.886873719E9</v>
      </c>
    </row>
    <row r="5786" ht="15.75" customHeight="1">
      <c r="A5786" s="6" t="s">
        <v>6131</v>
      </c>
      <c r="B5786" s="6" t="s">
        <v>6132</v>
      </c>
      <c r="C5786" s="6" t="s">
        <v>6133</v>
      </c>
      <c r="D5786" s="6" t="s">
        <v>56</v>
      </c>
      <c r="E5786" s="6" t="s">
        <v>6134</v>
      </c>
      <c r="F5786" s="6">
        <v>9.108723586E9</v>
      </c>
    </row>
    <row r="5787" ht="15.75" customHeight="1">
      <c r="A5787" s="6" t="s">
        <v>6135</v>
      </c>
      <c r="B5787" s="6" t="s">
        <v>4054</v>
      </c>
      <c r="C5787" s="6" t="s">
        <v>6136</v>
      </c>
      <c r="D5787" s="6" t="s">
        <v>9</v>
      </c>
      <c r="E5787" s="6" t="s">
        <v>2025</v>
      </c>
      <c r="F5787" s="6">
        <v>8.595532249E9</v>
      </c>
    </row>
    <row r="5788" ht="15.75" customHeight="1">
      <c r="A5788" s="6" t="s">
        <v>189</v>
      </c>
      <c r="B5788" s="6" t="s">
        <v>5098</v>
      </c>
      <c r="C5788" s="6" t="s">
        <v>6137</v>
      </c>
      <c r="D5788" s="6" t="s">
        <v>44</v>
      </c>
      <c r="E5788" s="6" t="s">
        <v>1102</v>
      </c>
      <c r="F5788" s="6">
        <v>8.130090774E9</v>
      </c>
    </row>
    <row r="5789" ht="15.75" customHeight="1">
      <c r="A5789" s="6" t="s">
        <v>5426</v>
      </c>
      <c r="B5789" s="6" t="s">
        <v>122</v>
      </c>
      <c r="C5789" s="6" t="s">
        <v>6138</v>
      </c>
      <c r="D5789" s="6" t="s">
        <v>56</v>
      </c>
      <c r="E5789" s="6" t="s">
        <v>5408</v>
      </c>
      <c r="F5789" s="6">
        <v>8.006525352E9</v>
      </c>
    </row>
    <row r="5790" ht="15.75" customHeight="1">
      <c r="A5790" s="6" t="s">
        <v>6139</v>
      </c>
      <c r="B5790" s="6" t="s">
        <v>6140</v>
      </c>
      <c r="C5790" s="6" t="s">
        <v>6141</v>
      </c>
      <c r="D5790" s="6" t="s">
        <v>9</v>
      </c>
      <c r="E5790" s="6" t="s">
        <v>6142</v>
      </c>
      <c r="F5790" s="6">
        <v>9.73244664E9</v>
      </c>
    </row>
    <row r="5791" ht="15.75" customHeight="1">
      <c r="A5791" s="6" t="s">
        <v>2286</v>
      </c>
      <c r="B5791" s="6" t="s">
        <v>508</v>
      </c>
      <c r="C5791" s="6" t="s">
        <v>6143</v>
      </c>
      <c r="D5791" s="6" t="s">
        <v>9</v>
      </c>
      <c r="E5791" s="6" t="s">
        <v>4546</v>
      </c>
      <c r="F5791" s="6">
        <v>8.318071114E9</v>
      </c>
    </row>
    <row r="5792" ht="15.75" customHeight="1">
      <c r="A5792" s="6" t="s">
        <v>5053</v>
      </c>
      <c r="B5792" s="6" t="s">
        <v>722</v>
      </c>
      <c r="C5792" s="6" t="s">
        <v>6144</v>
      </c>
      <c r="D5792" s="6" t="s">
        <v>29</v>
      </c>
      <c r="E5792" s="6" t="s">
        <v>4867</v>
      </c>
      <c r="F5792" s="6">
        <v>7.091495434E9</v>
      </c>
    </row>
    <row r="5793" ht="15.75" customHeight="1">
      <c r="A5793" s="6" t="s">
        <v>6145</v>
      </c>
      <c r="B5793" s="6" t="s">
        <v>4229</v>
      </c>
      <c r="C5793" s="6" t="s">
        <v>6146</v>
      </c>
      <c r="D5793" s="6" t="s">
        <v>9</v>
      </c>
      <c r="E5793" s="6" t="s">
        <v>4923</v>
      </c>
      <c r="F5793" s="6">
        <v>8.69983574E9</v>
      </c>
    </row>
    <row r="5794" ht="15.75" customHeight="1">
      <c r="A5794" s="6" t="s">
        <v>6147</v>
      </c>
      <c r="B5794" s="6" t="s">
        <v>5793</v>
      </c>
      <c r="C5794" s="6" t="s">
        <v>6148</v>
      </c>
      <c r="D5794" s="6" t="s">
        <v>44</v>
      </c>
      <c r="E5794" s="6" t="s">
        <v>6149</v>
      </c>
      <c r="F5794" s="6">
        <v>6.290790106E9</v>
      </c>
    </row>
    <row r="5795" ht="15.75" customHeight="1">
      <c r="A5795" s="6" t="s">
        <v>6150</v>
      </c>
      <c r="B5795" s="6" t="s">
        <v>6151</v>
      </c>
      <c r="C5795" s="6" t="s">
        <v>6152</v>
      </c>
      <c r="D5795" s="6" t="s">
        <v>26</v>
      </c>
      <c r="E5795" s="6" t="s">
        <v>2575</v>
      </c>
      <c r="F5795" s="6">
        <v>9.840408371E9</v>
      </c>
    </row>
    <row r="5796" ht="15.75" customHeight="1">
      <c r="A5796" s="6" t="s">
        <v>6153</v>
      </c>
      <c r="B5796" s="6" t="s">
        <v>6154</v>
      </c>
      <c r="C5796" s="6" t="s">
        <v>6155</v>
      </c>
      <c r="D5796" s="6" t="s">
        <v>56</v>
      </c>
      <c r="E5796" s="6" t="s">
        <v>4941</v>
      </c>
      <c r="F5796" s="6">
        <v>8.008506548E9</v>
      </c>
    </row>
    <row r="5797" ht="15.75" customHeight="1">
      <c r="A5797" s="6" t="s">
        <v>6156</v>
      </c>
      <c r="B5797" s="6" t="s">
        <v>108</v>
      </c>
      <c r="C5797" s="6" t="s">
        <v>6157</v>
      </c>
      <c r="D5797" s="6" t="s">
        <v>9</v>
      </c>
      <c r="E5797" s="6" t="s">
        <v>1102</v>
      </c>
      <c r="F5797" s="6" t="s">
        <v>6158</v>
      </c>
    </row>
    <row r="5798" ht="15.75" customHeight="1">
      <c r="A5798" s="6" t="s">
        <v>6159</v>
      </c>
      <c r="B5798" s="6" t="s">
        <v>1265</v>
      </c>
      <c r="C5798" s="6" t="s">
        <v>4409</v>
      </c>
      <c r="D5798" s="6" t="s">
        <v>56</v>
      </c>
      <c r="E5798" s="6" t="s">
        <v>6160</v>
      </c>
      <c r="F5798" s="6">
        <v>9.0646629E9</v>
      </c>
    </row>
    <row r="5799" ht="15.75" customHeight="1">
      <c r="A5799" s="6" t="s">
        <v>6161</v>
      </c>
      <c r="B5799" s="6" t="s">
        <v>6162</v>
      </c>
      <c r="C5799" s="6" t="s">
        <v>6163</v>
      </c>
      <c r="D5799" s="6" t="s">
        <v>29</v>
      </c>
      <c r="E5799" s="6" t="s">
        <v>4583</v>
      </c>
      <c r="F5799" s="6">
        <v>6.372716938E9</v>
      </c>
    </row>
    <row r="5800" ht="15.75" customHeight="1">
      <c r="A5800" s="6" t="s">
        <v>6164</v>
      </c>
      <c r="B5800" s="6" t="s">
        <v>5460</v>
      </c>
      <c r="C5800" s="6" t="s">
        <v>6137</v>
      </c>
      <c r="D5800" s="6" t="s">
        <v>9</v>
      </c>
      <c r="E5800" s="6" t="s">
        <v>6165</v>
      </c>
      <c r="F5800" s="6">
        <v>8.527862514E9</v>
      </c>
    </row>
    <row r="5801" ht="15.75" customHeight="1">
      <c r="A5801" s="6" t="s">
        <v>6166</v>
      </c>
      <c r="B5801" s="6" t="s">
        <v>6167</v>
      </c>
      <c r="C5801" s="6" t="s">
        <v>6168</v>
      </c>
      <c r="D5801" s="6" t="s">
        <v>26</v>
      </c>
      <c r="E5801" s="6" t="s">
        <v>5204</v>
      </c>
      <c r="F5801" s="6">
        <v>9.4036314E9</v>
      </c>
    </row>
    <row r="5802" ht="15.75" customHeight="1">
      <c r="A5802" s="6" t="s">
        <v>6169</v>
      </c>
      <c r="B5802" s="6" t="s">
        <v>6170</v>
      </c>
      <c r="C5802" s="6" t="s">
        <v>6171</v>
      </c>
      <c r="D5802" s="6" t="s">
        <v>26</v>
      </c>
      <c r="E5802" s="6" t="s">
        <v>4484</v>
      </c>
      <c r="F5802" s="6">
        <v>9.8915357E9</v>
      </c>
    </row>
    <row r="5803" ht="15.75" customHeight="1">
      <c r="A5803" s="6" t="s">
        <v>4511</v>
      </c>
      <c r="B5803" s="6" t="s">
        <v>6172</v>
      </c>
      <c r="C5803" s="6" t="s">
        <v>6173</v>
      </c>
      <c r="D5803" s="6" t="s">
        <v>56</v>
      </c>
      <c r="E5803" s="6" t="s">
        <v>6174</v>
      </c>
      <c r="F5803" s="6">
        <v>7.219896561E9</v>
      </c>
    </row>
    <row r="5804" ht="15.75" customHeight="1">
      <c r="A5804" s="6" t="s">
        <v>6175</v>
      </c>
      <c r="B5804" s="6" t="s">
        <v>6176</v>
      </c>
      <c r="C5804" s="6" t="s">
        <v>6177</v>
      </c>
      <c r="D5804" s="6" t="s">
        <v>44</v>
      </c>
      <c r="E5804" s="6" t="s">
        <v>6178</v>
      </c>
      <c r="F5804" s="6">
        <v>9.930413263E9</v>
      </c>
    </row>
    <row r="5805" ht="15.75" customHeight="1">
      <c r="A5805" s="6" t="s">
        <v>535</v>
      </c>
      <c r="B5805" s="6" t="s">
        <v>6150</v>
      </c>
      <c r="C5805" s="6" t="s">
        <v>6152</v>
      </c>
      <c r="D5805" s="6" t="s">
        <v>26</v>
      </c>
      <c r="E5805" s="6" t="s">
        <v>2575</v>
      </c>
      <c r="F5805" s="6">
        <v>9.080022682E9</v>
      </c>
    </row>
    <row r="5806" ht="15.75" customHeight="1">
      <c r="A5806" s="6" t="s">
        <v>6179</v>
      </c>
      <c r="B5806" s="6" t="s">
        <v>800</v>
      </c>
      <c r="C5806" s="6" t="s">
        <v>6180</v>
      </c>
      <c r="D5806" s="6" t="s">
        <v>26</v>
      </c>
      <c r="E5806" s="6" t="s">
        <v>6181</v>
      </c>
      <c r="F5806" s="6">
        <v>8.420105137E9</v>
      </c>
    </row>
    <row r="5807" ht="15.75" customHeight="1">
      <c r="A5807" s="6" t="s">
        <v>3078</v>
      </c>
      <c r="B5807" s="6" t="s">
        <v>6182</v>
      </c>
      <c r="C5807" s="6" t="s">
        <v>6183</v>
      </c>
      <c r="D5807" s="6" t="s">
        <v>56</v>
      </c>
      <c r="E5807" s="6" t="s">
        <v>6184</v>
      </c>
      <c r="F5807" s="6">
        <v>8.870947641E9</v>
      </c>
    </row>
    <row r="5808" ht="15.75" customHeight="1">
      <c r="A5808" s="6" t="s">
        <v>477</v>
      </c>
      <c r="B5808" s="6" t="s">
        <v>55</v>
      </c>
      <c r="C5808" s="6" t="s">
        <v>6185</v>
      </c>
      <c r="D5808" s="6" t="s">
        <v>44</v>
      </c>
      <c r="E5808" s="6" t="s">
        <v>6186</v>
      </c>
      <c r="F5808" s="6">
        <v>8.287339159E9</v>
      </c>
    </row>
    <row r="5809" ht="15.75" customHeight="1">
      <c r="A5809" s="6" t="s">
        <v>6187</v>
      </c>
      <c r="B5809" s="6" t="s">
        <v>6188</v>
      </c>
      <c r="C5809" s="6" t="s">
        <v>6189</v>
      </c>
      <c r="D5809" s="6" t="s">
        <v>44</v>
      </c>
      <c r="E5809" s="6" t="s">
        <v>4276</v>
      </c>
      <c r="F5809" s="6">
        <v>9.866120731E9</v>
      </c>
    </row>
    <row r="5810" ht="15.75" customHeight="1">
      <c r="A5810" s="6" t="s">
        <v>5215</v>
      </c>
      <c r="B5810" s="6" t="s">
        <v>119</v>
      </c>
      <c r="C5810" s="6" t="s">
        <v>6190</v>
      </c>
      <c r="D5810" s="6" t="s">
        <v>56</v>
      </c>
      <c r="E5810" s="6" t="s">
        <v>6029</v>
      </c>
      <c r="F5810" s="6">
        <v>9.050370014E9</v>
      </c>
    </row>
    <row r="5811" ht="15.75" customHeight="1">
      <c r="A5811" s="6" t="s">
        <v>6191</v>
      </c>
      <c r="B5811" s="6" t="s">
        <v>6192</v>
      </c>
      <c r="C5811" s="6" t="s">
        <v>6193</v>
      </c>
      <c r="D5811" s="6" t="s">
        <v>9</v>
      </c>
      <c r="E5811" s="6" t="s">
        <v>6037</v>
      </c>
      <c r="F5811" s="6">
        <v>8.83896985E9</v>
      </c>
    </row>
    <row r="5812" ht="15.75" customHeight="1">
      <c r="A5812" s="6" t="s">
        <v>466</v>
      </c>
      <c r="B5812" s="6" t="s">
        <v>5537</v>
      </c>
      <c r="C5812" s="6" t="s">
        <v>6194</v>
      </c>
      <c r="D5812" s="6" t="s">
        <v>56</v>
      </c>
      <c r="E5812" s="6" t="s">
        <v>1102</v>
      </c>
      <c r="F5812" s="6">
        <v>7.042533515E9</v>
      </c>
    </row>
    <row r="5813" ht="15.75" customHeight="1">
      <c r="A5813" s="6" t="s">
        <v>2602</v>
      </c>
      <c r="B5813" s="6" t="s">
        <v>6195</v>
      </c>
      <c r="C5813" s="6" t="s">
        <v>6196</v>
      </c>
      <c r="D5813" s="6" t="s">
        <v>56</v>
      </c>
      <c r="E5813" s="6" t="s">
        <v>4276</v>
      </c>
      <c r="F5813" s="6">
        <v>9.949061284E9</v>
      </c>
    </row>
    <row r="5814" ht="15.75" customHeight="1">
      <c r="A5814" s="6" t="s">
        <v>1035</v>
      </c>
      <c r="B5814" s="6" t="s">
        <v>6195</v>
      </c>
      <c r="C5814" s="6" t="s">
        <v>6067</v>
      </c>
      <c r="D5814" s="6" t="s">
        <v>56</v>
      </c>
      <c r="E5814" s="6" t="s">
        <v>4276</v>
      </c>
      <c r="F5814" s="6">
        <v>7.337420973E9</v>
      </c>
    </row>
    <row r="5815" ht="15.75" customHeight="1">
      <c r="A5815" s="6" t="s">
        <v>6197</v>
      </c>
      <c r="B5815" s="6" t="s">
        <v>5062</v>
      </c>
      <c r="C5815" s="6" t="s">
        <v>5063</v>
      </c>
      <c r="D5815" s="6" t="s">
        <v>14</v>
      </c>
      <c r="E5815" s="6" t="s">
        <v>195</v>
      </c>
      <c r="F5815" s="6">
        <v>1.0</v>
      </c>
    </row>
    <row r="5816" ht="15.75" customHeight="1">
      <c r="A5816" s="6" t="s">
        <v>6198</v>
      </c>
      <c r="B5816" s="6" t="s">
        <v>4614</v>
      </c>
      <c r="C5816" s="6" t="s">
        <v>6199</v>
      </c>
      <c r="D5816" s="6" t="s">
        <v>44</v>
      </c>
      <c r="E5816" s="6" t="s">
        <v>6142</v>
      </c>
      <c r="F5816" s="6">
        <v>9.600816357E9</v>
      </c>
    </row>
    <row r="5817" ht="15.75" customHeight="1">
      <c r="A5817" s="6" t="s">
        <v>6200</v>
      </c>
      <c r="B5817" s="6" t="s">
        <v>6201</v>
      </c>
      <c r="C5817" s="6" t="s">
        <v>5227</v>
      </c>
      <c r="D5817" s="6" t="s">
        <v>9</v>
      </c>
      <c r="E5817" s="6" t="s">
        <v>4276</v>
      </c>
      <c r="F5817" s="6">
        <v>7.095729838E9</v>
      </c>
    </row>
    <row r="5818" ht="15.75" customHeight="1">
      <c r="A5818" s="6" t="s">
        <v>2749</v>
      </c>
      <c r="B5818" s="6" t="s">
        <v>675</v>
      </c>
      <c r="C5818" s="6" t="s">
        <v>5063</v>
      </c>
      <c r="D5818" s="6" t="s">
        <v>14</v>
      </c>
      <c r="E5818" s="6" t="s">
        <v>434</v>
      </c>
      <c r="F5818" s="6">
        <v>7.400281899E9</v>
      </c>
    </row>
    <row r="5819" ht="15.75" customHeight="1">
      <c r="A5819" s="6" t="s">
        <v>105</v>
      </c>
      <c r="B5819" s="6" t="s">
        <v>6202</v>
      </c>
      <c r="C5819" s="6" t="s">
        <v>5063</v>
      </c>
      <c r="D5819" s="6" t="s">
        <v>14</v>
      </c>
      <c r="E5819" s="6" t="s">
        <v>434</v>
      </c>
      <c r="F5819" s="6">
        <v>7.400281899E9</v>
      </c>
    </row>
    <row r="5820" ht="15.75" customHeight="1">
      <c r="A5820" s="6" t="s">
        <v>201</v>
      </c>
      <c r="B5820" s="6" t="s">
        <v>68</v>
      </c>
      <c r="C5820" s="6" t="s">
        <v>5991</v>
      </c>
      <c r="D5820" s="6" t="s">
        <v>56</v>
      </c>
      <c r="E5820" s="6" t="s">
        <v>494</v>
      </c>
      <c r="F5820" s="6">
        <v>9.811229554E9</v>
      </c>
    </row>
    <row r="5821" ht="15.75" customHeight="1">
      <c r="A5821" s="6" t="s">
        <v>2693</v>
      </c>
      <c r="B5821" s="6" t="s">
        <v>3846</v>
      </c>
      <c r="C5821" s="6" t="s">
        <v>6203</v>
      </c>
      <c r="D5821" s="6" t="s">
        <v>9</v>
      </c>
      <c r="E5821" s="6" t="s">
        <v>4015</v>
      </c>
      <c r="F5821" s="6">
        <v>9.811225751E9</v>
      </c>
    </row>
    <row r="5822" ht="15.75" customHeight="1">
      <c r="A5822" s="6" t="s">
        <v>6204</v>
      </c>
      <c r="B5822" s="6" t="s">
        <v>6205</v>
      </c>
      <c r="C5822" s="6" t="s">
        <v>6206</v>
      </c>
      <c r="D5822" s="6" t="s">
        <v>26</v>
      </c>
      <c r="E5822" s="6" t="s">
        <v>4941</v>
      </c>
      <c r="F5822" s="6">
        <v>9.701550873E9</v>
      </c>
    </row>
    <row r="5823" ht="15.75" customHeight="1">
      <c r="A5823" s="6" t="s">
        <v>1153</v>
      </c>
      <c r="B5823" s="6" t="s">
        <v>1812</v>
      </c>
      <c r="C5823" s="6" t="s">
        <v>6207</v>
      </c>
      <c r="D5823" s="6" t="s">
        <v>9</v>
      </c>
      <c r="E5823" s="6" t="s">
        <v>6208</v>
      </c>
      <c r="F5823" s="6">
        <v>9.352565404E9</v>
      </c>
    </row>
    <row r="5824" ht="15.75" customHeight="1">
      <c r="A5824" s="6" t="s">
        <v>6209</v>
      </c>
      <c r="B5824" s="6" t="s">
        <v>6210</v>
      </c>
      <c r="C5824" s="6" t="s">
        <v>4586</v>
      </c>
      <c r="D5824" s="6" t="s">
        <v>29</v>
      </c>
      <c r="E5824" s="6" t="s">
        <v>6211</v>
      </c>
      <c r="F5824" s="6">
        <v>8.349393789E9</v>
      </c>
    </row>
    <row r="5825" ht="15.75" customHeight="1">
      <c r="A5825" s="6" t="s">
        <v>6212</v>
      </c>
      <c r="B5825" s="6" t="s">
        <v>6213</v>
      </c>
      <c r="C5825" s="6" t="s">
        <v>6214</v>
      </c>
      <c r="D5825" s="6" t="s">
        <v>44</v>
      </c>
      <c r="E5825" s="6" t="s">
        <v>4276</v>
      </c>
      <c r="F5825" s="6">
        <v>9.885490474E9</v>
      </c>
    </row>
    <row r="5826" ht="15.75" customHeight="1">
      <c r="A5826" s="6" t="s">
        <v>800</v>
      </c>
      <c r="B5826" s="6" t="s">
        <v>1441</v>
      </c>
      <c r="C5826" s="6" t="s">
        <v>6215</v>
      </c>
      <c r="D5826" s="6" t="s">
        <v>44</v>
      </c>
      <c r="E5826" s="6" t="s">
        <v>6216</v>
      </c>
      <c r="F5826" s="6">
        <v>9.846403355E9</v>
      </c>
    </row>
    <row r="5827" ht="15.75" customHeight="1">
      <c r="A5827" s="6" t="s">
        <v>4846</v>
      </c>
      <c r="B5827" s="6" t="s">
        <v>6217</v>
      </c>
      <c r="C5827" s="6" t="s">
        <v>412</v>
      </c>
      <c r="D5827" s="6" t="s">
        <v>44</v>
      </c>
      <c r="E5827" s="6" t="s">
        <v>4867</v>
      </c>
      <c r="F5827" s="6">
        <v>9.93480059E9</v>
      </c>
    </row>
    <row r="5828" ht="15.75" customHeight="1">
      <c r="A5828" s="6" t="s">
        <v>146</v>
      </c>
      <c r="B5828" s="6" t="s">
        <v>382</v>
      </c>
      <c r="C5828" s="6" t="s">
        <v>6218</v>
      </c>
      <c r="D5828" s="6" t="s">
        <v>26</v>
      </c>
      <c r="E5828" s="6" t="s">
        <v>494</v>
      </c>
      <c r="F5828" s="6">
        <v>9.315978494E9</v>
      </c>
    </row>
    <row r="5829" ht="15.75" customHeight="1">
      <c r="A5829" s="6" t="s">
        <v>1015</v>
      </c>
      <c r="B5829" s="6" t="s">
        <v>6219</v>
      </c>
      <c r="C5829" s="6" t="s">
        <v>5063</v>
      </c>
      <c r="D5829" s="6" t="s">
        <v>14</v>
      </c>
      <c r="E5829" s="6" t="s">
        <v>434</v>
      </c>
      <c r="F5829" s="6">
        <v>7.400281899E9</v>
      </c>
    </row>
    <row r="5830" ht="15.75" customHeight="1">
      <c r="A5830" s="6" t="s">
        <v>2483</v>
      </c>
      <c r="B5830" s="6" t="s">
        <v>6220</v>
      </c>
      <c r="C5830" s="6" t="s">
        <v>6221</v>
      </c>
      <c r="D5830" s="6" t="s">
        <v>56</v>
      </c>
      <c r="E5830" s="6" t="s">
        <v>2575</v>
      </c>
      <c r="F5830" s="6">
        <v>8.056032111E9</v>
      </c>
    </row>
    <row r="5831" ht="15.75" customHeight="1">
      <c r="A5831" s="6" t="s">
        <v>6222</v>
      </c>
      <c r="B5831" s="6" t="s">
        <v>6223</v>
      </c>
      <c r="C5831" s="6" t="s">
        <v>4475</v>
      </c>
      <c r="D5831" s="6" t="s">
        <v>56</v>
      </c>
      <c r="E5831" s="6" t="s">
        <v>4276</v>
      </c>
      <c r="F5831" s="6">
        <v>8.788089664E9</v>
      </c>
    </row>
    <row r="5832" ht="15.75" customHeight="1">
      <c r="A5832" s="6" t="s">
        <v>1636</v>
      </c>
      <c r="B5832" s="6" t="s">
        <v>6224</v>
      </c>
      <c r="C5832" s="6" t="s">
        <v>6225</v>
      </c>
      <c r="D5832" s="6" t="s">
        <v>26</v>
      </c>
      <c r="E5832" s="6" t="s">
        <v>5438</v>
      </c>
      <c r="F5832" s="6">
        <v>9.381741141E9</v>
      </c>
    </row>
    <row r="5833" ht="15.75" customHeight="1">
      <c r="A5833" s="6" t="s">
        <v>1725</v>
      </c>
      <c r="B5833" s="6" t="s">
        <v>6226</v>
      </c>
      <c r="C5833" s="6" t="s">
        <v>6227</v>
      </c>
      <c r="D5833" s="6" t="s">
        <v>1108</v>
      </c>
      <c r="E5833" s="6" t="s">
        <v>434</v>
      </c>
      <c r="F5833" s="6">
        <v>7.799140406E9</v>
      </c>
    </row>
    <row r="5834" ht="15.75" customHeight="1">
      <c r="A5834" s="6" t="s">
        <v>3587</v>
      </c>
      <c r="B5834" s="6" t="s">
        <v>6228</v>
      </c>
      <c r="C5834" s="6" t="s">
        <v>6229</v>
      </c>
      <c r="D5834" s="6" t="s">
        <v>26</v>
      </c>
      <c r="E5834" s="6" t="s">
        <v>4276</v>
      </c>
      <c r="F5834" s="6">
        <v>7.799043293E9</v>
      </c>
    </row>
    <row r="5835" ht="15.75" customHeight="1">
      <c r="A5835" s="6" t="s">
        <v>6230</v>
      </c>
      <c r="B5835" s="6" t="s">
        <v>1672</v>
      </c>
      <c r="C5835" s="6" t="s">
        <v>4149</v>
      </c>
      <c r="D5835" s="6" t="s">
        <v>9</v>
      </c>
      <c r="E5835" s="6" t="s">
        <v>4150</v>
      </c>
      <c r="F5835" s="6">
        <v>7.876146101E9</v>
      </c>
    </row>
    <row r="5836" ht="15.75" customHeight="1">
      <c r="A5836" s="6" t="s">
        <v>2713</v>
      </c>
      <c r="B5836" s="6" t="s">
        <v>6097</v>
      </c>
      <c r="C5836" s="6" t="s">
        <v>6231</v>
      </c>
      <c r="D5836" s="6" t="s">
        <v>9</v>
      </c>
      <c r="E5836" s="6" t="s">
        <v>1102</v>
      </c>
      <c r="F5836" s="6">
        <v>8.383866632E9</v>
      </c>
    </row>
    <row r="5837" ht="15.75" customHeight="1">
      <c r="A5837" s="6" t="s">
        <v>1092</v>
      </c>
      <c r="B5837" s="6" t="s">
        <v>68</v>
      </c>
      <c r="C5837" s="6" t="s">
        <v>6232</v>
      </c>
      <c r="D5837" s="6" t="s">
        <v>56</v>
      </c>
      <c r="E5837" s="6" t="s">
        <v>2575</v>
      </c>
      <c r="F5837" s="6">
        <v>9.380260008E9</v>
      </c>
    </row>
    <row r="5838" ht="15.75" customHeight="1">
      <c r="A5838" s="6" t="s">
        <v>6233</v>
      </c>
      <c r="B5838" s="6" t="s">
        <v>6234</v>
      </c>
      <c r="C5838" s="6" t="s">
        <v>4475</v>
      </c>
      <c r="D5838" s="6" t="s">
        <v>26</v>
      </c>
      <c r="E5838" s="6" t="s">
        <v>6235</v>
      </c>
      <c r="F5838" s="6">
        <v>7.013852185E9</v>
      </c>
    </row>
    <row r="5839" ht="15.75" customHeight="1">
      <c r="A5839" s="6" t="s">
        <v>33</v>
      </c>
      <c r="B5839" s="6" t="s">
        <v>2017</v>
      </c>
      <c r="C5839" s="6" t="s">
        <v>6236</v>
      </c>
      <c r="D5839" s="6" t="s">
        <v>56</v>
      </c>
      <c r="E5839" s="6" t="s">
        <v>15</v>
      </c>
      <c r="F5839" s="6">
        <v>9.545669762E9</v>
      </c>
    </row>
    <row r="5840" ht="15.75" customHeight="1">
      <c r="A5840" s="6" t="s">
        <v>4593</v>
      </c>
      <c r="B5840" s="6" t="s">
        <v>6237</v>
      </c>
      <c r="C5840" s="6" t="s">
        <v>6238</v>
      </c>
      <c r="D5840" s="6" t="s">
        <v>44</v>
      </c>
      <c r="E5840" s="6" t="s">
        <v>4276</v>
      </c>
      <c r="F5840" s="6">
        <v>9.398122957E9</v>
      </c>
    </row>
    <row r="5841" ht="15.75" customHeight="1">
      <c r="A5841" s="6" t="s">
        <v>6239</v>
      </c>
      <c r="B5841" s="6" t="s">
        <v>6240</v>
      </c>
      <c r="C5841" s="6" t="s">
        <v>6053</v>
      </c>
      <c r="D5841" s="6" t="s">
        <v>56</v>
      </c>
      <c r="E5841" s="6" t="s">
        <v>494</v>
      </c>
      <c r="F5841" s="6">
        <v>8.800654091E9</v>
      </c>
    </row>
    <row r="5842" ht="15.75" customHeight="1">
      <c r="A5842" s="6" t="s">
        <v>6241</v>
      </c>
      <c r="B5842" s="6" t="s">
        <v>6242</v>
      </c>
      <c r="C5842" s="6" t="s">
        <v>6243</v>
      </c>
      <c r="D5842" s="6" t="s">
        <v>56</v>
      </c>
      <c r="E5842" s="6" t="s">
        <v>15</v>
      </c>
      <c r="F5842" s="6">
        <v>7.71077135E9</v>
      </c>
    </row>
    <row r="5843" ht="15.75" customHeight="1">
      <c r="A5843" s="6" t="s">
        <v>6244</v>
      </c>
      <c r="B5843" s="6" t="s">
        <v>6245</v>
      </c>
      <c r="C5843" s="6" t="s">
        <v>6246</v>
      </c>
      <c r="D5843" s="6" t="s">
        <v>56</v>
      </c>
      <c r="E5843" s="6" t="s">
        <v>494</v>
      </c>
      <c r="F5843" s="6">
        <v>9.910803651E9</v>
      </c>
    </row>
    <row r="5844" ht="15.75" customHeight="1">
      <c r="A5844" s="6" t="s">
        <v>6247</v>
      </c>
      <c r="B5844" s="6" t="s">
        <v>6248</v>
      </c>
      <c r="C5844" s="6" t="s">
        <v>6249</v>
      </c>
      <c r="D5844" s="6" t="s">
        <v>44</v>
      </c>
      <c r="E5844" s="6" t="s">
        <v>6250</v>
      </c>
      <c r="F5844" s="6">
        <v>8.83709447E9</v>
      </c>
    </row>
    <row r="5845" ht="15.75" customHeight="1">
      <c r="A5845" s="6" t="s">
        <v>125</v>
      </c>
      <c r="B5845" s="6" t="s">
        <v>47</v>
      </c>
      <c r="C5845" s="6" t="s">
        <v>6251</v>
      </c>
      <c r="D5845" s="6" t="s">
        <v>44</v>
      </c>
      <c r="E5845" s="6" t="s">
        <v>6107</v>
      </c>
      <c r="F5845" s="6">
        <v>7.015274292E9</v>
      </c>
    </row>
    <row r="5846" ht="15.75" customHeight="1">
      <c r="A5846" s="6" t="s">
        <v>6252</v>
      </c>
      <c r="B5846" s="6" t="s">
        <v>6253</v>
      </c>
      <c r="C5846" s="6" t="s">
        <v>6189</v>
      </c>
      <c r="D5846" s="6" t="s">
        <v>56</v>
      </c>
      <c r="E5846" s="6" t="s">
        <v>4276</v>
      </c>
      <c r="F5846" s="6">
        <v>9.346727627E9</v>
      </c>
    </row>
    <row r="5847" ht="15.75" customHeight="1">
      <c r="A5847" s="6" t="s">
        <v>6254</v>
      </c>
      <c r="B5847" s="6" t="s">
        <v>6255</v>
      </c>
      <c r="C5847" s="6" t="s">
        <v>6256</v>
      </c>
      <c r="D5847" s="6" t="s">
        <v>26</v>
      </c>
      <c r="E5847" s="6" t="s">
        <v>4941</v>
      </c>
      <c r="F5847" s="6">
        <v>9.391734799E9</v>
      </c>
    </row>
    <row r="5848" ht="15.75" customHeight="1">
      <c r="A5848" s="6" t="s">
        <v>4605</v>
      </c>
      <c r="B5848" s="6" t="s">
        <v>147</v>
      </c>
      <c r="C5848" s="6" t="s">
        <v>6257</v>
      </c>
      <c r="D5848" s="6" t="s">
        <v>26</v>
      </c>
      <c r="E5848" s="6" t="s">
        <v>434</v>
      </c>
      <c r="F5848" s="6">
        <v>9.821017544E9</v>
      </c>
    </row>
    <row r="5849" ht="15.75" customHeight="1">
      <c r="A5849" s="6" t="s">
        <v>6258</v>
      </c>
      <c r="B5849" s="6" t="s">
        <v>6259</v>
      </c>
      <c r="C5849" s="6" t="s">
        <v>5559</v>
      </c>
      <c r="D5849" s="6" t="s">
        <v>26</v>
      </c>
      <c r="E5849" s="6" t="s">
        <v>4276</v>
      </c>
      <c r="F5849" s="6">
        <v>9.959227159E9</v>
      </c>
    </row>
    <row r="5850" ht="15.75" customHeight="1">
      <c r="A5850" s="6" t="s">
        <v>6260</v>
      </c>
      <c r="B5850" s="6" t="s">
        <v>6261</v>
      </c>
      <c r="C5850" s="6" t="s">
        <v>6262</v>
      </c>
      <c r="D5850" s="6" t="s">
        <v>44</v>
      </c>
      <c r="E5850" s="6" t="s">
        <v>6263</v>
      </c>
      <c r="F5850" s="6">
        <v>7.907066286E9</v>
      </c>
    </row>
    <row r="5851" ht="15.75" customHeight="1">
      <c r="A5851" s="6" t="s">
        <v>6264</v>
      </c>
      <c r="B5851" s="6" t="s">
        <v>6248</v>
      </c>
      <c r="C5851" s="6" t="s">
        <v>6249</v>
      </c>
      <c r="D5851" s="6" t="s">
        <v>44</v>
      </c>
      <c r="E5851" s="6" t="s">
        <v>6250</v>
      </c>
      <c r="F5851" s="6">
        <v>9.436992477E9</v>
      </c>
    </row>
    <row r="5852" ht="15.75" customHeight="1">
      <c r="A5852" s="6" t="s">
        <v>6265</v>
      </c>
      <c r="B5852" s="6" t="s">
        <v>6266</v>
      </c>
      <c r="C5852" s="6" t="s">
        <v>6053</v>
      </c>
      <c r="D5852" s="6" t="s">
        <v>56</v>
      </c>
      <c r="E5852" s="6" t="s">
        <v>1102</v>
      </c>
      <c r="F5852" s="6">
        <v>9.891115385E9</v>
      </c>
    </row>
    <row r="5853" ht="15.75" customHeight="1">
      <c r="A5853" s="6" t="s">
        <v>6267</v>
      </c>
      <c r="B5853" s="6" t="s">
        <v>603</v>
      </c>
      <c r="C5853" s="6" t="s">
        <v>6249</v>
      </c>
      <c r="D5853" s="6" t="s">
        <v>9</v>
      </c>
      <c r="E5853" s="6" t="s">
        <v>6268</v>
      </c>
      <c r="F5853" s="6">
        <v>7.005415535E9</v>
      </c>
    </row>
    <row r="5854" ht="15.75" customHeight="1">
      <c r="A5854" s="6" t="s">
        <v>201</v>
      </c>
      <c r="B5854" s="6" t="s">
        <v>6269</v>
      </c>
      <c r="C5854" s="6" t="s">
        <v>6270</v>
      </c>
      <c r="D5854" s="6" t="s">
        <v>56</v>
      </c>
      <c r="E5854" s="6" t="s">
        <v>4015</v>
      </c>
      <c r="F5854" s="6">
        <v>9.971491864E9</v>
      </c>
    </row>
    <row r="5855" ht="15.75" customHeight="1">
      <c r="A5855" s="6" t="s">
        <v>6271</v>
      </c>
      <c r="B5855" s="6" t="s">
        <v>65</v>
      </c>
      <c r="C5855" s="6" t="s">
        <v>6272</v>
      </c>
      <c r="D5855" s="6" t="s">
        <v>44</v>
      </c>
      <c r="E5855" s="6" t="s">
        <v>4015</v>
      </c>
      <c r="F5855" s="6">
        <v>9.599301953E9</v>
      </c>
    </row>
    <row r="5856" ht="15.75" customHeight="1">
      <c r="A5856" s="6" t="s">
        <v>6273</v>
      </c>
      <c r="B5856" s="6" t="s">
        <v>6274</v>
      </c>
      <c r="C5856" s="6" t="s">
        <v>4409</v>
      </c>
      <c r="D5856" s="6" t="s">
        <v>9</v>
      </c>
      <c r="E5856" s="6" t="s">
        <v>5087</v>
      </c>
      <c r="F5856" s="6">
        <v>7.294105447E9</v>
      </c>
    </row>
    <row r="5857" ht="15.75" customHeight="1">
      <c r="A5857" s="6" t="s">
        <v>4664</v>
      </c>
      <c r="B5857" s="6" t="s">
        <v>538</v>
      </c>
      <c r="C5857" s="6" t="s">
        <v>6275</v>
      </c>
      <c r="D5857" s="6" t="s">
        <v>26</v>
      </c>
      <c r="E5857" s="6" t="s">
        <v>494</v>
      </c>
      <c r="F5857" s="6">
        <v>8.130714007E9</v>
      </c>
    </row>
    <row r="5858" ht="15.75" customHeight="1">
      <c r="A5858" s="6" t="s">
        <v>557</v>
      </c>
      <c r="B5858" s="6" t="s">
        <v>50</v>
      </c>
      <c r="C5858" s="6" t="s">
        <v>6276</v>
      </c>
      <c r="D5858" s="6" t="s">
        <v>9</v>
      </c>
      <c r="E5858" s="6" t="s">
        <v>4416</v>
      </c>
      <c r="F5858" s="6">
        <v>9.528759811E9</v>
      </c>
    </row>
    <row r="5859" ht="15.75" customHeight="1">
      <c r="A5859" s="6" t="s">
        <v>6277</v>
      </c>
      <c r="B5859" s="6" t="s">
        <v>6278</v>
      </c>
      <c r="C5859" s="6" t="s">
        <v>4665</v>
      </c>
      <c r="D5859" s="6" t="s">
        <v>26</v>
      </c>
      <c r="E5859" s="6" t="s">
        <v>494</v>
      </c>
      <c r="F5859" s="6">
        <v>6.006186291E9</v>
      </c>
    </row>
    <row r="5860" ht="15.75" customHeight="1">
      <c r="A5860" s="6" t="s">
        <v>2492</v>
      </c>
      <c r="B5860" s="6" t="s">
        <v>6278</v>
      </c>
      <c r="C5860" s="6" t="s">
        <v>6279</v>
      </c>
      <c r="D5860" s="6" t="s">
        <v>26</v>
      </c>
      <c r="E5860" s="6" t="s">
        <v>5851</v>
      </c>
      <c r="F5860" s="6">
        <v>7.006270157E9</v>
      </c>
    </row>
    <row r="5861" ht="15.75" customHeight="1">
      <c r="A5861" s="6" t="s">
        <v>6280</v>
      </c>
      <c r="B5861" s="6" t="s">
        <v>1030</v>
      </c>
      <c r="C5861" s="6" t="s">
        <v>6281</v>
      </c>
      <c r="D5861" s="6" t="s">
        <v>56</v>
      </c>
      <c r="E5861" s="6" t="s">
        <v>6282</v>
      </c>
      <c r="F5861" s="6">
        <v>7.025246696E9</v>
      </c>
    </row>
    <row r="5862" ht="15.75" customHeight="1">
      <c r="A5862" s="6" t="s">
        <v>6283</v>
      </c>
      <c r="B5862" s="6" t="s">
        <v>2342</v>
      </c>
      <c r="C5862" s="6" t="s">
        <v>6284</v>
      </c>
      <c r="D5862" s="6" t="s">
        <v>44</v>
      </c>
      <c r="E5862" s="6" t="s">
        <v>4015</v>
      </c>
      <c r="F5862" s="6">
        <v>7.042207733E9</v>
      </c>
    </row>
    <row r="5863" ht="15.75" customHeight="1">
      <c r="A5863" s="6" t="s">
        <v>124</v>
      </c>
      <c r="B5863" s="6" t="s">
        <v>117</v>
      </c>
      <c r="C5863" s="6" t="s">
        <v>6285</v>
      </c>
      <c r="D5863" s="6" t="s">
        <v>26</v>
      </c>
      <c r="E5863" s="6" t="s">
        <v>6286</v>
      </c>
      <c r="F5863" s="6">
        <v>9.254849676E9</v>
      </c>
    </row>
    <row r="5864" ht="15.75" customHeight="1">
      <c r="A5864" s="6" t="s">
        <v>5682</v>
      </c>
      <c r="B5864" s="6" t="s">
        <v>47</v>
      </c>
      <c r="C5864" s="6" t="s">
        <v>6287</v>
      </c>
      <c r="D5864" s="6" t="s">
        <v>44</v>
      </c>
      <c r="E5864" s="6" t="s">
        <v>494</v>
      </c>
      <c r="F5864" s="6">
        <v>7.693079465E9</v>
      </c>
    </row>
    <row r="5865" ht="15.75" customHeight="1">
      <c r="A5865" s="6" t="s">
        <v>4215</v>
      </c>
      <c r="B5865" s="6" t="s">
        <v>3394</v>
      </c>
      <c r="C5865" s="6" t="s">
        <v>6288</v>
      </c>
      <c r="D5865" s="6" t="s">
        <v>56</v>
      </c>
      <c r="E5865" s="6" t="s">
        <v>494</v>
      </c>
      <c r="F5865" s="6">
        <v>8.929682811E9</v>
      </c>
    </row>
    <row r="5866" ht="15.75" customHeight="1">
      <c r="A5866" s="6" t="s">
        <v>6289</v>
      </c>
      <c r="B5866" s="6" t="s">
        <v>6290</v>
      </c>
      <c r="C5866" s="6" t="s">
        <v>6291</v>
      </c>
      <c r="D5866" s="6" t="s">
        <v>56</v>
      </c>
      <c r="E5866" s="6" t="s">
        <v>6059</v>
      </c>
      <c r="F5866" s="6">
        <v>9.81446922E9</v>
      </c>
    </row>
    <row r="5867" ht="15.75" customHeight="1">
      <c r="A5867" s="6" t="s">
        <v>3078</v>
      </c>
      <c r="B5867" s="6" t="s">
        <v>6292</v>
      </c>
      <c r="C5867" s="6" t="s">
        <v>6293</v>
      </c>
      <c r="D5867" s="6" t="s">
        <v>1108</v>
      </c>
      <c r="E5867" s="6" t="s">
        <v>6294</v>
      </c>
      <c r="F5867" s="6">
        <v>9.667546557E9</v>
      </c>
    </row>
    <row r="5868" ht="15.75" customHeight="1">
      <c r="A5868" s="6" t="s">
        <v>33</v>
      </c>
      <c r="B5868" s="6" t="s">
        <v>47</v>
      </c>
      <c r="C5868" s="6" t="s">
        <v>6295</v>
      </c>
      <c r="D5868" s="6" t="s">
        <v>9</v>
      </c>
      <c r="E5868" s="6" t="s">
        <v>6296</v>
      </c>
      <c r="F5868" s="6">
        <v>9.389422392E9</v>
      </c>
    </row>
    <row r="5869" ht="15.75" customHeight="1">
      <c r="A5869" s="6" t="s">
        <v>1159</v>
      </c>
      <c r="B5869" s="6" t="s">
        <v>47</v>
      </c>
      <c r="C5869" s="6" t="s">
        <v>6297</v>
      </c>
      <c r="D5869" s="6" t="s">
        <v>56</v>
      </c>
      <c r="E5869" s="6" t="s">
        <v>4416</v>
      </c>
      <c r="F5869" s="6">
        <v>9.756387424E9</v>
      </c>
    </row>
    <row r="5870" ht="15.75" customHeight="1">
      <c r="A5870" s="6" t="s">
        <v>466</v>
      </c>
      <c r="B5870" s="6" t="s">
        <v>512</v>
      </c>
      <c r="C5870" s="6" t="s">
        <v>4586</v>
      </c>
      <c r="D5870" s="6" t="s">
        <v>56</v>
      </c>
      <c r="E5870" s="6" t="s">
        <v>6211</v>
      </c>
      <c r="F5870" s="6">
        <v>9.165192124E9</v>
      </c>
    </row>
    <row r="5871" ht="15.75" customHeight="1">
      <c r="A5871" s="6" t="s">
        <v>3773</v>
      </c>
      <c r="B5871" s="6" t="s">
        <v>5706</v>
      </c>
      <c r="C5871" s="6" t="s">
        <v>6298</v>
      </c>
      <c r="D5871" s="6" t="s">
        <v>26</v>
      </c>
      <c r="E5871" s="6" t="s">
        <v>6211</v>
      </c>
      <c r="F5871" s="6">
        <v>8.225096021E9</v>
      </c>
    </row>
    <row r="5872" ht="15.75" customHeight="1">
      <c r="A5872" s="6" t="s">
        <v>5426</v>
      </c>
      <c r="B5872" s="6" t="s">
        <v>6299</v>
      </c>
      <c r="C5872" s="6" t="s">
        <v>4934</v>
      </c>
      <c r="D5872" s="6" t="s">
        <v>56</v>
      </c>
      <c r="E5872" s="6" t="s">
        <v>6211</v>
      </c>
      <c r="F5872" s="6">
        <v>7.000208176E9</v>
      </c>
    </row>
    <row r="5873" ht="15.75" customHeight="1">
      <c r="A5873" s="6" t="s">
        <v>6300</v>
      </c>
      <c r="B5873" s="6" t="s">
        <v>65</v>
      </c>
      <c r="C5873" s="6" t="s">
        <v>6301</v>
      </c>
      <c r="D5873" s="6" t="s">
        <v>44</v>
      </c>
      <c r="E5873" s="6" t="s">
        <v>6302</v>
      </c>
      <c r="F5873" s="6">
        <v>9.816726244E9</v>
      </c>
    </row>
    <row r="5874" ht="15.75" customHeight="1">
      <c r="A5874" s="6" t="s">
        <v>6303</v>
      </c>
      <c r="B5874" s="6" t="s">
        <v>6304</v>
      </c>
      <c r="C5874" s="6" t="s">
        <v>6305</v>
      </c>
      <c r="D5874" s="6" t="s">
        <v>9</v>
      </c>
      <c r="E5874" s="6" t="s">
        <v>6037</v>
      </c>
      <c r="F5874" s="6">
        <v>7.339374535E9</v>
      </c>
    </row>
    <row r="5875" ht="15.75" customHeight="1">
      <c r="A5875" s="6" t="s">
        <v>6306</v>
      </c>
      <c r="B5875" s="6" t="s">
        <v>6307</v>
      </c>
      <c r="C5875" s="6" t="s">
        <v>6308</v>
      </c>
      <c r="D5875" s="6" t="s">
        <v>14</v>
      </c>
      <c r="E5875" s="6" t="s">
        <v>6309</v>
      </c>
      <c r="F5875" s="6">
        <v>9.496472996E9</v>
      </c>
    </row>
    <row r="5876" ht="15.75" customHeight="1">
      <c r="A5876" s="6" t="s">
        <v>2997</v>
      </c>
      <c r="B5876" s="6" t="s">
        <v>6310</v>
      </c>
      <c r="C5876" s="6" t="s">
        <v>4700</v>
      </c>
      <c r="D5876" s="6" t="s">
        <v>29</v>
      </c>
      <c r="E5876" s="6" t="s">
        <v>4015</v>
      </c>
      <c r="F5876" s="6">
        <v>9.811485985E9</v>
      </c>
    </row>
    <row r="5877" ht="15.75" customHeight="1">
      <c r="A5877" s="6" t="s">
        <v>2894</v>
      </c>
      <c r="B5877" s="6" t="s">
        <v>1663</v>
      </c>
      <c r="C5877" s="6" t="s">
        <v>4006</v>
      </c>
      <c r="D5877" s="6" t="s">
        <v>26</v>
      </c>
      <c r="E5877" s="6" t="s">
        <v>2025</v>
      </c>
      <c r="F5877" s="6">
        <v>9.873706186E9</v>
      </c>
    </row>
    <row r="5878" ht="15.75" customHeight="1">
      <c r="A5878" s="6" t="s">
        <v>6311</v>
      </c>
      <c r="B5878" s="6" t="s">
        <v>6312</v>
      </c>
      <c r="C5878" s="6" t="s">
        <v>4475</v>
      </c>
      <c r="D5878" s="6" t="s">
        <v>9</v>
      </c>
      <c r="E5878" s="6" t="s">
        <v>4276</v>
      </c>
      <c r="F5878" s="6">
        <v>8.328056085E9</v>
      </c>
    </row>
    <row r="5879" ht="15.75" customHeight="1">
      <c r="A5879" s="6" t="s">
        <v>6313</v>
      </c>
      <c r="B5879" s="6" t="s">
        <v>108</v>
      </c>
      <c r="C5879" s="6" t="s">
        <v>6314</v>
      </c>
      <c r="D5879" s="6" t="s">
        <v>44</v>
      </c>
      <c r="E5879" s="6" t="s">
        <v>4416</v>
      </c>
      <c r="F5879" s="6">
        <v>1.212622633E9</v>
      </c>
    </row>
    <row r="5880" ht="15.75" customHeight="1">
      <c r="A5880" s="6" t="s">
        <v>6315</v>
      </c>
      <c r="B5880" s="6" t="s">
        <v>3872</v>
      </c>
      <c r="C5880" s="6" t="s">
        <v>6316</v>
      </c>
      <c r="D5880" s="6" t="s">
        <v>44</v>
      </c>
      <c r="E5880" s="6" t="s">
        <v>6317</v>
      </c>
      <c r="F5880" s="6">
        <v>9.19713178782E11</v>
      </c>
    </row>
    <row r="5881" ht="15.75" customHeight="1">
      <c r="A5881" s="6" t="s">
        <v>1611</v>
      </c>
      <c r="B5881" s="6" t="s">
        <v>6318</v>
      </c>
      <c r="C5881" s="6" t="s">
        <v>6316</v>
      </c>
      <c r="D5881" s="6" t="s">
        <v>26</v>
      </c>
      <c r="E5881" s="6" t="s">
        <v>6317</v>
      </c>
      <c r="F5881" s="6">
        <v>9.17974494182E11</v>
      </c>
    </row>
    <row r="5882" ht="15.75" customHeight="1">
      <c r="A5882" s="6" t="s">
        <v>1044</v>
      </c>
      <c r="B5882" s="6" t="s">
        <v>4008</v>
      </c>
      <c r="C5882" s="6" t="s">
        <v>4700</v>
      </c>
      <c r="D5882" s="6" t="s">
        <v>9</v>
      </c>
      <c r="E5882" s="6" t="s">
        <v>4015</v>
      </c>
      <c r="F5882" s="6">
        <v>9.19667388815E11</v>
      </c>
    </row>
    <row r="5883" ht="15.75" customHeight="1">
      <c r="A5883" s="6" t="s">
        <v>396</v>
      </c>
      <c r="B5883" s="6" t="s">
        <v>65</v>
      </c>
      <c r="C5883" s="6" t="s">
        <v>6319</v>
      </c>
      <c r="D5883" s="6" t="s">
        <v>44</v>
      </c>
      <c r="E5883" s="6" t="s">
        <v>2025</v>
      </c>
      <c r="F5883" s="6">
        <v>8.52702443E9</v>
      </c>
    </row>
    <row r="5884" ht="15.75" customHeight="1">
      <c r="A5884" s="6" t="s">
        <v>6320</v>
      </c>
      <c r="B5884" s="6" t="s">
        <v>6321</v>
      </c>
      <c r="C5884" s="6" t="s">
        <v>6322</v>
      </c>
      <c r="D5884" s="6" t="s">
        <v>56</v>
      </c>
      <c r="E5884" s="6" t="s">
        <v>6323</v>
      </c>
      <c r="F5884" s="6">
        <v>7.780277588E9</v>
      </c>
    </row>
    <row r="5885" ht="15.75" customHeight="1">
      <c r="A5885" s="6" t="s">
        <v>6324</v>
      </c>
      <c r="B5885" s="6" t="s">
        <v>6325</v>
      </c>
      <c r="C5885" s="6" t="s">
        <v>6326</v>
      </c>
      <c r="D5885" s="6" t="s">
        <v>26</v>
      </c>
      <c r="E5885" s="6" t="s">
        <v>3399</v>
      </c>
      <c r="F5885" s="6">
        <v>8.448765123E9</v>
      </c>
    </row>
    <row r="5886" ht="15.75" customHeight="1">
      <c r="A5886" s="6" t="s">
        <v>189</v>
      </c>
      <c r="B5886" s="6" t="s">
        <v>91</v>
      </c>
      <c r="C5886" s="6" t="s">
        <v>6327</v>
      </c>
      <c r="D5886" s="6" t="s">
        <v>14</v>
      </c>
      <c r="E5886" s="6" t="s">
        <v>494</v>
      </c>
      <c r="F5886" s="6">
        <v>8.8006238E9</v>
      </c>
    </row>
    <row r="5887" ht="15.75" customHeight="1">
      <c r="A5887" s="6" t="s">
        <v>6328</v>
      </c>
      <c r="B5887" s="6" t="s">
        <v>6329</v>
      </c>
      <c r="C5887" s="6" t="s">
        <v>6330</v>
      </c>
      <c r="D5887" s="6" t="s">
        <v>14</v>
      </c>
      <c r="E5887" s="6" t="s">
        <v>6309</v>
      </c>
      <c r="F5887" s="6">
        <v>9.496148779E9</v>
      </c>
    </row>
    <row r="5888" ht="15.75" customHeight="1">
      <c r="A5888" s="6" t="s">
        <v>3049</v>
      </c>
      <c r="B5888" s="6" t="s">
        <v>6331</v>
      </c>
      <c r="C5888" s="6" t="s">
        <v>330</v>
      </c>
      <c r="D5888" s="6" t="s">
        <v>26</v>
      </c>
      <c r="E5888" s="6" t="s">
        <v>4015</v>
      </c>
      <c r="F5888" s="6">
        <v>9.205368553E9</v>
      </c>
    </row>
    <row r="5889" ht="15.75" customHeight="1">
      <c r="A5889" s="6" t="s">
        <v>6332</v>
      </c>
      <c r="B5889" s="6" t="s">
        <v>6333</v>
      </c>
      <c r="C5889" s="6" t="s">
        <v>6334</v>
      </c>
      <c r="D5889" s="6" t="s">
        <v>9</v>
      </c>
      <c r="E5889" s="6" t="s">
        <v>6335</v>
      </c>
      <c r="F5889" s="6">
        <v>9.108612593E9</v>
      </c>
    </row>
    <row r="5890" ht="15.75" customHeight="1">
      <c r="A5890" s="6" t="s">
        <v>6336</v>
      </c>
      <c r="B5890" s="6" t="s">
        <v>3872</v>
      </c>
      <c r="C5890" s="6" t="s">
        <v>6337</v>
      </c>
      <c r="D5890" s="6" t="s">
        <v>26</v>
      </c>
      <c r="E5890" s="6" t="s">
        <v>3399</v>
      </c>
      <c r="F5890" s="6">
        <v>9.868264968E9</v>
      </c>
    </row>
    <row r="5891" ht="15.75" customHeight="1">
      <c r="A5891" s="6" t="s">
        <v>6338</v>
      </c>
      <c r="B5891" s="6" t="s">
        <v>6339</v>
      </c>
      <c r="C5891" s="6" t="s">
        <v>6340</v>
      </c>
      <c r="D5891" s="6" t="s">
        <v>9</v>
      </c>
      <c r="E5891" s="6" t="s">
        <v>3105</v>
      </c>
      <c r="F5891" s="6">
        <v>9.900175221E9</v>
      </c>
    </row>
    <row r="5892" ht="15.75" customHeight="1">
      <c r="A5892" s="6" t="s">
        <v>5175</v>
      </c>
      <c r="B5892" s="6" t="s">
        <v>4818</v>
      </c>
      <c r="C5892" s="6" t="s">
        <v>6341</v>
      </c>
      <c r="D5892" s="6" t="s">
        <v>29</v>
      </c>
      <c r="E5892" s="6" t="s">
        <v>6342</v>
      </c>
      <c r="F5892" s="6">
        <v>7.349422989E9</v>
      </c>
    </row>
    <row r="5893" ht="15.75" customHeight="1">
      <c r="A5893" s="6" t="s">
        <v>5066</v>
      </c>
      <c r="B5893" s="6" t="s">
        <v>108</v>
      </c>
      <c r="C5893" s="6" t="s">
        <v>5050</v>
      </c>
      <c r="D5893" s="6" t="s">
        <v>44</v>
      </c>
      <c r="E5893" s="6" t="s">
        <v>5067</v>
      </c>
      <c r="F5893" s="6">
        <v>9.930071369E9</v>
      </c>
    </row>
    <row r="5894" ht="15.75" customHeight="1">
      <c r="A5894" s="6" t="s">
        <v>4803</v>
      </c>
      <c r="B5894" s="6" t="s">
        <v>108</v>
      </c>
      <c r="C5894" s="6" t="s">
        <v>5050</v>
      </c>
      <c r="D5894" s="6" t="s">
        <v>26</v>
      </c>
      <c r="E5894" s="6" t="s">
        <v>4015</v>
      </c>
      <c r="F5894" s="6">
        <v>9.999333558E9</v>
      </c>
    </row>
    <row r="5895" ht="15.75" customHeight="1">
      <c r="A5895" s="6" t="s">
        <v>405</v>
      </c>
      <c r="B5895" s="6" t="s">
        <v>6343</v>
      </c>
      <c r="C5895" s="6" t="s">
        <v>6344</v>
      </c>
      <c r="D5895" s="6" t="s">
        <v>9</v>
      </c>
      <c r="E5895" s="6" t="s">
        <v>6345</v>
      </c>
      <c r="F5895" s="6">
        <v>9.686958421E9</v>
      </c>
    </row>
    <row r="5896" ht="15.75" customHeight="1">
      <c r="A5896" s="6" t="s">
        <v>6346</v>
      </c>
      <c r="B5896" s="6" t="s">
        <v>6347</v>
      </c>
      <c r="C5896" s="6" t="s">
        <v>6348</v>
      </c>
      <c r="D5896" s="6" t="s">
        <v>29</v>
      </c>
      <c r="E5896" s="6" t="s">
        <v>6349</v>
      </c>
      <c r="F5896" s="6">
        <v>9.38033042E9</v>
      </c>
    </row>
    <row r="5897" ht="15.75" customHeight="1">
      <c r="A5897" s="6" t="s">
        <v>6350</v>
      </c>
      <c r="B5897" s="6" t="s">
        <v>55</v>
      </c>
      <c r="C5897" s="6" t="s">
        <v>6351</v>
      </c>
      <c r="D5897" s="6" t="s">
        <v>26</v>
      </c>
      <c r="E5897" s="6" t="s">
        <v>5438</v>
      </c>
      <c r="F5897" s="6">
        <v>9.397347812E9</v>
      </c>
    </row>
    <row r="5898" ht="15.75" customHeight="1">
      <c r="A5898" s="6" t="s">
        <v>6222</v>
      </c>
      <c r="B5898" s="6" t="s">
        <v>6352</v>
      </c>
      <c r="C5898" s="6" t="s">
        <v>3322</v>
      </c>
      <c r="D5898" s="6" t="s">
        <v>44</v>
      </c>
      <c r="E5898" s="6" t="s">
        <v>15</v>
      </c>
      <c r="F5898" s="6">
        <v>9.850602219E9</v>
      </c>
    </row>
    <row r="5899" ht="15.75" customHeight="1">
      <c r="A5899" s="6" t="s">
        <v>6353</v>
      </c>
      <c r="B5899" s="6" t="s">
        <v>6354</v>
      </c>
      <c r="C5899" s="6" t="s">
        <v>6189</v>
      </c>
      <c r="D5899" s="6" t="s">
        <v>9</v>
      </c>
      <c r="E5899" s="6" t="s">
        <v>4276</v>
      </c>
      <c r="F5899" s="6">
        <v>9.977669971E9</v>
      </c>
    </row>
    <row r="5900" ht="15.75" customHeight="1">
      <c r="A5900" s="6" t="s">
        <v>446</v>
      </c>
      <c r="B5900" s="6" t="s">
        <v>6355</v>
      </c>
      <c r="C5900" s="6" t="s">
        <v>6356</v>
      </c>
      <c r="D5900" s="6" t="s">
        <v>56</v>
      </c>
      <c r="E5900" s="6" t="s">
        <v>6357</v>
      </c>
      <c r="F5900" s="6">
        <v>9.025831729E9</v>
      </c>
    </row>
    <row r="5901" ht="15.75" customHeight="1">
      <c r="A5901" s="6" t="s">
        <v>6358</v>
      </c>
      <c r="B5901" s="6" t="s">
        <v>6359</v>
      </c>
      <c r="C5901" s="6" t="s">
        <v>6360</v>
      </c>
      <c r="D5901" s="6" t="s">
        <v>44</v>
      </c>
      <c r="E5901" s="6" t="s">
        <v>4276</v>
      </c>
      <c r="F5901" s="6">
        <v>9.700199678E9</v>
      </c>
    </row>
    <row r="5902" ht="15.75" customHeight="1">
      <c r="A5902" s="6" t="s">
        <v>4215</v>
      </c>
      <c r="B5902" s="6" t="s">
        <v>6361</v>
      </c>
      <c r="C5902" s="6" t="s">
        <v>6362</v>
      </c>
      <c r="D5902" s="6" t="s">
        <v>56</v>
      </c>
      <c r="E5902" s="6" t="s">
        <v>4007</v>
      </c>
      <c r="F5902" s="6">
        <v>9.891902109E9</v>
      </c>
    </row>
    <row r="5903" ht="15.75" customHeight="1">
      <c r="A5903" s="6" t="s">
        <v>6363</v>
      </c>
      <c r="B5903" s="6" t="s">
        <v>6364</v>
      </c>
      <c r="C5903" s="6" t="s">
        <v>6365</v>
      </c>
      <c r="D5903" s="6" t="s">
        <v>26</v>
      </c>
      <c r="E5903" s="6" t="s">
        <v>4510</v>
      </c>
      <c r="F5903" s="6">
        <v>9.949905754E9</v>
      </c>
    </row>
    <row r="5904" ht="15.75" customHeight="1">
      <c r="A5904" s="6" t="s">
        <v>6366</v>
      </c>
      <c r="B5904" s="6" t="s">
        <v>4696</v>
      </c>
      <c r="C5904" s="6" t="s">
        <v>6218</v>
      </c>
      <c r="D5904" s="6" t="s">
        <v>26</v>
      </c>
      <c r="E5904" s="6" t="s">
        <v>494</v>
      </c>
      <c r="F5904" s="6">
        <v>9.560939633E9</v>
      </c>
    </row>
    <row r="5905" ht="15.75" customHeight="1">
      <c r="A5905" s="6" t="s">
        <v>4815</v>
      </c>
      <c r="B5905" s="6" t="s">
        <v>4840</v>
      </c>
      <c r="C5905" s="6" t="s">
        <v>6367</v>
      </c>
      <c r="D5905" s="6" t="s">
        <v>56</v>
      </c>
      <c r="E5905" s="6" t="s">
        <v>4007</v>
      </c>
      <c r="F5905" s="6">
        <v>7.0</v>
      </c>
    </row>
    <row r="5906" ht="15.75" customHeight="1">
      <c r="A5906" s="6" t="s">
        <v>6368</v>
      </c>
      <c r="B5906" s="6" t="s">
        <v>108</v>
      </c>
      <c r="C5906" s="6" t="s">
        <v>6369</v>
      </c>
      <c r="D5906" s="6" t="s">
        <v>9</v>
      </c>
      <c r="E5906" s="6" t="s">
        <v>6370</v>
      </c>
      <c r="F5906" s="6">
        <v>8.968530119E9</v>
      </c>
    </row>
    <row r="5907" ht="15.75" customHeight="1">
      <c r="A5907" s="6" t="s">
        <v>4215</v>
      </c>
      <c r="B5907" s="6" t="s">
        <v>6361</v>
      </c>
      <c r="C5907" s="6" t="s">
        <v>6367</v>
      </c>
      <c r="D5907" s="6" t="s">
        <v>56</v>
      </c>
      <c r="E5907" s="6" t="s">
        <v>4007</v>
      </c>
      <c r="F5907" s="6">
        <v>9.891902109E9</v>
      </c>
    </row>
    <row r="5908" ht="15.75" customHeight="1">
      <c r="A5908" s="6" t="s">
        <v>1230</v>
      </c>
      <c r="B5908" s="6" t="s">
        <v>6371</v>
      </c>
      <c r="C5908" s="6" t="s">
        <v>6372</v>
      </c>
      <c r="D5908" s="6" t="s">
        <v>9</v>
      </c>
      <c r="E5908" s="6" t="s">
        <v>6373</v>
      </c>
      <c r="F5908" s="6">
        <v>9.130248649E9</v>
      </c>
    </row>
    <row r="5909" ht="15.75" customHeight="1">
      <c r="A5909" s="6" t="s">
        <v>3229</v>
      </c>
      <c r="B5909" s="6" t="s">
        <v>108</v>
      </c>
      <c r="C5909" s="6" t="s">
        <v>6374</v>
      </c>
      <c r="D5909" s="6" t="s">
        <v>26</v>
      </c>
      <c r="E5909" s="6" t="s">
        <v>494</v>
      </c>
      <c r="F5909" s="6">
        <v>7.838884742E9</v>
      </c>
    </row>
    <row r="5910" ht="15.75" customHeight="1">
      <c r="A5910" s="6" t="s">
        <v>6375</v>
      </c>
      <c r="B5910" s="6" t="s">
        <v>4711</v>
      </c>
      <c r="C5910" s="6" t="s">
        <v>6218</v>
      </c>
      <c r="D5910" s="6" t="s">
        <v>26</v>
      </c>
      <c r="E5910" s="6" t="s">
        <v>494</v>
      </c>
      <c r="F5910" s="6">
        <v>9.310178577E9</v>
      </c>
    </row>
    <row r="5911" ht="15.75" customHeight="1">
      <c r="A5911" s="6" t="s">
        <v>6376</v>
      </c>
      <c r="B5911" s="6" t="s">
        <v>6377</v>
      </c>
      <c r="C5911" s="6" t="s">
        <v>6378</v>
      </c>
      <c r="D5911" s="6" t="s">
        <v>9</v>
      </c>
      <c r="E5911" s="6" t="s">
        <v>4212</v>
      </c>
      <c r="F5911" s="6">
        <v>9.310155599E9</v>
      </c>
    </row>
    <row r="5912" ht="15.75" customHeight="1">
      <c r="A5912" s="6" t="s">
        <v>670</v>
      </c>
      <c r="B5912" s="6" t="s">
        <v>5128</v>
      </c>
      <c r="C5912" s="6" t="s">
        <v>6369</v>
      </c>
      <c r="D5912" s="6" t="s">
        <v>26</v>
      </c>
      <c r="E5912" s="6" t="s">
        <v>6370</v>
      </c>
      <c r="F5912" s="6">
        <v>9.19779123275E11</v>
      </c>
    </row>
    <row r="5913" ht="15.75" customHeight="1">
      <c r="A5913" s="6" t="s">
        <v>6379</v>
      </c>
      <c r="B5913" s="6" t="s">
        <v>3440</v>
      </c>
      <c r="C5913" s="6" t="s">
        <v>6380</v>
      </c>
      <c r="D5913" s="6" t="s">
        <v>26</v>
      </c>
      <c r="E5913" s="6" t="s">
        <v>4276</v>
      </c>
      <c r="F5913" s="6">
        <v>9.959099892E9</v>
      </c>
    </row>
    <row r="5914" ht="15.75" customHeight="1">
      <c r="A5914" s="6" t="s">
        <v>6381</v>
      </c>
      <c r="B5914" s="6" t="s">
        <v>3440</v>
      </c>
      <c r="C5914" s="6" t="s">
        <v>6382</v>
      </c>
      <c r="D5914" s="6" t="s">
        <v>44</v>
      </c>
      <c r="E5914" s="6" t="s">
        <v>4941</v>
      </c>
      <c r="F5914" s="6">
        <v>8.074920627E9</v>
      </c>
    </row>
    <row r="5915" ht="15.75" customHeight="1">
      <c r="A5915" s="6" t="s">
        <v>146</v>
      </c>
      <c r="B5915" s="6" t="s">
        <v>6383</v>
      </c>
      <c r="C5915" s="6" t="s">
        <v>4475</v>
      </c>
      <c r="D5915" s="6" t="s">
        <v>44</v>
      </c>
      <c r="E5915" s="6" t="s">
        <v>4276</v>
      </c>
      <c r="F5915" s="6">
        <v>8.790693661E9</v>
      </c>
    </row>
    <row r="5916" ht="15.75" customHeight="1">
      <c r="A5916" s="6" t="s">
        <v>2039</v>
      </c>
      <c r="B5916" s="6" t="s">
        <v>3440</v>
      </c>
      <c r="C5916" s="6" t="s">
        <v>5908</v>
      </c>
      <c r="D5916" s="6" t="s">
        <v>29</v>
      </c>
      <c r="E5916" s="6" t="s">
        <v>4276</v>
      </c>
      <c r="F5916" s="6">
        <v>7.675854582E9</v>
      </c>
    </row>
    <row r="5917" ht="15.75" customHeight="1">
      <c r="A5917" s="6" t="s">
        <v>4605</v>
      </c>
      <c r="B5917" s="6" t="s">
        <v>2003</v>
      </c>
      <c r="C5917" s="6" t="s">
        <v>6384</v>
      </c>
      <c r="D5917" s="6" t="s">
        <v>26</v>
      </c>
      <c r="E5917" s="6" t="s">
        <v>4276</v>
      </c>
      <c r="F5917" s="6">
        <v>9.701303895E9</v>
      </c>
    </row>
    <row r="5918" ht="15.75" customHeight="1">
      <c r="A5918" s="6" t="s">
        <v>1278</v>
      </c>
      <c r="B5918" s="6" t="s">
        <v>6385</v>
      </c>
      <c r="C5918" s="6" t="s">
        <v>6386</v>
      </c>
      <c r="D5918" s="6" t="s">
        <v>9</v>
      </c>
      <c r="E5918" s="6" t="s">
        <v>6387</v>
      </c>
      <c r="F5918" s="6">
        <v>9.064663949E9</v>
      </c>
    </row>
    <row r="5919" ht="15.75" customHeight="1">
      <c r="A5919" s="6" t="s">
        <v>6388</v>
      </c>
      <c r="B5919" s="6" t="s">
        <v>4696</v>
      </c>
      <c r="C5919" s="6" t="s">
        <v>6369</v>
      </c>
      <c r="D5919" s="6" t="s">
        <v>26</v>
      </c>
      <c r="E5919" s="6" t="s">
        <v>6370</v>
      </c>
      <c r="F5919" s="6">
        <v>9.98892678E9</v>
      </c>
    </row>
    <row r="5920" ht="15.75" customHeight="1">
      <c r="A5920" s="6" t="s">
        <v>6389</v>
      </c>
      <c r="B5920" s="6" t="s">
        <v>6390</v>
      </c>
      <c r="C5920" s="6" t="s">
        <v>6126</v>
      </c>
      <c r="D5920" s="6" t="s">
        <v>56</v>
      </c>
      <c r="E5920" s="6" t="s">
        <v>5230</v>
      </c>
      <c r="F5920" s="6">
        <v>7.619508988E9</v>
      </c>
    </row>
    <row r="5921" ht="15.75" customHeight="1">
      <c r="A5921" s="6" t="s">
        <v>6391</v>
      </c>
      <c r="B5921" s="6" t="s">
        <v>4986</v>
      </c>
      <c r="C5921" s="6" t="s">
        <v>6392</v>
      </c>
      <c r="D5921" s="6" t="s">
        <v>44</v>
      </c>
      <c r="E5921" s="6" t="s">
        <v>4416</v>
      </c>
      <c r="F5921" s="6">
        <v>9.760623076E9</v>
      </c>
    </row>
    <row r="5922" ht="15.75" customHeight="1">
      <c r="A5922" s="6" t="s">
        <v>6393</v>
      </c>
      <c r="B5922" s="6" t="s">
        <v>6394</v>
      </c>
      <c r="C5922" s="6" t="s">
        <v>6392</v>
      </c>
      <c r="D5922" s="6" t="s">
        <v>56</v>
      </c>
      <c r="E5922" s="6" t="s">
        <v>4416</v>
      </c>
      <c r="F5922" s="6">
        <v>7.98370446E9</v>
      </c>
    </row>
    <row r="5923" ht="15.75" customHeight="1">
      <c r="A5923" s="6" t="s">
        <v>2109</v>
      </c>
      <c r="B5923" s="6" t="s">
        <v>6395</v>
      </c>
      <c r="C5923" s="6" t="s">
        <v>6396</v>
      </c>
      <c r="D5923" s="6" t="s">
        <v>29</v>
      </c>
      <c r="E5923" s="6" t="s">
        <v>6373</v>
      </c>
      <c r="F5923" s="6">
        <v>7.058040075E9</v>
      </c>
    </row>
    <row r="5924" ht="15.75" customHeight="1">
      <c r="A5924" s="6" t="s">
        <v>6397</v>
      </c>
      <c r="B5924" s="6" t="s">
        <v>6398</v>
      </c>
      <c r="C5924" s="6" t="s">
        <v>6399</v>
      </c>
      <c r="D5924" s="6" t="s">
        <v>56</v>
      </c>
      <c r="E5924" s="6" t="s">
        <v>6400</v>
      </c>
      <c r="F5924" s="6" t="str">
        <f>+91 86574 30229</f>
        <v>#ERROR!</v>
      </c>
    </row>
    <row r="5925" ht="15.75" customHeight="1">
      <c r="A5925" s="6" t="s">
        <v>6401</v>
      </c>
      <c r="B5925" s="6" t="s">
        <v>75</v>
      </c>
      <c r="C5925" s="6" t="s">
        <v>6402</v>
      </c>
      <c r="D5925" s="6" t="s">
        <v>14</v>
      </c>
      <c r="E5925" s="6" t="s">
        <v>6403</v>
      </c>
      <c r="F5925" s="6">
        <v>7.002937674E9</v>
      </c>
    </row>
    <row r="5926" ht="15.75" customHeight="1">
      <c r="A5926" s="6" t="s">
        <v>125</v>
      </c>
      <c r="B5926" s="6" t="s">
        <v>6404</v>
      </c>
      <c r="C5926" s="6" t="s">
        <v>6405</v>
      </c>
      <c r="D5926" s="6" t="s">
        <v>29</v>
      </c>
      <c r="E5926" s="6" t="s">
        <v>6373</v>
      </c>
      <c r="F5926" s="6">
        <v>9.373596189E9</v>
      </c>
    </row>
    <row r="5927" ht="15.75" customHeight="1">
      <c r="A5927" s="6" t="s">
        <v>416</v>
      </c>
      <c r="B5927" s="6" t="s">
        <v>5128</v>
      </c>
      <c r="C5927" s="6" t="s">
        <v>6406</v>
      </c>
      <c r="D5927" s="6" t="s">
        <v>26</v>
      </c>
      <c r="E5927" s="6" t="s">
        <v>6407</v>
      </c>
      <c r="F5927" s="6">
        <v>9.04130823E9</v>
      </c>
    </row>
    <row r="5928" ht="15.75" customHeight="1">
      <c r="A5928" s="6" t="s">
        <v>3561</v>
      </c>
      <c r="B5928" s="6" t="s">
        <v>5240</v>
      </c>
      <c r="C5928" s="6" t="s">
        <v>5908</v>
      </c>
      <c r="D5928" s="6" t="s">
        <v>56</v>
      </c>
      <c r="E5928" s="6" t="s">
        <v>5495</v>
      </c>
      <c r="F5928" s="6">
        <v>7.013738324E9</v>
      </c>
    </row>
    <row r="5929" ht="15.75" customHeight="1">
      <c r="A5929" s="6" t="s">
        <v>1407</v>
      </c>
      <c r="B5929" s="6" t="s">
        <v>4229</v>
      </c>
      <c r="C5929" s="6" t="s">
        <v>6408</v>
      </c>
      <c r="D5929" s="6" t="s">
        <v>44</v>
      </c>
      <c r="E5929" s="6" t="s">
        <v>4007</v>
      </c>
      <c r="F5929" s="6">
        <v>9.739322393E9</v>
      </c>
    </row>
    <row r="5930" ht="15.75" customHeight="1">
      <c r="A5930" s="6" t="s">
        <v>6409</v>
      </c>
      <c r="B5930" s="6" t="s">
        <v>3352</v>
      </c>
      <c r="C5930" s="6" t="s">
        <v>6410</v>
      </c>
      <c r="D5930" s="6" t="s">
        <v>44</v>
      </c>
      <c r="E5930" s="6" t="s">
        <v>4416</v>
      </c>
      <c r="F5930" s="6">
        <v>9.149254626E9</v>
      </c>
    </row>
    <row r="5931" ht="15.75" customHeight="1">
      <c r="A5931" s="6" t="s">
        <v>3807</v>
      </c>
      <c r="B5931" s="6" t="s">
        <v>882</v>
      </c>
      <c r="C5931" s="6" t="s">
        <v>3790</v>
      </c>
      <c r="D5931" s="6" t="s">
        <v>14</v>
      </c>
      <c r="E5931" s="6" t="s">
        <v>4867</v>
      </c>
      <c r="F5931" s="6">
        <v>9.334026299E9</v>
      </c>
    </row>
    <row r="5932" ht="15.75" customHeight="1">
      <c r="A5932" s="6" t="s">
        <v>2525</v>
      </c>
      <c r="B5932" s="6" t="s">
        <v>4614</v>
      </c>
      <c r="C5932" s="6" t="s">
        <v>4748</v>
      </c>
      <c r="D5932" s="6" t="s">
        <v>56</v>
      </c>
      <c r="E5932" s="6" t="s">
        <v>2575</v>
      </c>
      <c r="F5932" s="6">
        <v>8.60880222E8</v>
      </c>
    </row>
    <row r="5933" ht="15.75" customHeight="1">
      <c r="A5933" s="6" t="s">
        <v>1407</v>
      </c>
      <c r="B5933" s="6" t="s">
        <v>6411</v>
      </c>
      <c r="C5933" s="6" t="s">
        <v>6412</v>
      </c>
      <c r="D5933" s="6" t="s">
        <v>9</v>
      </c>
      <c r="E5933" s="6" t="s">
        <v>6413</v>
      </c>
      <c r="F5933" s="6">
        <v>7.027472121E9</v>
      </c>
    </row>
    <row r="5934" ht="15.75" customHeight="1">
      <c r="A5934" s="6" t="s">
        <v>3506</v>
      </c>
      <c r="B5934" s="6" t="s">
        <v>6414</v>
      </c>
      <c r="C5934" s="6" t="s">
        <v>6415</v>
      </c>
      <c r="D5934" s="6" t="s">
        <v>26</v>
      </c>
      <c r="E5934" s="6" t="s">
        <v>6416</v>
      </c>
      <c r="F5934" s="6">
        <v>6.398622428E9</v>
      </c>
    </row>
    <row r="5935" ht="15.75" customHeight="1">
      <c r="A5935" s="6" t="s">
        <v>1838</v>
      </c>
      <c r="B5935" s="6" t="s">
        <v>6417</v>
      </c>
      <c r="C5935" s="6" t="s">
        <v>6418</v>
      </c>
      <c r="D5935" s="6" t="s">
        <v>44</v>
      </c>
      <c r="E5935" s="6" t="s">
        <v>4276</v>
      </c>
      <c r="F5935" s="6">
        <v>9.701418737E9</v>
      </c>
    </row>
    <row r="5936" ht="15.75" customHeight="1">
      <c r="A5936" s="6" t="s">
        <v>6419</v>
      </c>
      <c r="B5936" s="6" t="s">
        <v>3440</v>
      </c>
      <c r="C5936" s="6" t="s">
        <v>6365</v>
      </c>
      <c r="D5936" s="6" t="s">
        <v>26</v>
      </c>
      <c r="E5936" s="6" t="s">
        <v>4276</v>
      </c>
      <c r="F5936" s="6">
        <v>8.00812365E9</v>
      </c>
    </row>
    <row r="5937" ht="15.75" customHeight="1">
      <c r="A5937" s="6" t="s">
        <v>6420</v>
      </c>
      <c r="B5937" s="6" t="s">
        <v>3440</v>
      </c>
      <c r="C5937" s="6" t="s">
        <v>6421</v>
      </c>
      <c r="D5937" s="6" t="s">
        <v>26</v>
      </c>
      <c r="E5937" s="6" t="s">
        <v>4276</v>
      </c>
      <c r="F5937" s="6">
        <v>8.6390061E9</v>
      </c>
    </row>
    <row r="5938" ht="15.75" customHeight="1">
      <c r="A5938" s="6" t="s">
        <v>4972</v>
      </c>
      <c r="B5938" s="6" t="s">
        <v>5006</v>
      </c>
      <c r="C5938" s="6" t="s">
        <v>5254</v>
      </c>
      <c r="D5938" s="6" t="s">
        <v>26</v>
      </c>
      <c r="E5938" s="6" t="s">
        <v>4276</v>
      </c>
      <c r="F5938" s="6">
        <v>9.666015246E9</v>
      </c>
    </row>
    <row r="5939" ht="15.75" customHeight="1">
      <c r="A5939" s="6" t="s">
        <v>2039</v>
      </c>
      <c r="B5939" s="6" t="s">
        <v>3440</v>
      </c>
      <c r="C5939" s="6" t="s">
        <v>6422</v>
      </c>
      <c r="D5939" s="6" t="s">
        <v>29</v>
      </c>
      <c r="E5939" s="6" t="s">
        <v>4276</v>
      </c>
      <c r="F5939" s="6">
        <v>7.675854582E9</v>
      </c>
    </row>
    <row r="5940" ht="15.75" customHeight="1">
      <c r="A5940" s="6" t="s">
        <v>5189</v>
      </c>
      <c r="B5940" s="6" t="s">
        <v>5741</v>
      </c>
      <c r="C5940" s="6" t="s">
        <v>6423</v>
      </c>
      <c r="D5940" s="6" t="s">
        <v>26</v>
      </c>
      <c r="E5940" s="6" t="s">
        <v>6424</v>
      </c>
      <c r="F5940" s="6">
        <v>9.447900647E9</v>
      </c>
    </row>
    <row r="5941" ht="15.75" customHeight="1">
      <c r="A5941" s="6" t="s">
        <v>6425</v>
      </c>
      <c r="B5941" s="6" t="s">
        <v>6426</v>
      </c>
      <c r="C5941" s="6" t="s">
        <v>6380</v>
      </c>
      <c r="D5941" s="6" t="s">
        <v>26</v>
      </c>
      <c r="E5941" s="6" t="s">
        <v>4276</v>
      </c>
      <c r="F5941" s="6">
        <v>8.885995945E9</v>
      </c>
    </row>
    <row r="5942" ht="15.75" customHeight="1">
      <c r="A5942" s="6" t="s">
        <v>6427</v>
      </c>
      <c r="B5942" s="6" t="s">
        <v>6428</v>
      </c>
      <c r="C5942" s="6" t="s">
        <v>6429</v>
      </c>
      <c r="D5942" s="6" t="s">
        <v>56</v>
      </c>
      <c r="E5942" s="6" t="s">
        <v>6430</v>
      </c>
      <c r="F5942" s="6">
        <v>9.95190378E9</v>
      </c>
    </row>
    <row r="5943" ht="15.75" customHeight="1">
      <c r="A5943" s="6" t="s">
        <v>920</v>
      </c>
      <c r="B5943" s="6" t="s">
        <v>251</v>
      </c>
      <c r="C5943" s="6" t="s">
        <v>4006</v>
      </c>
      <c r="D5943" s="6" t="s">
        <v>14</v>
      </c>
      <c r="E5943" s="6" t="s">
        <v>6431</v>
      </c>
      <c r="F5943" s="6">
        <v>7.303621124E9</v>
      </c>
    </row>
    <row r="5944" ht="15.75" customHeight="1">
      <c r="A5944" s="6" t="s">
        <v>1842</v>
      </c>
      <c r="B5944" s="6" t="s">
        <v>4986</v>
      </c>
      <c r="C5944" s="6" t="s">
        <v>6432</v>
      </c>
      <c r="D5944" s="6" t="s">
        <v>14</v>
      </c>
      <c r="E5944" s="6" t="s">
        <v>2025</v>
      </c>
      <c r="F5944" s="6">
        <v>9.31937683E9</v>
      </c>
    </row>
    <row r="5945" ht="15.75" customHeight="1">
      <c r="A5945" s="6" t="s">
        <v>6433</v>
      </c>
      <c r="B5945" s="6" t="s">
        <v>68</v>
      </c>
      <c r="C5945" s="6" t="s">
        <v>5028</v>
      </c>
      <c r="D5945" s="6" t="s">
        <v>9</v>
      </c>
      <c r="E5945" s="6" t="s">
        <v>1102</v>
      </c>
      <c r="F5945" s="6">
        <v>9.811554964E9</v>
      </c>
    </row>
    <row r="5946" ht="15.75" customHeight="1">
      <c r="A5946" s="6" t="s">
        <v>6434</v>
      </c>
      <c r="B5946" s="6" t="s">
        <v>4988</v>
      </c>
      <c r="C5946" s="6" t="s">
        <v>6412</v>
      </c>
      <c r="D5946" s="6" t="s">
        <v>29</v>
      </c>
      <c r="E5946" s="6" t="s">
        <v>6286</v>
      </c>
      <c r="F5946" s="6">
        <v>8.57009921E9</v>
      </c>
    </row>
    <row r="5947" ht="15.75" customHeight="1">
      <c r="A5947" s="6" t="s">
        <v>2693</v>
      </c>
      <c r="B5947" s="6" t="s">
        <v>997</v>
      </c>
      <c r="C5947" s="6" t="s">
        <v>6435</v>
      </c>
      <c r="D5947" s="6" t="s">
        <v>9</v>
      </c>
      <c r="E5947" s="6" t="s">
        <v>1102</v>
      </c>
      <c r="F5947" s="6">
        <v>9.310163674E9</v>
      </c>
    </row>
    <row r="5948" ht="15.75" customHeight="1">
      <c r="A5948" s="6" t="s">
        <v>3686</v>
      </c>
      <c r="B5948" s="6" t="s">
        <v>65</v>
      </c>
      <c r="C5948" s="6" t="s">
        <v>6436</v>
      </c>
      <c r="D5948" s="6" t="s">
        <v>44</v>
      </c>
      <c r="E5948" s="6" t="s">
        <v>4007</v>
      </c>
      <c r="F5948" s="6">
        <v>9.958350024E9</v>
      </c>
    </row>
    <row r="5949" ht="15.75" customHeight="1">
      <c r="A5949" s="6" t="s">
        <v>6437</v>
      </c>
      <c r="B5949" s="6" t="s">
        <v>6438</v>
      </c>
      <c r="C5949" s="6" t="s">
        <v>6439</v>
      </c>
      <c r="D5949" s="6" t="s">
        <v>9</v>
      </c>
      <c r="E5949" s="6" t="s">
        <v>2575</v>
      </c>
      <c r="F5949" s="6">
        <v>6.382192346E9</v>
      </c>
    </row>
    <row r="5950" ht="15.75" customHeight="1">
      <c r="A5950" s="6" t="s">
        <v>6440</v>
      </c>
      <c r="B5950" s="6" t="s">
        <v>4229</v>
      </c>
      <c r="C5950" s="6" t="s">
        <v>6285</v>
      </c>
      <c r="D5950" s="6" t="s">
        <v>26</v>
      </c>
      <c r="E5950" s="6" t="s">
        <v>6286</v>
      </c>
      <c r="F5950" s="6">
        <v>9.467780306E9</v>
      </c>
    </row>
    <row r="5951" ht="15.75" customHeight="1">
      <c r="A5951" s="6" t="s">
        <v>6441</v>
      </c>
      <c r="B5951" s="6" t="s">
        <v>4229</v>
      </c>
      <c r="C5951" s="6" t="s">
        <v>6442</v>
      </c>
      <c r="D5951" s="6" t="s">
        <v>56</v>
      </c>
      <c r="E5951" s="6" t="s">
        <v>4484</v>
      </c>
      <c r="F5951" s="6">
        <v>7.011918864E9</v>
      </c>
    </row>
    <row r="5952" ht="15.75" customHeight="1">
      <c r="A5952" s="6" t="s">
        <v>996</v>
      </c>
      <c r="B5952" s="6" t="s">
        <v>65</v>
      </c>
      <c r="C5952" s="6" t="s">
        <v>6045</v>
      </c>
      <c r="D5952" s="6" t="s">
        <v>44</v>
      </c>
      <c r="E5952" s="6" t="s">
        <v>4571</v>
      </c>
      <c r="F5952" s="6">
        <v>9.460390787E9</v>
      </c>
    </row>
    <row r="5953" ht="15.75" customHeight="1">
      <c r="A5953" s="6" t="s">
        <v>6443</v>
      </c>
      <c r="B5953" s="6" t="s">
        <v>4613</v>
      </c>
      <c r="C5953" s="6" t="s">
        <v>6444</v>
      </c>
      <c r="D5953" s="6" t="s">
        <v>26</v>
      </c>
      <c r="E5953" s="6" t="s">
        <v>494</v>
      </c>
      <c r="F5953" s="6">
        <v>9.711724535E9</v>
      </c>
    </row>
    <row r="5954" ht="15.75" customHeight="1">
      <c r="A5954" s="6" t="s">
        <v>6445</v>
      </c>
      <c r="B5954" s="6" t="s">
        <v>6446</v>
      </c>
      <c r="C5954" s="6" t="s">
        <v>6447</v>
      </c>
      <c r="D5954" s="6" t="s">
        <v>44</v>
      </c>
      <c r="E5954" s="6" t="s">
        <v>4814</v>
      </c>
      <c r="F5954" s="6">
        <v>9.990000112E9</v>
      </c>
    </row>
    <row r="5955" ht="15.75" customHeight="1">
      <c r="A5955" s="6" t="s">
        <v>5731</v>
      </c>
      <c r="B5955" s="6" t="s">
        <v>65</v>
      </c>
      <c r="C5955" s="6" t="s">
        <v>6448</v>
      </c>
      <c r="D5955" s="6" t="s">
        <v>56</v>
      </c>
      <c r="E5955" s="6" t="s">
        <v>2025</v>
      </c>
      <c r="F5955" s="6">
        <v>9.717175834E9</v>
      </c>
    </row>
    <row r="5956" ht="15.75" customHeight="1">
      <c r="A5956" s="6" t="s">
        <v>6449</v>
      </c>
      <c r="B5956" s="6" t="s">
        <v>6450</v>
      </c>
      <c r="C5956" s="6" t="s">
        <v>6451</v>
      </c>
      <c r="D5956" s="6" t="s">
        <v>56</v>
      </c>
      <c r="E5956" s="6" t="s">
        <v>494</v>
      </c>
      <c r="F5956" s="6">
        <v>9.811135575E9</v>
      </c>
    </row>
    <row r="5957" ht="15.75" customHeight="1">
      <c r="A5957" s="6" t="s">
        <v>601</v>
      </c>
      <c r="B5957" s="6" t="s">
        <v>75</v>
      </c>
      <c r="C5957" s="6" t="s">
        <v>6452</v>
      </c>
      <c r="D5957" s="6" t="s">
        <v>56</v>
      </c>
      <c r="E5957" s="6" t="s">
        <v>4212</v>
      </c>
      <c r="F5957" s="6">
        <v>9.582422865E9</v>
      </c>
    </row>
    <row r="5958" ht="15.75" customHeight="1">
      <c r="A5958" s="6" t="s">
        <v>6453</v>
      </c>
      <c r="B5958" s="6" t="s">
        <v>6454</v>
      </c>
      <c r="C5958" s="6" t="s">
        <v>6067</v>
      </c>
      <c r="D5958" s="6" t="s">
        <v>44</v>
      </c>
      <c r="E5958" s="6" t="s">
        <v>4276</v>
      </c>
      <c r="F5958" s="6">
        <v>9.000001925E9</v>
      </c>
    </row>
    <row r="5959" ht="15.75" customHeight="1">
      <c r="A5959" s="6" t="s">
        <v>6455</v>
      </c>
      <c r="B5959" s="6" t="s">
        <v>108</v>
      </c>
      <c r="C5959" s="6" t="s">
        <v>6456</v>
      </c>
      <c r="D5959" s="6" t="s">
        <v>56</v>
      </c>
      <c r="E5959" s="6" t="s">
        <v>2025</v>
      </c>
      <c r="F5959" s="6">
        <v>9.953756609E9</v>
      </c>
    </row>
    <row r="5960" ht="15.75" customHeight="1">
      <c r="A5960" s="6" t="s">
        <v>6457</v>
      </c>
      <c r="B5960" s="6" t="s">
        <v>459</v>
      </c>
      <c r="C5960" s="6" t="s">
        <v>6412</v>
      </c>
      <c r="D5960" s="6" t="s">
        <v>14</v>
      </c>
      <c r="E5960" s="6" t="s">
        <v>6458</v>
      </c>
      <c r="F5960" s="6">
        <v>8.28708662E9</v>
      </c>
    </row>
    <row r="5961" ht="15.75" customHeight="1">
      <c r="A5961" s="6" t="s">
        <v>121</v>
      </c>
      <c r="B5961" s="6" t="s">
        <v>6411</v>
      </c>
      <c r="C5961" s="6" t="s">
        <v>6285</v>
      </c>
      <c r="D5961" s="6" t="s">
        <v>14</v>
      </c>
      <c r="E5961" s="6" t="s">
        <v>6286</v>
      </c>
      <c r="F5961" s="6">
        <v>9.991025895E9</v>
      </c>
    </row>
    <row r="5962" ht="15.75" customHeight="1">
      <c r="A5962" s="6" t="s">
        <v>6459</v>
      </c>
      <c r="B5962" s="6" t="s">
        <v>382</v>
      </c>
      <c r="C5962" s="6" t="s">
        <v>6460</v>
      </c>
      <c r="D5962" s="6" t="s">
        <v>44</v>
      </c>
      <c r="E5962" s="6" t="s">
        <v>6461</v>
      </c>
      <c r="F5962" s="6">
        <v>9.911793727E9</v>
      </c>
    </row>
    <row r="5963" ht="15.75" customHeight="1">
      <c r="A5963" s="6" t="s">
        <v>6462</v>
      </c>
      <c r="B5963" s="6" t="s">
        <v>6463</v>
      </c>
      <c r="C5963" s="6" t="s">
        <v>6464</v>
      </c>
      <c r="D5963" s="6" t="s">
        <v>56</v>
      </c>
      <c r="E5963" s="6" t="s">
        <v>6465</v>
      </c>
      <c r="F5963" s="6">
        <v>9.6353252198E10</v>
      </c>
    </row>
    <row r="5964" ht="15.75" customHeight="1">
      <c r="A5964" s="6" t="s">
        <v>6466</v>
      </c>
      <c r="B5964" s="6" t="s">
        <v>6467</v>
      </c>
      <c r="C5964" s="6" t="s">
        <v>6468</v>
      </c>
      <c r="D5964" s="6" t="s">
        <v>44</v>
      </c>
      <c r="E5964" s="6" t="s">
        <v>4276</v>
      </c>
      <c r="F5964" s="6">
        <v>7.013668333E9</v>
      </c>
    </row>
    <row r="5965" ht="15.75" customHeight="1">
      <c r="A5965" s="6" t="s">
        <v>6469</v>
      </c>
      <c r="B5965" s="6" t="s">
        <v>150</v>
      </c>
      <c r="C5965" s="6" t="s">
        <v>6470</v>
      </c>
      <c r="D5965" s="6" t="s">
        <v>56</v>
      </c>
      <c r="E5965" s="6" t="s">
        <v>5281</v>
      </c>
      <c r="F5965" s="6">
        <v>8.765380235E9</v>
      </c>
    </row>
    <row r="5966" ht="15.75" customHeight="1">
      <c r="A5966" s="6" t="s">
        <v>6471</v>
      </c>
      <c r="B5966" s="6" t="s">
        <v>6472</v>
      </c>
      <c r="C5966" s="6" t="s">
        <v>6473</v>
      </c>
      <c r="D5966" s="6" t="s">
        <v>44</v>
      </c>
      <c r="E5966" s="6" t="s">
        <v>6474</v>
      </c>
      <c r="F5966" s="6">
        <v>7.337868334E9</v>
      </c>
    </row>
    <row r="5967" ht="15.75" customHeight="1">
      <c r="A5967" s="6" t="s">
        <v>735</v>
      </c>
      <c r="B5967" s="6" t="s">
        <v>6475</v>
      </c>
      <c r="C5967" s="6" t="s">
        <v>6476</v>
      </c>
      <c r="D5967" s="6" t="s">
        <v>26</v>
      </c>
      <c r="E5967" s="6" t="s">
        <v>4015</v>
      </c>
      <c r="F5967" s="6">
        <v>8.800629661E9</v>
      </c>
    </row>
    <row r="5968" ht="15.75" customHeight="1">
      <c r="A5968" s="6" t="s">
        <v>3358</v>
      </c>
      <c r="B5968" s="6" t="s">
        <v>2388</v>
      </c>
      <c r="C5968" s="6" t="s">
        <v>5950</v>
      </c>
      <c r="D5968" s="6" t="s">
        <v>44</v>
      </c>
      <c r="E5968" s="6" t="s">
        <v>6477</v>
      </c>
      <c r="F5968" s="6">
        <v>8.97994808E8</v>
      </c>
    </row>
    <row r="5969" ht="15.75" customHeight="1">
      <c r="A5969" s="6" t="s">
        <v>51</v>
      </c>
      <c r="B5969" s="6" t="s">
        <v>47</v>
      </c>
      <c r="C5969" s="6" t="s">
        <v>6478</v>
      </c>
      <c r="D5969" s="6" t="s">
        <v>56</v>
      </c>
      <c r="E5969" s="6" t="s">
        <v>6479</v>
      </c>
      <c r="F5969" s="6">
        <v>9.582157404E9</v>
      </c>
    </row>
    <row r="5970" ht="15.75" customHeight="1">
      <c r="A5970" s="6" t="s">
        <v>97</v>
      </c>
      <c r="B5970" s="6" t="s">
        <v>47</v>
      </c>
      <c r="C5970" s="6" t="s">
        <v>6478</v>
      </c>
      <c r="D5970" s="6" t="s">
        <v>56</v>
      </c>
      <c r="E5970" s="6" t="s">
        <v>6480</v>
      </c>
      <c r="F5970" s="6">
        <v>8.81024772E9</v>
      </c>
    </row>
    <row r="5971" ht="15.75" customHeight="1">
      <c r="A5971" s="6" t="s">
        <v>6481</v>
      </c>
      <c r="B5971" s="6" t="s">
        <v>6482</v>
      </c>
      <c r="C5971" s="6" t="s">
        <v>6196</v>
      </c>
      <c r="D5971" s="6" t="s">
        <v>44</v>
      </c>
      <c r="E5971" s="6" t="s">
        <v>4276</v>
      </c>
      <c r="F5971" s="6">
        <v>7.286999918E9</v>
      </c>
    </row>
    <row r="5972" ht="15.75" customHeight="1">
      <c r="A5972" s="6" t="s">
        <v>1889</v>
      </c>
      <c r="B5972" s="6" t="s">
        <v>512</v>
      </c>
      <c r="C5972" s="6" t="s">
        <v>5893</v>
      </c>
      <c r="D5972" s="6" t="s">
        <v>56</v>
      </c>
      <c r="E5972" s="6" t="s">
        <v>1102</v>
      </c>
      <c r="F5972" s="6">
        <v>9.868225873E9</v>
      </c>
    </row>
    <row r="5973" ht="15.75" customHeight="1">
      <c r="A5973" s="6" t="s">
        <v>6483</v>
      </c>
      <c r="B5973" s="6" t="s">
        <v>459</v>
      </c>
      <c r="C5973" s="6" t="s">
        <v>5893</v>
      </c>
      <c r="D5973" s="6" t="s">
        <v>1108</v>
      </c>
      <c r="E5973" s="6" t="s">
        <v>1102</v>
      </c>
      <c r="F5973" s="6">
        <v>8.130802754E9</v>
      </c>
    </row>
    <row r="5974" ht="15.75" customHeight="1">
      <c r="A5974" s="6" t="s">
        <v>6484</v>
      </c>
      <c r="B5974" s="6" t="s">
        <v>6485</v>
      </c>
      <c r="C5974" s="6" t="s">
        <v>6486</v>
      </c>
      <c r="D5974" s="6" t="s">
        <v>56</v>
      </c>
      <c r="E5974" s="6" t="s">
        <v>6487</v>
      </c>
      <c r="F5974" s="6">
        <v>7.005616239E9</v>
      </c>
    </row>
    <row r="5975" ht="15.75" customHeight="1">
      <c r="A5975" s="6" t="s">
        <v>6488</v>
      </c>
      <c r="B5975" s="6" t="s">
        <v>6489</v>
      </c>
      <c r="C5975" s="6" t="s">
        <v>6486</v>
      </c>
      <c r="D5975" s="6" t="s">
        <v>56</v>
      </c>
      <c r="E5975" s="6" t="s">
        <v>6487</v>
      </c>
      <c r="F5975" s="6">
        <v>7.005773198E9</v>
      </c>
    </row>
    <row r="5976" ht="15.75" customHeight="1">
      <c r="A5976" s="6" t="s">
        <v>3327</v>
      </c>
      <c r="B5976" s="6" t="s">
        <v>2003</v>
      </c>
      <c r="C5976" s="6" t="s">
        <v>5897</v>
      </c>
      <c r="D5976" s="6" t="s">
        <v>44</v>
      </c>
      <c r="E5976" s="6" t="s">
        <v>1102</v>
      </c>
      <c r="F5976" s="6">
        <v>8.38407297E9</v>
      </c>
    </row>
    <row r="5977" ht="15.75" customHeight="1">
      <c r="A5977" s="6" t="s">
        <v>6490</v>
      </c>
      <c r="B5977" s="6" t="s">
        <v>6491</v>
      </c>
      <c r="C5977" s="6" t="s">
        <v>6492</v>
      </c>
      <c r="D5977" s="6" t="s">
        <v>44</v>
      </c>
      <c r="E5977" s="6" t="s">
        <v>6092</v>
      </c>
      <c r="F5977" s="6">
        <v>9.495209865E9</v>
      </c>
    </row>
    <row r="5978" ht="15.75" customHeight="1">
      <c r="A5978" s="6" t="s">
        <v>2051</v>
      </c>
      <c r="B5978" s="6" t="s">
        <v>47</v>
      </c>
      <c r="C5978" s="6" t="s">
        <v>6493</v>
      </c>
      <c r="D5978" s="6" t="s">
        <v>44</v>
      </c>
      <c r="E5978" s="6" t="s">
        <v>4416</v>
      </c>
      <c r="F5978" s="6">
        <v>9.411953727E9</v>
      </c>
    </row>
    <row r="5979" ht="15.75" customHeight="1">
      <c r="A5979" s="6" t="s">
        <v>411</v>
      </c>
      <c r="B5979" s="6" t="s">
        <v>6494</v>
      </c>
      <c r="C5979" s="6" t="s">
        <v>6495</v>
      </c>
      <c r="D5979" s="6" t="s">
        <v>9</v>
      </c>
      <c r="E5979" s="6" t="s">
        <v>5380</v>
      </c>
      <c r="F5979" s="6">
        <v>7.717776769E9</v>
      </c>
    </row>
    <row r="5980" ht="15.75" customHeight="1">
      <c r="A5980" s="6" t="s">
        <v>67</v>
      </c>
      <c r="B5980" s="6" t="s">
        <v>930</v>
      </c>
      <c r="C5980" s="6" t="s">
        <v>6496</v>
      </c>
      <c r="D5980" s="6" t="s">
        <v>56</v>
      </c>
      <c r="E5980" s="6" t="s">
        <v>6497</v>
      </c>
      <c r="F5980" s="6">
        <v>9.716328585E9</v>
      </c>
    </row>
    <row r="5981" ht="15.75" customHeight="1">
      <c r="A5981" s="6" t="s">
        <v>1373</v>
      </c>
      <c r="B5981" s="6" t="s">
        <v>6498</v>
      </c>
      <c r="C5981" s="6" t="s">
        <v>6499</v>
      </c>
      <c r="D5981" s="6" t="s">
        <v>9</v>
      </c>
      <c r="E5981" s="6" t="s">
        <v>6092</v>
      </c>
      <c r="F5981" s="6">
        <v>9.620317335E9</v>
      </c>
    </row>
    <row r="5982" ht="15.75" customHeight="1">
      <c r="A5982" s="6" t="s">
        <v>1842</v>
      </c>
      <c r="B5982" s="6" t="s">
        <v>108</v>
      </c>
      <c r="C5982" s="6" t="s">
        <v>6500</v>
      </c>
      <c r="D5982" s="6" t="s">
        <v>44</v>
      </c>
      <c r="E5982" s="6" t="s">
        <v>4416</v>
      </c>
      <c r="F5982" s="6">
        <v>9.897255454E9</v>
      </c>
    </row>
    <row r="5983" ht="15.75" customHeight="1">
      <c r="A5983" s="6" t="s">
        <v>1896</v>
      </c>
      <c r="B5983" s="6" t="s">
        <v>1867</v>
      </c>
      <c r="C5983" s="6" t="s">
        <v>6478</v>
      </c>
      <c r="D5983" s="6" t="s">
        <v>26</v>
      </c>
      <c r="E5983" s="6" t="s">
        <v>494</v>
      </c>
      <c r="F5983" s="6">
        <v>9.891954584E9</v>
      </c>
    </row>
    <row r="5984" ht="15.75" customHeight="1">
      <c r="A5984" s="6" t="s">
        <v>6501</v>
      </c>
      <c r="B5984" s="6" t="s">
        <v>6502</v>
      </c>
      <c r="C5984" s="6" t="s">
        <v>6503</v>
      </c>
      <c r="D5984" s="6" t="s">
        <v>56</v>
      </c>
      <c r="E5984" s="6" t="s">
        <v>6504</v>
      </c>
      <c r="F5984" s="6">
        <v>9.193985188E9</v>
      </c>
    </row>
    <row r="5985" ht="15.75" customHeight="1">
      <c r="A5985" s="6" t="s">
        <v>6505</v>
      </c>
      <c r="B5985" s="6" t="s">
        <v>47</v>
      </c>
      <c r="C5985" s="6" t="s">
        <v>5950</v>
      </c>
      <c r="D5985" s="6" t="s">
        <v>44</v>
      </c>
      <c r="E5985" s="6" t="s">
        <v>4416</v>
      </c>
      <c r="F5985" s="6">
        <v>9.759329886E9</v>
      </c>
    </row>
    <row r="5986" ht="15.75" customHeight="1">
      <c r="A5986" s="6" t="s">
        <v>4593</v>
      </c>
      <c r="B5986" s="6" t="s">
        <v>419</v>
      </c>
      <c r="C5986" s="6" t="s">
        <v>6506</v>
      </c>
      <c r="D5986" s="6" t="s">
        <v>44</v>
      </c>
      <c r="E5986" s="6" t="s">
        <v>4796</v>
      </c>
      <c r="F5986" s="6">
        <v>9.743433062E9</v>
      </c>
    </row>
    <row r="5987" ht="15.75" customHeight="1">
      <c r="A5987" s="6" t="s">
        <v>213</v>
      </c>
      <c r="B5987" s="6" t="s">
        <v>6507</v>
      </c>
      <c r="C5987" s="6" t="s">
        <v>6508</v>
      </c>
      <c r="D5987" s="6" t="s">
        <v>26</v>
      </c>
      <c r="E5987" s="6" t="s">
        <v>494</v>
      </c>
      <c r="F5987" s="6">
        <v>9.911927992E9</v>
      </c>
    </row>
    <row r="5988" ht="15.75" customHeight="1">
      <c r="A5988" s="6" t="s">
        <v>1419</v>
      </c>
      <c r="B5988" s="6" t="s">
        <v>50</v>
      </c>
      <c r="C5988" s="6" t="s">
        <v>6509</v>
      </c>
      <c r="D5988" s="6" t="s">
        <v>44</v>
      </c>
      <c r="E5988" s="6" t="s">
        <v>1095</v>
      </c>
      <c r="F5988" s="6">
        <v>9.654121256E9</v>
      </c>
    </row>
    <row r="5989" ht="15.75" customHeight="1">
      <c r="A5989" s="6" t="s">
        <v>6510</v>
      </c>
      <c r="B5989" s="6" t="s">
        <v>50</v>
      </c>
      <c r="C5989" s="6" t="s">
        <v>6511</v>
      </c>
      <c r="D5989" s="6" t="s">
        <v>56</v>
      </c>
      <c r="E5989" s="6" t="s">
        <v>494</v>
      </c>
      <c r="F5989" s="6">
        <v>8.920672212E9</v>
      </c>
    </row>
    <row r="5990" ht="15.75" customHeight="1">
      <c r="A5990" s="6" t="s">
        <v>6512</v>
      </c>
      <c r="B5990" s="6" t="s">
        <v>3948</v>
      </c>
      <c r="C5990" s="6" t="s">
        <v>6513</v>
      </c>
      <c r="D5990" s="6" t="s">
        <v>44</v>
      </c>
      <c r="E5990" s="6" t="s">
        <v>4416</v>
      </c>
      <c r="F5990" s="6">
        <v>7.05502886E9</v>
      </c>
    </row>
    <row r="5991" ht="15.75" customHeight="1">
      <c r="A5991" s="6" t="s">
        <v>1611</v>
      </c>
      <c r="B5991" s="6" t="s">
        <v>50</v>
      </c>
      <c r="C5991" s="6" t="s">
        <v>6514</v>
      </c>
      <c r="D5991" s="6" t="s">
        <v>44</v>
      </c>
      <c r="E5991" s="6" t="s">
        <v>6515</v>
      </c>
      <c r="F5991" s="6">
        <v>8.650934168E9</v>
      </c>
    </row>
    <row r="5992" ht="15.75" customHeight="1">
      <c r="A5992" s="6" t="s">
        <v>6516</v>
      </c>
      <c r="B5992" s="6" t="s">
        <v>6517</v>
      </c>
      <c r="C5992" s="6" t="s">
        <v>6374</v>
      </c>
      <c r="D5992" s="6" t="s">
        <v>9</v>
      </c>
      <c r="E5992" s="6" t="s">
        <v>494</v>
      </c>
      <c r="F5992" s="6">
        <v>8.076459495E9</v>
      </c>
    </row>
    <row r="5993" ht="15.75" customHeight="1">
      <c r="A5993" s="6" t="s">
        <v>6398</v>
      </c>
      <c r="B5993" s="6" t="s">
        <v>6518</v>
      </c>
      <c r="C5993" s="6" t="s">
        <v>6519</v>
      </c>
      <c r="D5993" s="6" t="s">
        <v>9</v>
      </c>
      <c r="E5993" s="6" t="s">
        <v>6059</v>
      </c>
      <c r="F5993" s="6">
        <v>7.973862743E9</v>
      </c>
    </row>
    <row r="5994" ht="15.75" customHeight="1">
      <c r="A5994" s="6" t="s">
        <v>6520</v>
      </c>
      <c r="B5994" s="6" t="s">
        <v>269</v>
      </c>
      <c r="C5994" s="6" t="s">
        <v>6456</v>
      </c>
      <c r="D5994" s="6" t="s">
        <v>4944</v>
      </c>
      <c r="E5994" s="6" t="s">
        <v>2025</v>
      </c>
      <c r="F5994" s="6">
        <v>9.953756609E9</v>
      </c>
    </row>
    <row r="5995" ht="15.75" customHeight="1">
      <c r="A5995" s="6" t="s">
        <v>491</v>
      </c>
      <c r="B5995" s="6" t="s">
        <v>108</v>
      </c>
      <c r="C5995" s="6" t="s">
        <v>6521</v>
      </c>
      <c r="D5995" s="6" t="s">
        <v>56</v>
      </c>
      <c r="E5995" s="6" t="s">
        <v>5365</v>
      </c>
      <c r="F5995" s="6">
        <v>7.47733235E9</v>
      </c>
    </row>
    <row r="5996" ht="15.75" customHeight="1">
      <c r="A5996" s="6" t="s">
        <v>6522</v>
      </c>
      <c r="B5996" s="6" t="s">
        <v>3352</v>
      </c>
      <c r="C5996" s="6" t="s">
        <v>6523</v>
      </c>
      <c r="D5996" s="6" t="s">
        <v>44</v>
      </c>
      <c r="E5996" s="6" t="s">
        <v>6370</v>
      </c>
      <c r="F5996" s="6">
        <v>9.466837101E9</v>
      </c>
    </row>
    <row r="5997" ht="15.75" customHeight="1">
      <c r="A5997" s="6" t="s">
        <v>6524</v>
      </c>
      <c r="B5997" s="6" t="s">
        <v>6525</v>
      </c>
      <c r="C5997" s="6" t="s">
        <v>6526</v>
      </c>
      <c r="D5997" s="6" t="s">
        <v>26</v>
      </c>
      <c r="E5997" s="6" t="s">
        <v>5711</v>
      </c>
      <c r="F5997" s="6">
        <v>8.075833814E9</v>
      </c>
    </row>
    <row r="5998" ht="15.75" customHeight="1">
      <c r="A5998" s="6" t="s">
        <v>2451</v>
      </c>
      <c r="B5998" s="6" t="s">
        <v>1672</v>
      </c>
      <c r="C5998" s="6" t="s">
        <v>3790</v>
      </c>
      <c r="D5998" s="6" t="s">
        <v>44</v>
      </c>
      <c r="E5998" s="6" t="s">
        <v>4276</v>
      </c>
      <c r="F5998" s="6">
        <v>9.18897874545E11</v>
      </c>
    </row>
    <row r="5999" ht="15.75" customHeight="1">
      <c r="A5999" s="6" t="s">
        <v>24</v>
      </c>
      <c r="B5999" s="6" t="s">
        <v>6527</v>
      </c>
      <c r="C5999" s="6" t="s">
        <v>6528</v>
      </c>
      <c r="D5999" s="6" t="s">
        <v>56</v>
      </c>
      <c r="E5999" s="6" t="s">
        <v>5777</v>
      </c>
      <c r="F5999" s="6">
        <v>7.976766867E9</v>
      </c>
    </row>
    <row r="6000" ht="15.75" customHeight="1">
      <c r="A6000" s="6" t="s">
        <v>2098</v>
      </c>
      <c r="B6000" s="6" t="s">
        <v>483</v>
      </c>
      <c r="C6000" s="6" t="s">
        <v>6529</v>
      </c>
      <c r="D6000" s="6" t="s">
        <v>26</v>
      </c>
      <c r="E6000" s="6" t="s">
        <v>6530</v>
      </c>
      <c r="F6000" s="6">
        <v>7.752414246E9</v>
      </c>
    </row>
    <row r="6001" ht="15.75" customHeight="1">
      <c r="A6001" s="6" t="s">
        <v>3369</v>
      </c>
      <c r="B6001" s="6" t="s">
        <v>6531</v>
      </c>
      <c r="C6001" s="6" t="s">
        <v>6529</v>
      </c>
      <c r="D6001" s="6" t="s">
        <v>26</v>
      </c>
      <c r="E6001" s="6" t="s">
        <v>6532</v>
      </c>
      <c r="F6001" s="6">
        <v>7.752414246E9</v>
      </c>
    </row>
    <row r="6002" ht="15.75" customHeight="1">
      <c r="A6002" s="6" t="s">
        <v>2594</v>
      </c>
      <c r="B6002" s="6" t="s">
        <v>68</v>
      </c>
      <c r="C6002" s="6" t="s">
        <v>36</v>
      </c>
      <c r="D6002" s="6" t="s">
        <v>9</v>
      </c>
      <c r="E6002" s="6" t="s">
        <v>6059</v>
      </c>
      <c r="F6002" s="6">
        <v>8.437876067E9</v>
      </c>
    </row>
    <row r="6003" ht="15.75" customHeight="1">
      <c r="A6003" s="6" t="s">
        <v>3014</v>
      </c>
      <c r="B6003" s="6" t="s">
        <v>3023</v>
      </c>
      <c r="C6003" s="6" t="s">
        <v>6529</v>
      </c>
      <c r="D6003" s="6" t="s">
        <v>26</v>
      </c>
      <c r="E6003" s="6" t="s">
        <v>6532</v>
      </c>
      <c r="F6003" s="6">
        <v>495001.0</v>
      </c>
    </row>
    <row r="6004" ht="15.75" customHeight="1">
      <c r="A6004" s="6" t="s">
        <v>6533</v>
      </c>
      <c r="B6004" s="6" t="s">
        <v>63</v>
      </c>
      <c r="C6004" s="6" t="s">
        <v>4449</v>
      </c>
      <c r="D6004" s="6" t="s">
        <v>56</v>
      </c>
      <c r="E6004" s="6" t="s">
        <v>5777</v>
      </c>
      <c r="F6004" s="6">
        <v>8.360457863E9</v>
      </c>
    </row>
    <row r="6005" ht="15.75" customHeight="1">
      <c r="A6005" s="6" t="s">
        <v>1234</v>
      </c>
      <c r="B6005" s="6" t="s">
        <v>459</v>
      </c>
      <c r="C6005" s="6" t="s">
        <v>6529</v>
      </c>
      <c r="D6005" s="6" t="s">
        <v>29</v>
      </c>
      <c r="E6005" s="6" t="s">
        <v>6532</v>
      </c>
      <c r="F6005" s="6">
        <v>7.752414246E9</v>
      </c>
    </row>
    <row r="6006" ht="15.75" customHeight="1">
      <c r="A6006" s="6" t="s">
        <v>545</v>
      </c>
      <c r="B6006" s="6" t="s">
        <v>5426</v>
      </c>
      <c r="C6006" s="6" t="s">
        <v>6534</v>
      </c>
      <c r="D6006" s="6" t="s">
        <v>56</v>
      </c>
      <c r="E6006" s="6" t="s">
        <v>6535</v>
      </c>
      <c r="F6006" s="6">
        <v>8.590211742E9</v>
      </c>
    </row>
    <row r="6007" ht="15.75" customHeight="1">
      <c r="A6007" s="6" t="s">
        <v>6536</v>
      </c>
      <c r="B6007" s="6" t="s">
        <v>6537</v>
      </c>
      <c r="C6007" s="6" t="s">
        <v>6538</v>
      </c>
      <c r="D6007" s="6" t="s">
        <v>56</v>
      </c>
      <c r="E6007" s="6" t="s">
        <v>6370</v>
      </c>
      <c r="F6007" s="6">
        <v>7.973112016E9</v>
      </c>
    </row>
    <row r="6008" ht="15.75" customHeight="1">
      <c r="A6008" s="6" t="s">
        <v>2894</v>
      </c>
      <c r="B6008" s="6" t="s">
        <v>108</v>
      </c>
      <c r="C6008" s="6" t="s">
        <v>6539</v>
      </c>
      <c r="D6008" s="6" t="s">
        <v>9</v>
      </c>
      <c r="E6008" s="6" t="s">
        <v>4571</v>
      </c>
      <c r="F6008" s="6">
        <v>7.01410509E9</v>
      </c>
    </row>
    <row r="6009" ht="15.75" customHeight="1">
      <c r="A6009" s="6" t="s">
        <v>6540</v>
      </c>
      <c r="B6009" s="6" t="s">
        <v>68</v>
      </c>
      <c r="C6009" s="6" t="s">
        <v>6541</v>
      </c>
      <c r="D6009" s="6" t="s">
        <v>56</v>
      </c>
      <c r="E6009" s="6" t="s">
        <v>5777</v>
      </c>
      <c r="F6009" s="6">
        <v>9.813489129E9</v>
      </c>
    </row>
    <row r="6010" ht="15.75" customHeight="1">
      <c r="A6010" s="6" t="s">
        <v>6542</v>
      </c>
      <c r="B6010" s="6" t="s">
        <v>6543</v>
      </c>
      <c r="C6010" s="6" t="s">
        <v>6544</v>
      </c>
      <c r="D6010" s="6" t="s">
        <v>44</v>
      </c>
      <c r="E6010" s="6" t="s">
        <v>6545</v>
      </c>
      <c r="F6010" s="6">
        <v>9.999398727E9</v>
      </c>
    </row>
    <row r="6011" ht="15.75" customHeight="1">
      <c r="A6011" s="6" t="s">
        <v>2558</v>
      </c>
      <c r="B6011" s="6" t="s">
        <v>145</v>
      </c>
      <c r="C6011" s="6" t="s">
        <v>4665</v>
      </c>
      <c r="D6011" s="6" t="s">
        <v>56</v>
      </c>
      <c r="E6011" s="6" t="s">
        <v>5964</v>
      </c>
      <c r="F6011" s="6">
        <v>8.826810708E9</v>
      </c>
    </row>
    <row r="6012" ht="15.75" customHeight="1">
      <c r="A6012" s="6" t="s">
        <v>6546</v>
      </c>
      <c r="B6012" s="6" t="s">
        <v>4706</v>
      </c>
      <c r="C6012" s="6" t="s">
        <v>6547</v>
      </c>
      <c r="D6012" s="6" t="s">
        <v>44</v>
      </c>
      <c r="E6012" s="6" t="s">
        <v>6548</v>
      </c>
      <c r="F6012" s="6">
        <v>7.06336645E9</v>
      </c>
    </row>
    <row r="6013" ht="15.75" customHeight="1">
      <c r="A6013" s="6" t="s">
        <v>6549</v>
      </c>
      <c r="B6013" s="6" t="s">
        <v>3015</v>
      </c>
      <c r="C6013" s="6" t="s">
        <v>6550</v>
      </c>
      <c r="D6013" s="6" t="s">
        <v>9</v>
      </c>
      <c r="E6013" s="6" t="s">
        <v>4007</v>
      </c>
      <c r="F6013" s="6">
        <v>8.377979772E9</v>
      </c>
    </row>
    <row r="6014" ht="15.75" customHeight="1">
      <c r="A6014" s="6" t="s">
        <v>6551</v>
      </c>
      <c r="B6014" s="6" t="s">
        <v>3988</v>
      </c>
      <c r="C6014" s="6" t="s">
        <v>5893</v>
      </c>
      <c r="D6014" s="6" t="s">
        <v>56</v>
      </c>
      <c r="E6014" s="6" t="s">
        <v>1102</v>
      </c>
      <c r="F6014" s="6">
        <v>9.18851341876E11</v>
      </c>
    </row>
    <row r="6015" ht="15.75" customHeight="1">
      <c r="A6015" s="6" t="s">
        <v>3031</v>
      </c>
      <c r="B6015" s="6" t="s">
        <v>68</v>
      </c>
      <c r="C6015" s="6" t="s">
        <v>6045</v>
      </c>
      <c r="D6015" s="6" t="s">
        <v>9</v>
      </c>
      <c r="E6015" s="6" t="s">
        <v>4571</v>
      </c>
      <c r="F6015" s="6">
        <v>9.3513655E9</v>
      </c>
    </row>
    <row r="6016" ht="15.75" customHeight="1">
      <c r="A6016" s="6" t="s">
        <v>1082</v>
      </c>
      <c r="B6016" s="6" t="s">
        <v>6552</v>
      </c>
      <c r="C6016" s="6" t="s">
        <v>6553</v>
      </c>
      <c r="D6016" s="6" t="s">
        <v>9</v>
      </c>
      <c r="E6016" s="6" t="s">
        <v>5087</v>
      </c>
      <c r="F6016" s="6">
        <v>8.170849869E9</v>
      </c>
    </row>
    <row r="6017" ht="15.75" customHeight="1">
      <c r="A6017" s="6" t="s">
        <v>6554</v>
      </c>
      <c r="B6017" s="6" t="s">
        <v>6475</v>
      </c>
      <c r="C6017" s="6" t="s">
        <v>4409</v>
      </c>
      <c r="D6017" s="6" t="s">
        <v>56</v>
      </c>
      <c r="E6017" s="6" t="s">
        <v>5087</v>
      </c>
      <c r="F6017" s="6">
        <v>8.250301968E9</v>
      </c>
    </row>
    <row r="6018" ht="15.75" customHeight="1">
      <c r="A6018" s="6" t="s">
        <v>6555</v>
      </c>
      <c r="B6018" s="6" t="s">
        <v>6556</v>
      </c>
      <c r="C6018" s="6" t="s">
        <v>6557</v>
      </c>
      <c r="D6018" s="6" t="s">
        <v>44</v>
      </c>
      <c r="E6018" s="6" t="s">
        <v>4484</v>
      </c>
      <c r="F6018" s="6">
        <v>9.810431634E9</v>
      </c>
    </row>
    <row r="6019" ht="15.75" customHeight="1">
      <c r="A6019" s="6" t="s">
        <v>2930</v>
      </c>
      <c r="B6019" s="6" t="s">
        <v>2577</v>
      </c>
      <c r="C6019" s="6" t="s">
        <v>6558</v>
      </c>
      <c r="D6019" s="6" t="s">
        <v>44</v>
      </c>
      <c r="E6019" s="6" t="s">
        <v>4015</v>
      </c>
      <c r="F6019" s="6">
        <v>9.971877584E9</v>
      </c>
    </row>
    <row r="6020" ht="15.75" customHeight="1">
      <c r="A6020" s="6" t="s">
        <v>2930</v>
      </c>
      <c r="B6020" s="6" t="s">
        <v>1090</v>
      </c>
      <c r="C6020" s="6" t="s">
        <v>6045</v>
      </c>
      <c r="D6020" s="6" t="s">
        <v>1108</v>
      </c>
      <c r="E6020" s="6" t="s">
        <v>6559</v>
      </c>
      <c r="F6020" s="6">
        <v>9.413158072E9</v>
      </c>
    </row>
    <row r="6021" ht="15.75" customHeight="1">
      <c r="A6021" s="6" t="s">
        <v>6560</v>
      </c>
      <c r="B6021" s="6" t="s">
        <v>6561</v>
      </c>
      <c r="C6021" s="6" t="s">
        <v>3790</v>
      </c>
      <c r="D6021" s="6" t="s">
        <v>9</v>
      </c>
      <c r="E6021" s="6" t="s">
        <v>4276</v>
      </c>
      <c r="F6021" s="6">
        <v>9.666904281E9</v>
      </c>
    </row>
    <row r="6022" ht="15.75" customHeight="1">
      <c r="A6022" s="6" t="s">
        <v>6562</v>
      </c>
      <c r="B6022" s="6" t="s">
        <v>6563</v>
      </c>
      <c r="C6022" s="6" t="s">
        <v>6564</v>
      </c>
      <c r="D6022" s="6" t="s">
        <v>9</v>
      </c>
      <c r="E6022" s="6" t="s">
        <v>6565</v>
      </c>
      <c r="F6022" s="6">
        <v>9.953601705E9</v>
      </c>
    </row>
    <row r="6023" ht="15.75" customHeight="1">
      <c r="A6023" s="6" t="s">
        <v>1442</v>
      </c>
      <c r="B6023" s="6" t="s">
        <v>6217</v>
      </c>
      <c r="C6023" s="6" t="s">
        <v>6566</v>
      </c>
      <c r="D6023" s="6" t="s">
        <v>56</v>
      </c>
      <c r="E6023" s="6" t="s">
        <v>2025</v>
      </c>
      <c r="F6023" s="6">
        <v>9.650448686E9</v>
      </c>
    </row>
    <row r="6024" ht="15.75" customHeight="1">
      <c r="A6024" s="6" t="s">
        <v>6567</v>
      </c>
      <c r="B6024" s="6" t="s">
        <v>6568</v>
      </c>
      <c r="C6024" s="6" t="s">
        <v>6569</v>
      </c>
      <c r="D6024" s="6" t="s">
        <v>26</v>
      </c>
      <c r="E6024" s="6" t="s">
        <v>6570</v>
      </c>
      <c r="F6024" s="6">
        <v>9.573297371E9</v>
      </c>
    </row>
    <row r="6025" ht="15.75" customHeight="1">
      <c r="A6025" s="6" t="s">
        <v>6571</v>
      </c>
      <c r="B6025" s="6" t="s">
        <v>65</v>
      </c>
      <c r="C6025" s="6" t="s">
        <v>6572</v>
      </c>
      <c r="D6025" s="6" t="s">
        <v>44</v>
      </c>
      <c r="E6025" s="6" t="s">
        <v>2025</v>
      </c>
      <c r="F6025" s="6">
        <v>9.810001734E9</v>
      </c>
    </row>
    <row r="6026" ht="15.75" customHeight="1">
      <c r="A6026" s="6" t="s">
        <v>6573</v>
      </c>
      <c r="B6026" s="6" t="s">
        <v>6574</v>
      </c>
      <c r="C6026" s="6" t="s">
        <v>6575</v>
      </c>
      <c r="D6026" s="6" t="s">
        <v>29</v>
      </c>
      <c r="E6026" s="6" t="s">
        <v>6576</v>
      </c>
      <c r="F6026" s="6">
        <v>6.382825277E9</v>
      </c>
    </row>
    <row r="6027" ht="15.75" customHeight="1">
      <c r="A6027" s="6" t="s">
        <v>3837</v>
      </c>
      <c r="B6027" s="6" t="s">
        <v>4785</v>
      </c>
      <c r="C6027" s="6" t="s">
        <v>6577</v>
      </c>
      <c r="D6027" s="6" t="s">
        <v>56</v>
      </c>
      <c r="E6027" s="6" t="s">
        <v>6578</v>
      </c>
      <c r="F6027" s="6">
        <v>9.19101401769E11</v>
      </c>
    </row>
    <row r="6028" ht="15.75" customHeight="1">
      <c r="A6028" s="6" t="s">
        <v>920</v>
      </c>
      <c r="B6028" s="6" t="s">
        <v>6579</v>
      </c>
      <c r="C6028" s="6" t="s">
        <v>6580</v>
      </c>
      <c r="D6028" s="6" t="s">
        <v>9</v>
      </c>
      <c r="E6028" s="6" t="s">
        <v>2115</v>
      </c>
      <c r="F6028" s="6">
        <v>9.17365032037E11</v>
      </c>
    </row>
    <row r="6029" ht="15.75" customHeight="1">
      <c r="A6029" s="6" t="s">
        <v>6581</v>
      </c>
      <c r="B6029" s="6" t="s">
        <v>2206</v>
      </c>
      <c r="C6029" s="6" t="s">
        <v>6582</v>
      </c>
      <c r="D6029" s="6" t="s">
        <v>14</v>
      </c>
      <c r="E6029" s="6" t="s">
        <v>6578</v>
      </c>
      <c r="F6029" s="6">
        <v>9.706462678E9</v>
      </c>
    </row>
    <row r="6030" ht="15.75" customHeight="1">
      <c r="A6030" s="6" t="s">
        <v>304</v>
      </c>
      <c r="B6030" s="6" t="s">
        <v>4613</v>
      </c>
      <c r="C6030" s="6" t="s">
        <v>6583</v>
      </c>
      <c r="D6030" s="6" t="s">
        <v>44</v>
      </c>
      <c r="E6030" s="6" t="s">
        <v>4898</v>
      </c>
      <c r="F6030" s="6">
        <v>8.146543053E9</v>
      </c>
    </row>
    <row r="6031" ht="15.75" customHeight="1">
      <c r="A6031" s="6" t="s">
        <v>6584</v>
      </c>
      <c r="B6031" s="6" t="s">
        <v>6585</v>
      </c>
      <c r="C6031" s="6" t="s">
        <v>6586</v>
      </c>
      <c r="D6031" s="6" t="s">
        <v>26</v>
      </c>
      <c r="E6031" s="6" t="s">
        <v>6587</v>
      </c>
      <c r="F6031" s="6">
        <v>9.422308688E9</v>
      </c>
    </row>
    <row r="6032" ht="15.75" customHeight="1">
      <c r="A6032" s="6" t="s">
        <v>6588</v>
      </c>
      <c r="B6032" s="6" t="s">
        <v>6589</v>
      </c>
      <c r="C6032" s="6" t="s">
        <v>6590</v>
      </c>
      <c r="D6032" s="6" t="s">
        <v>29</v>
      </c>
      <c r="E6032" s="6" t="s">
        <v>6591</v>
      </c>
      <c r="F6032" s="6">
        <v>7.543884975E9</v>
      </c>
    </row>
    <row r="6033" ht="15.75" customHeight="1">
      <c r="A6033" s="6" t="s">
        <v>6592</v>
      </c>
      <c r="B6033" s="6" t="s">
        <v>3547</v>
      </c>
      <c r="C6033" s="6" t="s">
        <v>6593</v>
      </c>
      <c r="D6033" s="6" t="s">
        <v>44</v>
      </c>
      <c r="E6033" s="6" t="s">
        <v>6370</v>
      </c>
      <c r="F6033" s="6">
        <v>9.88896435E9</v>
      </c>
    </row>
    <row r="6034" ht="15.75" customHeight="1">
      <c r="A6034" s="6" t="s">
        <v>6594</v>
      </c>
      <c r="B6034" s="6" t="s">
        <v>3078</v>
      </c>
      <c r="C6034" s="6" t="s">
        <v>6595</v>
      </c>
      <c r="D6034" s="6" t="s">
        <v>26</v>
      </c>
      <c r="E6034" s="6" t="s">
        <v>6596</v>
      </c>
      <c r="F6034" s="6">
        <v>8.073562726E9</v>
      </c>
    </row>
    <row r="6035" ht="15.75" customHeight="1">
      <c r="A6035" s="6" t="s">
        <v>6597</v>
      </c>
      <c r="B6035" s="6" t="s">
        <v>108</v>
      </c>
      <c r="C6035" s="6" t="s">
        <v>6598</v>
      </c>
      <c r="D6035" s="6" t="s">
        <v>29</v>
      </c>
      <c r="E6035" s="6" t="s">
        <v>494</v>
      </c>
      <c r="F6035" s="6">
        <v>9.540562642E9</v>
      </c>
    </row>
    <row r="6036" ht="15.75" customHeight="1">
      <c r="A6036" s="6" t="s">
        <v>1421</v>
      </c>
      <c r="B6036" s="6" t="s">
        <v>6599</v>
      </c>
      <c r="C6036" s="6" t="s">
        <v>4979</v>
      </c>
      <c r="D6036" s="6" t="s">
        <v>44</v>
      </c>
      <c r="E6036" s="6" t="s">
        <v>6600</v>
      </c>
      <c r="F6036" s="6">
        <v>7.030668209E9</v>
      </c>
    </row>
    <row r="6037" ht="15.75" customHeight="1">
      <c r="A6037" s="6" t="s">
        <v>1348</v>
      </c>
      <c r="B6037" s="6" t="s">
        <v>6601</v>
      </c>
      <c r="C6037" s="6" t="s">
        <v>6602</v>
      </c>
      <c r="D6037" s="6" t="s">
        <v>44</v>
      </c>
      <c r="E6037" s="6" t="s">
        <v>494</v>
      </c>
      <c r="F6037" s="6">
        <v>9.873410518E9</v>
      </c>
    </row>
    <row r="6038" ht="15.75" customHeight="1">
      <c r="A6038" s="6" t="s">
        <v>6603</v>
      </c>
      <c r="B6038" s="6" t="s">
        <v>63</v>
      </c>
      <c r="C6038" s="6" t="s">
        <v>6604</v>
      </c>
      <c r="D6038" s="6" t="s">
        <v>56</v>
      </c>
      <c r="E6038" s="6" t="s">
        <v>6605</v>
      </c>
      <c r="F6038" s="6">
        <v>8.708635177E9</v>
      </c>
    </row>
    <row r="6039" ht="15.75" customHeight="1">
      <c r="A6039" s="6" t="s">
        <v>6606</v>
      </c>
      <c r="B6039" s="6" t="s">
        <v>6607</v>
      </c>
      <c r="C6039" s="6" t="s">
        <v>6193</v>
      </c>
      <c r="D6039" s="6" t="s">
        <v>56</v>
      </c>
      <c r="E6039" s="6" t="s">
        <v>6142</v>
      </c>
      <c r="F6039" s="6">
        <v>9.487428362E9</v>
      </c>
    </row>
    <row r="6040" ht="15.75" customHeight="1">
      <c r="A6040" s="6" t="s">
        <v>6608</v>
      </c>
      <c r="B6040" s="6" t="s">
        <v>6609</v>
      </c>
      <c r="C6040" s="6" t="s">
        <v>6582</v>
      </c>
      <c r="D6040" s="6" t="s">
        <v>29</v>
      </c>
      <c r="E6040" s="6" t="s">
        <v>6578</v>
      </c>
      <c r="F6040" s="6">
        <v>8.486597515E9</v>
      </c>
    </row>
    <row r="6041" ht="15.75" customHeight="1">
      <c r="A6041" s="6" t="s">
        <v>6610</v>
      </c>
      <c r="B6041" s="6" t="s">
        <v>6611</v>
      </c>
      <c r="C6041" s="6" t="s">
        <v>6612</v>
      </c>
      <c r="D6041" s="6" t="s">
        <v>26</v>
      </c>
      <c r="E6041" s="6" t="s">
        <v>3863</v>
      </c>
      <c r="F6041" s="6">
        <v>8.237637345E9</v>
      </c>
    </row>
    <row r="6042" ht="15.75" customHeight="1">
      <c r="A6042" s="6" t="s">
        <v>6613</v>
      </c>
      <c r="B6042" s="6" t="s">
        <v>6614</v>
      </c>
      <c r="C6042" s="6" t="s">
        <v>6615</v>
      </c>
      <c r="D6042" s="6" t="s">
        <v>56</v>
      </c>
      <c r="E6042" s="6" t="s">
        <v>6616</v>
      </c>
      <c r="F6042" s="6">
        <v>8.555817171E9</v>
      </c>
    </row>
    <row r="6043" ht="15.75" customHeight="1">
      <c r="A6043" s="6" t="s">
        <v>4359</v>
      </c>
      <c r="B6043" s="6" t="s">
        <v>65</v>
      </c>
      <c r="C6043" s="6" t="s">
        <v>5028</v>
      </c>
      <c r="D6043" s="6" t="s">
        <v>44</v>
      </c>
      <c r="E6043" s="6" t="s">
        <v>4015</v>
      </c>
      <c r="F6043" s="6">
        <v>9.723554276E9</v>
      </c>
    </row>
    <row r="6044" ht="15.75" customHeight="1">
      <c r="A6044" s="6" t="s">
        <v>6617</v>
      </c>
      <c r="B6044" s="6" t="s">
        <v>6618</v>
      </c>
      <c r="C6044" s="6" t="s">
        <v>6619</v>
      </c>
      <c r="D6044" s="6" t="s">
        <v>26</v>
      </c>
      <c r="E6044" s="6" t="s">
        <v>3863</v>
      </c>
      <c r="F6044" s="6">
        <v>7.820980824E9</v>
      </c>
    </row>
    <row r="6045" ht="15.75" customHeight="1">
      <c r="A6045" s="6" t="s">
        <v>707</v>
      </c>
      <c r="B6045" s="6" t="s">
        <v>50</v>
      </c>
      <c r="C6045" s="6" t="s">
        <v>412</v>
      </c>
      <c r="D6045" s="6" t="s">
        <v>56</v>
      </c>
      <c r="E6045" s="6" t="s">
        <v>4276</v>
      </c>
      <c r="F6045" s="6">
        <v>8.106215841E9</v>
      </c>
    </row>
    <row r="6046" ht="15.75" customHeight="1">
      <c r="A6046" s="6" t="s">
        <v>6620</v>
      </c>
      <c r="B6046" s="6" t="s">
        <v>2392</v>
      </c>
      <c r="C6046" s="6" t="s">
        <v>6402</v>
      </c>
      <c r="D6046" s="6" t="s">
        <v>14</v>
      </c>
      <c r="E6046" s="6" t="s">
        <v>6621</v>
      </c>
      <c r="F6046" s="6">
        <v>7.896594916E9</v>
      </c>
    </row>
    <row r="6047" ht="15.75" customHeight="1">
      <c r="A6047" s="6" t="s">
        <v>6622</v>
      </c>
      <c r="B6047" s="6" t="s">
        <v>3247</v>
      </c>
      <c r="C6047" s="6" t="s">
        <v>6623</v>
      </c>
      <c r="D6047" s="6" t="s">
        <v>56</v>
      </c>
      <c r="E6047" s="6" t="s">
        <v>6624</v>
      </c>
      <c r="F6047" s="6">
        <v>9.800637844E9</v>
      </c>
    </row>
    <row r="6048" ht="15.75" customHeight="1">
      <c r="A6048" s="6" t="s">
        <v>2672</v>
      </c>
      <c r="B6048" s="6" t="s">
        <v>6625</v>
      </c>
      <c r="C6048" s="6" t="s">
        <v>6626</v>
      </c>
      <c r="D6048" s="6" t="s">
        <v>56</v>
      </c>
      <c r="E6048" s="6" t="s">
        <v>6370</v>
      </c>
      <c r="F6048" s="6">
        <v>9.876440521E9</v>
      </c>
    </row>
    <row r="6049" ht="15.75" customHeight="1">
      <c r="A6049" s="6" t="s">
        <v>1230</v>
      </c>
      <c r="B6049" s="6" t="s">
        <v>6627</v>
      </c>
      <c r="C6049" s="6" t="s">
        <v>6628</v>
      </c>
      <c r="D6049" s="6" t="s">
        <v>26</v>
      </c>
      <c r="E6049" s="6" t="s">
        <v>15</v>
      </c>
      <c r="F6049" s="6">
        <v>9.404166747E9</v>
      </c>
    </row>
    <row r="6050" ht="15.75" customHeight="1">
      <c r="A6050" s="6" t="s">
        <v>6629</v>
      </c>
      <c r="B6050" s="6" t="s">
        <v>6630</v>
      </c>
      <c r="C6050" s="6" t="s">
        <v>6582</v>
      </c>
      <c r="D6050" s="6" t="s">
        <v>14</v>
      </c>
      <c r="E6050" s="6" t="s">
        <v>6631</v>
      </c>
      <c r="F6050" s="6">
        <v>6.001008741E9</v>
      </c>
    </row>
    <row r="6051" ht="15.75" customHeight="1">
      <c r="A6051" s="6" t="s">
        <v>871</v>
      </c>
      <c r="B6051" s="6" t="s">
        <v>1090</v>
      </c>
      <c r="C6051" s="6" t="s">
        <v>6632</v>
      </c>
      <c r="D6051" s="6" t="s">
        <v>44</v>
      </c>
      <c r="E6051" s="6" t="s">
        <v>1102</v>
      </c>
      <c r="F6051" s="6">
        <v>9.81822086E9</v>
      </c>
    </row>
    <row r="6052" ht="15.75" customHeight="1">
      <c r="A6052" s="6" t="s">
        <v>6633</v>
      </c>
      <c r="B6052" s="6" t="s">
        <v>308</v>
      </c>
      <c r="C6052" s="6" t="s">
        <v>6634</v>
      </c>
      <c r="D6052" s="6" t="s">
        <v>9</v>
      </c>
      <c r="E6052" s="6" t="s">
        <v>6635</v>
      </c>
      <c r="F6052" s="6">
        <v>6.000343177E9</v>
      </c>
    </row>
    <row r="6053" ht="15.75" customHeight="1">
      <c r="A6053" s="6" t="s">
        <v>6636</v>
      </c>
      <c r="B6053" s="6" t="s">
        <v>3511</v>
      </c>
      <c r="C6053" s="6" t="s">
        <v>6402</v>
      </c>
      <c r="D6053" s="6" t="s">
        <v>14</v>
      </c>
      <c r="E6053" s="6" t="s">
        <v>6637</v>
      </c>
      <c r="F6053" s="6">
        <v>8.822318008E9</v>
      </c>
    </row>
    <row r="6054" ht="15.75" customHeight="1">
      <c r="A6054" s="6" t="s">
        <v>6638</v>
      </c>
      <c r="B6054" s="6" t="s">
        <v>3511</v>
      </c>
      <c r="C6054" s="6" t="s">
        <v>6402</v>
      </c>
      <c r="D6054" s="6" t="s">
        <v>14</v>
      </c>
      <c r="E6054" s="6" t="s">
        <v>6637</v>
      </c>
      <c r="F6054" s="6">
        <v>8.822318008E9</v>
      </c>
    </row>
    <row r="6055" ht="15.75" customHeight="1">
      <c r="A6055" s="6" t="s">
        <v>6639</v>
      </c>
      <c r="B6055" s="6" t="s">
        <v>6640</v>
      </c>
      <c r="C6055" s="6" t="s">
        <v>6641</v>
      </c>
      <c r="D6055" s="6" t="s">
        <v>14</v>
      </c>
      <c r="E6055" s="6" t="s">
        <v>6642</v>
      </c>
      <c r="F6055" s="6">
        <v>6.900648592E9</v>
      </c>
    </row>
    <row r="6056" ht="15.75" customHeight="1">
      <c r="A6056" s="6" t="s">
        <v>6643</v>
      </c>
      <c r="B6056" s="6" t="s">
        <v>6644</v>
      </c>
      <c r="C6056" s="6" t="s">
        <v>6645</v>
      </c>
      <c r="D6056" s="6" t="s">
        <v>56</v>
      </c>
      <c r="E6056" s="6" t="s">
        <v>6578</v>
      </c>
      <c r="F6056" s="6">
        <v>7.00286963E9</v>
      </c>
    </row>
    <row r="6057" ht="15.75" customHeight="1">
      <c r="A6057" s="6" t="s">
        <v>923</v>
      </c>
      <c r="B6057" s="6" t="s">
        <v>5180</v>
      </c>
      <c r="C6057" s="6" t="s">
        <v>6646</v>
      </c>
      <c r="D6057" s="6" t="s">
        <v>26</v>
      </c>
      <c r="E6057" s="6" t="s">
        <v>494</v>
      </c>
      <c r="F6057" s="6">
        <v>8.376820175E9</v>
      </c>
    </row>
    <row r="6058" ht="15.75" customHeight="1">
      <c r="A6058" s="6" t="s">
        <v>6647</v>
      </c>
      <c r="B6058" s="6" t="s">
        <v>6648</v>
      </c>
      <c r="C6058" s="6" t="s">
        <v>6649</v>
      </c>
      <c r="D6058" s="6" t="s">
        <v>14</v>
      </c>
      <c r="E6058" s="6" t="s">
        <v>6650</v>
      </c>
      <c r="F6058" s="6">
        <v>6.003244943E9</v>
      </c>
    </row>
    <row r="6059" ht="15.75" customHeight="1">
      <c r="A6059" s="6" t="s">
        <v>1213</v>
      </c>
      <c r="B6059" s="6" t="s">
        <v>4008</v>
      </c>
      <c r="C6059" s="6" t="s">
        <v>6045</v>
      </c>
      <c r="D6059" s="6" t="s">
        <v>44</v>
      </c>
      <c r="E6059" s="6" t="s">
        <v>4571</v>
      </c>
      <c r="F6059" s="6">
        <v>9.950177998E9</v>
      </c>
    </row>
    <row r="6060" ht="15.75" customHeight="1">
      <c r="A6060" s="6" t="s">
        <v>4984</v>
      </c>
      <c r="B6060" s="6" t="s">
        <v>2860</v>
      </c>
      <c r="C6060" s="6" t="s">
        <v>6651</v>
      </c>
      <c r="D6060" s="6" t="s">
        <v>26</v>
      </c>
      <c r="E6060" s="6" t="s">
        <v>5281</v>
      </c>
      <c r="F6060" s="6">
        <v>8.756409981E9</v>
      </c>
    </row>
    <row r="6061" ht="15.75" customHeight="1">
      <c r="A6061" s="6" t="s">
        <v>4846</v>
      </c>
      <c r="B6061" s="6" t="s">
        <v>4488</v>
      </c>
      <c r="C6061" s="6" t="s">
        <v>6652</v>
      </c>
      <c r="D6061" s="6" t="s">
        <v>44</v>
      </c>
      <c r="E6061" s="6" t="s">
        <v>6653</v>
      </c>
      <c r="F6061" s="6">
        <v>9.654007412E9</v>
      </c>
    </row>
    <row r="6062" ht="15.75" customHeight="1">
      <c r="A6062" s="6" t="s">
        <v>6654</v>
      </c>
      <c r="B6062" s="6" t="s">
        <v>6655</v>
      </c>
      <c r="C6062" s="6" t="s">
        <v>6582</v>
      </c>
      <c r="D6062" s="6" t="s">
        <v>44</v>
      </c>
      <c r="E6062" s="6" t="s">
        <v>6578</v>
      </c>
      <c r="F6062" s="6">
        <v>9.854902659E9</v>
      </c>
    </row>
    <row r="6063" ht="15.75" customHeight="1">
      <c r="A6063" s="6" t="s">
        <v>6656</v>
      </c>
      <c r="B6063" s="6" t="s">
        <v>68</v>
      </c>
      <c r="C6063" s="6" t="s">
        <v>6657</v>
      </c>
      <c r="D6063" s="6" t="s">
        <v>56</v>
      </c>
      <c r="E6063" s="6" t="s">
        <v>4769</v>
      </c>
      <c r="F6063" s="6">
        <v>9.315399303E9</v>
      </c>
    </row>
    <row r="6064" ht="15.75" customHeight="1">
      <c r="A6064" s="6" t="s">
        <v>6622</v>
      </c>
      <c r="B6064" s="6" t="s">
        <v>6658</v>
      </c>
      <c r="C6064" s="6" t="s">
        <v>6659</v>
      </c>
      <c r="D6064" s="6" t="s">
        <v>26</v>
      </c>
      <c r="E6064" s="6" t="s">
        <v>2025</v>
      </c>
      <c r="F6064" s="6">
        <v>9.811512654E9</v>
      </c>
    </row>
    <row r="6065" ht="15.75" customHeight="1">
      <c r="A6065" s="6" t="s">
        <v>1260</v>
      </c>
      <c r="B6065" s="6" t="s">
        <v>4773</v>
      </c>
      <c r="C6065" s="6" t="s">
        <v>6660</v>
      </c>
      <c r="D6065" s="6" t="s">
        <v>26</v>
      </c>
      <c r="E6065" s="6" t="s">
        <v>5666</v>
      </c>
      <c r="F6065" s="6">
        <v>9.910627905E9</v>
      </c>
    </row>
    <row r="6066" ht="15.75" customHeight="1">
      <c r="A6066" s="6" t="s">
        <v>6661</v>
      </c>
      <c r="B6066" s="6" t="s">
        <v>2707</v>
      </c>
      <c r="C6066" s="6" t="s">
        <v>6662</v>
      </c>
      <c r="D6066" s="6" t="s">
        <v>26</v>
      </c>
      <c r="E6066" s="6" t="s">
        <v>494</v>
      </c>
      <c r="F6066" s="6">
        <v>9.910626334E9</v>
      </c>
    </row>
    <row r="6067" ht="15.75" customHeight="1">
      <c r="A6067" s="6" t="s">
        <v>6663</v>
      </c>
      <c r="B6067" s="6" t="s">
        <v>6664</v>
      </c>
      <c r="C6067" s="6" t="s">
        <v>6402</v>
      </c>
      <c r="D6067" s="6" t="s">
        <v>14</v>
      </c>
      <c r="E6067" s="6" t="s">
        <v>6578</v>
      </c>
      <c r="F6067" s="6">
        <v>7.099935442E9</v>
      </c>
    </row>
    <row r="6068" ht="15.75" customHeight="1">
      <c r="A6068" s="6" t="s">
        <v>6665</v>
      </c>
      <c r="B6068" s="6" t="s">
        <v>2003</v>
      </c>
      <c r="C6068" s="6" t="s">
        <v>6402</v>
      </c>
      <c r="D6068" s="6" t="s">
        <v>14</v>
      </c>
      <c r="E6068" s="6" t="s">
        <v>6578</v>
      </c>
      <c r="F6068" s="6">
        <v>9.859463885E9</v>
      </c>
    </row>
    <row r="6069" ht="15.75" customHeight="1">
      <c r="A6069" s="6" t="s">
        <v>1421</v>
      </c>
      <c r="B6069" s="6" t="s">
        <v>6217</v>
      </c>
      <c r="C6069" s="6" t="s">
        <v>4334</v>
      </c>
      <c r="D6069" s="6" t="s">
        <v>26</v>
      </c>
      <c r="E6069" s="6" t="s">
        <v>2025</v>
      </c>
      <c r="F6069" s="6">
        <v>8.860094202E9</v>
      </c>
    </row>
    <row r="6070" ht="15.75" customHeight="1">
      <c r="A6070" s="6" t="s">
        <v>6666</v>
      </c>
      <c r="B6070" s="6" t="s">
        <v>6667</v>
      </c>
      <c r="C6070" s="6" t="s">
        <v>6668</v>
      </c>
      <c r="D6070" s="6" t="s">
        <v>56</v>
      </c>
      <c r="E6070" s="6" t="s">
        <v>6578</v>
      </c>
      <c r="F6070" s="6">
        <v>9.954078989E9</v>
      </c>
    </row>
    <row r="6071" ht="15.75" customHeight="1">
      <c r="A6071" s="6" t="s">
        <v>6669</v>
      </c>
      <c r="B6071" s="6" t="s">
        <v>6670</v>
      </c>
      <c r="C6071" s="6" t="s">
        <v>6287</v>
      </c>
      <c r="D6071" s="6" t="s">
        <v>26</v>
      </c>
      <c r="E6071" s="6" t="s">
        <v>1102</v>
      </c>
      <c r="F6071" s="6">
        <v>9.473592576E9</v>
      </c>
    </row>
    <row r="6072" ht="15.75" customHeight="1">
      <c r="A6072" s="6" t="s">
        <v>511</v>
      </c>
      <c r="B6072" s="6" t="s">
        <v>68</v>
      </c>
      <c r="C6072" s="6" t="s">
        <v>6671</v>
      </c>
      <c r="D6072" s="6" t="s">
        <v>26</v>
      </c>
      <c r="E6072" s="6" t="s">
        <v>1102</v>
      </c>
      <c r="F6072" s="6">
        <v>8.586850847E9</v>
      </c>
    </row>
    <row r="6073" ht="15.75" customHeight="1">
      <c r="A6073" s="6" t="s">
        <v>6672</v>
      </c>
      <c r="B6073" s="6" t="s">
        <v>75</v>
      </c>
      <c r="C6073" s="6" t="s">
        <v>6673</v>
      </c>
      <c r="D6073" s="6" t="s">
        <v>56</v>
      </c>
      <c r="E6073" s="6" t="s">
        <v>434</v>
      </c>
      <c r="F6073" s="6">
        <v>9.867578958E9</v>
      </c>
    </row>
    <row r="6074" ht="15.75" customHeight="1">
      <c r="A6074" s="6" t="s">
        <v>6674</v>
      </c>
      <c r="B6074" s="6" t="s">
        <v>6675</v>
      </c>
      <c r="C6074" s="6" t="s">
        <v>6645</v>
      </c>
      <c r="D6074" s="6" t="s">
        <v>56</v>
      </c>
      <c r="E6074" s="6" t="s">
        <v>6578</v>
      </c>
      <c r="F6074" s="6">
        <v>6.001518802E9</v>
      </c>
    </row>
    <row r="6075" ht="15.75" customHeight="1">
      <c r="A6075" s="6" t="s">
        <v>764</v>
      </c>
      <c r="B6075" s="6" t="s">
        <v>6676</v>
      </c>
      <c r="C6075" s="6" t="s">
        <v>6677</v>
      </c>
      <c r="D6075" s="6" t="s">
        <v>56</v>
      </c>
      <c r="E6075" s="6" t="s">
        <v>6309</v>
      </c>
      <c r="F6075" s="6">
        <v>9.495911555E9</v>
      </c>
    </row>
    <row r="6076" ht="15.75" customHeight="1">
      <c r="A6076" s="6" t="s">
        <v>6678</v>
      </c>
      <c r="B6076" s="6" t="s">
        <v>3511</v>
      </c>
      <c r="C6076" s="6" t="s">
        <v>6679</v>
      </c>
      <c r="D6076" s="6" t="s">
        <v>56</v>
      </c>
      <c r="E6076" s="6" t="s">
        <v>6578</v>
      </c>
      <c r="F6076" s="6">
        <v>9.707013144E9</v>
      </c>
    </row>
    <row r="6077" ht="15.75" customHeight="1">
      <c r="A6077" s="6" t="s">
        <v>6680</v>
      </c>
      <c r="B6077" s="6" t="s">
        <v>6664</v>
      </c>
      <c r="C6077" s="6" t="s">
        <v>6649</v>
      </c>
      <c r="D6077" s="6" t="s">
        <v>44</v>
      </c>
      <c r="E6077" s="6" t="s">
        <v>6578</v>
      </c>
      <c r="F6077" s="6">
        <v>9.864078886E9</v>
      </c>
    </row>
    <row r="6078" ht="15.75" customHeight="1">
      <c r="A6078" s="6" t="s">
        <v>6681</v>
      </c>
      <c r="B6078" s="6" t="s">
        <v>6682</v>
      </c>
      <c r="C6078" s="6" t="s">
        <v>6645</v>
      </c>
      <c r="D6078" s="6" t="s">
        <v>56</v>
      </c>
      <c r="E6078" s="6" t="s">
        <v>6578</v>
      </c>
      <c r="F6078" s="6">
        <v>9.085432312E9</v>
      </c>
    </row>
    <row r="6079" ht="15.75" customHeight="1">
      <c r="A6079" s="6" t="s">
        <v>6683</v>
      </c>
      <c r="B6079" s="6" t="s">
        <v>4785</v>
      </c>
      <c r="C6079" s="6" t="s">
        <v>6649</v>
      </c>
      <c r="D6079" s="6" t="s">
        <v>56</v>
      </c>
      <c r="E6079" s="6" t="s">
        <v>6684</v>
      </c>
      <c r="F6079" s="6">
        <v>9.864127088E9</v>
      </c>
    </row>
    <row r="6080" ht="15.75" customHeight="1">
      <c r="A6080" s="6" t="s">
        <v>6685</v>
      </c>
      <c r="B6080" s="6" t="s">
        <v>6686</v>
      </c>
      <c r="C6080" s="6" t="s">
        <v>6687</v>
      </c>
      <c r="D6080" s="6" t="s">
        <v>56</v>
      </c>
      <c r="E6080" s="6" t="s">
        <v>6587</v>
      </c>
      <c r="F6080" s="6">
        <v>9.37167207E9</v>
      </c>
    </row>
    <row r="6081" ht="15.75" customHeight="1">
      <c r="A6081" s="6" t="s">
        <v>6688</v>
      </c>
      <c r="B6081" s="6" t="s">
        <v>5098</v>
      </c>
      <c r="C6081" s="6" t="s">
        <v>6689</v>
      </c>
      <c r="D6081" s="6" t="s">
        <v>29</v>
      </c>
      <c r="E6081" s="6" t="s">
        <v>494</v>
      </c>
      <c r="F6081" s="6">
        <v>9.999119813E9</v>
      </c>
    </row>
    <row r="6082" ht="15.75" customHeight="1">
      <c r="A6082" s="6" t="s">
        <v>4918</v>
      </c>
      <c r="B6082" s="6" t="s">
        <v>2678</v>
      </c>
      <c r="C6082" s="6" t="s">
        <v>6690</v>
      </c>
      <c r="D6082" s="6" t="s">
        <v>56</v>
      </c>
      <c r="E6082" s="6" t="s">
        <v>6370</v>
      </c>
      <c r="F6082" s="6">
        <v>9.991589977E9</v>
      </c>
    </row>
    <row r="6083" ht="15.75" customHeight="1">
      <c r="A6083" s="6" t="s">
        <v>3728</v>
      </c>
      <c r="B6083" s="6" t="s">
        <v>5006</v>
      </c>
      <c r="C6083" s="6" t="s">
        <v>6691</v>
      </c>
      <c r="D6083" s="6" t="s">
        <v>56</v>
      </c>
      <c r="E6083" s="6" t="s">
        <v>5906</v>
      </c>
      <c r="F6083" s="6">
        <v>9.497600646E9</v>
      </c>
    </row>
    <row r="6084" ht="15.75" customHeight="1">
      <c r="A6084" s="6" t="s">
        <v>6692</v>
      </c>
      <c r="B6084" s="6" t="s">
        <v>4999</v>
      </c>
      <c r="C6084" s="6" t="s">
        <v>6693</v>
      </c>
      <c r="D6084" s="6" t="s">
        <v>26</v>
      </c>
      <c r="E6084" s="6" t="s">
        <v>4571</v>
      </c>
      <c r="F6084" s="6">
        <v>9.460474651E9</v>
      </c>
    </row>
    <row r="6085" ht="15.75" customHeight="1">
      <c r="A6085" s="6" t="s">
        <v>6694</v>
      </c>
      <c r="B6085" s="6" t="s">
        <v>6695</v>
      </c>
      <c r="C6085" s="6" t="s">
        <v>6645</v>
      </c>
      <c r="D6085" s="6" t="s">
        <v>56</v>
      </c>
      <c r="E6085" s="6" t="s">
        <v>6578</v>
      </c>
      <c r="F6085" s="6">
        <v>8.81283054E9</v>
      </c>
    </row>
    <row r="6086" ht="15.75" customHeight="1">
      <c r="A6086" s="6" t="s">
        <v>2051</v>
      </c>
      <c r="B6086" s="6" t="s">
        <v>108</v>
      </c>
      <c r="C6086" s="6" t="s">
        <v>6696</v>
      </c>
      <c r="D6086" s="6" t="s">
        <v>14</v>
      </c>
      <c r="E6086" s="6" t="s">
        <v>494</v>
      </c>
      <c r="F6086" s="6">
        <v>7.011768647E9</v>
      </c>
    </row>
    <row r="6087" ht="15.75" customHeight="1">
      <c r="A6087" s="6" t="s">
        <v>3673</v>
      </c>
      <c r="B6087" s="6" t="s">
        <v>1646</v>
      </c>
      <c r="C6087" s="6" t="s">
        <v>6218</v>
      </c>
      <c r="D6087" s="6" t="s">
        <v>44</v>
      </c>
      <c r="E6087" s="6" t="s">
        <v>1102</v>
      </c>
      <c r="F6087" s="6">
        <v>9.19810880792E11</v>
      </c>
    </row>
    <row r="6088" ht="15.75" customHeight="1">
      <c r="A6088" s="6" t="s">
        <v>6697</v>
      </c>
      <c r="B6088" s="6" t="s">
        <v>110</v>
      </c>
      <c r="C6088" s="6" t="s">
        <v>6402</v>
      </c>
      <c r="D6088" s="6" t="s">
        <v>56</v>
      </c>
      <c r="E6088" s="6" t="s">
        <v>6650</v>
      </c>
      <c r="F6088" s="6">
        <v>7.099152511E9</v>
      </c>
    </row>
    <row r="6089" ht="15.75" customHeight="1">
      <c r="A6089" s="6" t="s">
        <v>146</v>
      </c>
      <c r="B6089" s="6" t="s">
        <v>6698</v>
      </c>
      <c r="C6089" s="6" t="s">
        <v>6699</v>
      </c>
      <c r="D6089" s="6" t="s">
        <v>44</v>
      </c>
      <c r="E6089" s="6" t="s">
        <v>6700</v>
      </c>
      <c r="F6089" s="6">
        <v>9.810579184E9</v>
      </c>
    </row>
    <row r="6090" ht="15.75" customHeight="1">
      <c r="A6090" s="6" t="s">
        <v>3805</v>
      </c>
      <c r="B6090" s="6" t="s">
        <v>68</v>
      </c>
      <c r="C6090" s="6" t="s">
        <v>6632</v>
      </c>
      <c r="D6090" s="6" t="s">
        <v>26</v>
      </c>
      <c r="E6090" s="6" t="s">
        <v>4015</v>
      </c>
      <c r="F6090" s="6">
        <v>9.81072746E9</v>
      </c>
    </row>
    <row r="6091" ht="15.75" customHeight="1">
      <c r="A6091" s="6" t="s">
        <v>5317</v>
      </c>
      <c r="B6091" s="6" t="s">
        <v>150</v>
      </c>
      <c r="C6091" s="6" t="s">
        <v>6701</v>
      </c>
      <c r="D6091" s="6" t="s">
        <v>26</v>
      </c>
      <c r="E6091" s="6" t="s">
        <v>4546</v>
      </c>
      <c r="F6091" s="6">
        <v>9.30545647E9</v>
      </c>
    </row>
    <row r="6092" ht="15.75" customHeight="1">
      <c r="A6092" s="6" t="s">
        <v>565</v>
      </c>
      <c r="B6092" s="6" t="s">
        <v>50</v>
      </c>
      <c r="C6092" s="6" t="s">
        <v>6702</v>
      </c>
      <c r="D6092" s="6" t="s">
        <v>26</v>
      </c>
      <c r="E6092" s="6" t="s">
        <v>6703</v>
      </c>
      <c r="F6092" s="6">
        <v>8.383987288E9</v>
      </c>
    </row>
    <row r="6093" ht="15.75" customHeight="1">
      <c r="A6093" s="6" t="s">
        <v>3807</v>
      </c>
      <c r="B6093" s="6" t="s">
        <v>800</v>
      </c>
      <c r="C6093" s="6" t="s">
        <v>4334</v>
      </c>
      <c r="D6093" s="6" t="s">
        <v>44</v>
      </c>
      <c r="E6093" s="6" t="s">
        <v>6704</v>
      </c>
      <c r="F6093" s="6" t="str">
        <f>+91 8588977277</f>
        <v>#ERROR!</v>
      </c>
    </row>
    <row r="6094" ht="15.75" customHeight="1">
      <c r="A6094" s="6" t="s">
        <v>6705</v>
      </c>
      <c r="B6094" s="6" t="s">
        <v>6706</v>
      </c>
      <c r="C6094" s="6" t="s">
        <v>6707</v>
      </c>
      <c r="D6094" s="6" t="s">
        <v>56</v>
      </c>
      <c r="E6094" s="6" t="s">
        <v>6708</v>
      </c>
      <c r="F6094" s="6">
        <v>9.790090877E9</v>
      </c>
    </row>
    <row r="6095" ht="15.75" customHeight="1">
      <c r="A6095" s="6" t="s">
        <v>6457</v>
      </c>
      <c r="B6095" s="6" t="s">
        <v>6709</v>
      </c>
      <c r="C6095" s="6" t="s">
        <v>15</v>
      </c>
      <c r="D6095" s="6" t="s">
        <v>26</v>
      </c>
      <c r="E6095" s="6" t="s">
        <v>15</v>
      </c>
      <c r="F6095" s="6">
        <v>8.99929566E9</v>
      </c>
    </row>
    <row r="6096" ht="15.75" customHeight="1">
      <c r="A6096" s="6" t="s">
        <v>6710</v>
      </c>
      <c r="B6096" s="6" t="s">
        <v>6116</v>
      </c>
      <c r="C6096" s="6" t="s">
        <v>5021</v>
      </c>
      <c r="D6096" s="6" t="s">
        <v>29</v>
      </c>
      <c r="E6096" s="6" t="s">
        <v>494</v>
      </c>
      <c r="F6096" s="6">
        <v>9.871792792E9</v>
      </c>
    </row>
    <row r="6097" ht="15.75" customHeight="1">
      <c r="A6097" s="6" t="s">
        <v>205</v>
      </c>
      <c r="B6097" s="6" t="s">
        <v>4414</v>
      </c>
      <c r="C6097" s="6" t="s">
        <v>5280</v>
      </c>
      <c r="D6097" s="6" t="s">
        <v>56</v>
      </c>
      <c r="E6097" s="6" t="s">
        <v>2025</v>
      </c>
      <c r="F6097" s="6">
        <v>8.076407536E9</v>
      </c>
    </row>
    <row r="6098" ht="15.75" customHeight="1">
      <c r="A6098" s="6" t="s">
        <v>6711</v>
      </c>
      <c r="B6098" s="6" t="s">
        <v>63</v>
      </c>
      <c r="C6098" s="6" t="s">
        <v>6712</v>
      </c>
      <c r="D6098" s="6" t="s">
        <v>44</v>
      </c>
      <c r="E6098" s="6" t="s">
        <v>6713</v>
      </c>
      <c r="F6098" s="6">
        <v>7.814876466E9</v>
      </c>
    </row>
    <row r="6099" ht="15.75" customHeight="1">
      <c r="A6099" s="6" t="s">
        <v>6300</v>
      </c>
      <c r="B6099" s="6" t="s">
        <v>727</v>
      </c>
      <c r="C6099" s="6" t="s">
        <v>6714</v>
      </c>
      <c r="D6099" s="6" t="s">
        <v>56</v>
      </c>
      <c r="E6099" s="6" t="s">
        <v>1102</v>
      </c>
      <c r="F6099" s="6">
        <v>9.821811125E9</v>
      </c>
    </row>
    <row r="6100" ht="15.75" customHeight="1">
      <c r="A6100" s="6" t="s">
        <v>20</v>
      </c>
      <c r="B6100" s="6" t="s">
        <v>2685</v>
      </c>
      <c r="C6100" s="6" t="s">
        <v>6715</v>
      </c>
      <c r="D6100" s="6" t="s">
        <v>56</v>
      </c>
      <c r="E6100" s="6" t="s">
        <v>6504</v>
      </c>
      <c r="F6100" s="6" t="s">
        <v>6716</v>
      </c>
    </row>
    <row r="6101" ht="15.75" customHeight="1">
      <c r="A6101" s="6" t="s">
        <v>146</v>
      </c>
      <c r="B6101" s="6" t="s">
        <v>145</v>
      </c>
      <c r="C6101" s="6" t="s">
        <v>6717</v>
      </c>
      <c r="D6101" s="6" t="s">
        <v>14</v>
      </c>
      <c r="E6101" s="6" t="s">
        <v>494</v>
      </c>
      <c r="F6101" s="6">
        <v>9.86800592E9</v>
      </c>
    </row>
    <row r="6102" ht="15.75" customHeight="1">
      <c r="A6102" s="6" t="s">
        <v>6718</v>
      </c>
      <c r="B6102" s="6" t="s">
        <v>6719</v>
      </c>
      <c r="C6102" s="6" t="s">
        <v>6720</v>
      </c>
      <c r="D6102" s="6" t="s">
        <v>6721</v>
      </c>
      <c r="E6102" s="6" t="s">
        <v>4484</v>
      </c>
      <c r="F6102" s="6">
        <v>9.810044936E9</v>
      </c>
    </row>
    <row r="6103" ht="15.75" customHeight="1">
      <c r="A6103" s="6" t="s">
        <v>6722</v>
      </c>
      <c r="B6103" s="6" t="s">
        <v>6723</v>
      </c>
      <c r="C6103" s="6" t="s">
        <v>6402</v>
      </c>
      <c r="D6103" s="6" t="s">
        <v>44</v>
      </c>
      <c r="E6103" s="6" t="s">
        <v>6578</v>
      </c>
      <c r="F6103" s="6">
        <v>8.01114883E9</v>
      </c>
    </row>
    <row r="6104" ht="15.75" customHeight="1">
      <c r="A6104" s="6" t="s">
        <v>6724</v>
      </c>
      <c r="B6104" s="6" t="s">
        <v>6719</v>
      </c>
      <c r="C6104" s="6" t="s">
        <v>6720</v>
      </c>
      <c r="D6104" s="6" t="s">
        <v>56</v>
      </c>
      <c r="E6104" s="6" t="s">
        <v>4484</v>
      </c>
      <c r="F6104" s="6">
        <v>9.810044936E9</v>
      </c>
    </row>
    <row r="6105" ht="15.75" customHeight="1">
      <c r="A6105" s="6" t="s">
        <v>430</v>
      </c>
      <c r="B6105" s="6" t="s">
        <v>2424</v>
      </c>
      <c r="C6105" s="6" t="s">
        <v>6725</v>
      </c>
      <c r="D6105" s="6" t="s">
        <v>14</v>
      </c>
      <c r="E6105" s="6" t="s">
        <v>1095</v>
      </c>
      <c r="F6105" s="6">
        <v>8.588010151E9</v>
      </c>
    </row>
    <row r="6106" ht="15.75" customHeight="1">
      <c r="A6106" s="6" t="s">
        <v>6726</v>
      </c>
      <c r="B6106" s="6" t="s">
        <v>182</v>
      </c>
      <c r="C6106" s="6" t="s">
        <v>6727</v>
      </c>
      <c r="D6106" s="6" t="s">
        <v>14</v>
      </c>
      <c r="E6106" s="6" t="s">
        <v>6728</v>
      </c>
      <c r="F6106" s="6">
        <v>9.078975109E9</v>
      </c>
    </row>
    <row r="6107" ht="15.75" customHeight="1">
      <c r="A6107" s="6" t="s">
        <v>1862</v>
      </c>
      <c r="B6107" s="6" t="s">
        <v>6729</v>
      </c>
      <c r="C6107" s="6" t="s">
        <v>6730</v>
      </c>
      <c r="D6107" s="6" t="s">
        <v>29</v>
      </c>
      <c r="E6107" s="6" t="s">
        <v>4571</v>
      </c>
      <c r="F6107" s="6">
        <v>9.511536301E9</v>
      </c>
    </row>
    <row r="6108" ht="15.75" customHeight="1">
      <c r="A6108" s="6" t="s">
        <v>6731</v>
      </c>
      <c r="B6108" s="6" t="s">
        <v>1718</v>
      </c>
      <c r="C6108" s="6" t="s">
        <v>6645</v>
      </c>
      <c r="D6108" s="6" t="s">
        <v>14</v>
      </c>
      <c r="E6108" s="6" t="s">
        <v>6732</v>
      </c>
      <c r="F6108" s="6">
        <v>8.638102922E9</v>
      </c>
    </row>
    <row r="6109" ht="15.75" customHeight="1">
      <c r="A6109" s="6" t="s">
        <v>1348</v>
      </c>
      <c r="B6109" s="6" t="s">
        <v>6733</v>
      </c>
      <c r="C6109" s="6" t="s">
        <v>6734</v>
      </c>
      <c r="D6109" s="6" t="s">
        <v>56</v>
      </c>
      <c r="E6109" s="6" t="s">
        <v>6735</v>
      </c>
      <c r="F6109" s="6">
        <v>8.105118533E9</v>
      </c>
    </row>
    <row r="6110" ht="15.75" customHeight="1">
      <c r="A6110" s="6" t="s">
        <v>6736</v>
      </c>
      <c r="B6110" s="6" t="s">
        <v>3500</v>
      </c>
      <c r="C6110" s="6" t="s">
        <v>6737</v>
      </c>
      <c r="D6110" s="6" t="s">
        <v>26</v>
      </c>
      <c r="E6110" s="6" t="s">
        <v>6738</v>
      </c>
      <c r="F6110" s="6">
        <v>7.00828636E9</v>
      </c>
    </row>
    <row r="6111" ht="15.75" customHeight="1">
      <c r="A6111" s="6" t="s">
        <v>2865</v>
      </c>
      <c r="B6111" s="6" t="s">
        <v>312</v>
      </c>
      <c r="C6111" s="6" t="s">
        <v>6737</v>
      </c>
      <c r="D6111" s="6" t="s">
        <v>56</v>
      </c>
      <c r="E6111" s="6" t="s">
        <v>6738</v>
      </c>
      <c r="F6111" s="6">
        <v>7.608018099E9</v>
      </c>
    </row>
    <row r="6112" ht="15.75" customHeight="1">
      <c r="A6112" s="6" t="s">
        <v>6739</v>
      </c>
      <c r="B6112" s="6" t="s">
        <v>65</v>
      </c>
      <c r="C6112" s="6" t="s">
        <v>6539</v>
      </c>
      <c r="D6112" s="6" t="s">
        <v>9</v>
      </c>
      <c r="E6112" s="6" t="s">
        <v>4571</v>
      </c>
      <c r="F6112" s="6">
        <v>6.367845394E9</v>
      </c>
    </row>
    <row r="6113" ht="15.75" customHeight="1">
      <c r="A6113" s="6" t="s">
        <v>4137</v>
      </c>
      <c r="B6113" s="6" t="s">
        <v>55</v>
      </c>
      <c r="C6113" s="6" t="s">
        <v>6696</v>
      </c>
      <c r="D6113" s="6" t="s">
        <v>44</v>
      </c>
      <c r="E6113" s="6" t="s">
        <v>494</v>
      </c>
      <c r="F6113" s="6">
        <v>9.968466802E9</v>
      </c>
    </row>
    <row r="6114" ht="15.75" customHeight="1">
      <c r="A6114" s="6" t="s">
        <v>6740</v>
      </c>
      <c r="B6114" s="6" t="s">
        <v>3511</v>
      </c>
      <c r="C6114" s="6" t="s">
        <v>6402</v>
      </c>
      <c r="D6114" s="6" t="s">
        <v>44</v>
      </c>
      <c r="E6114" s="6" t="s">
        <v>6578</v>
      </c>
      <c r="F6114" s="6">
        <v>6.900261133E9</v>
      </c>
    </row>
    <row r="6115" ht="15.75" customHeight="1">
      <c r="A6115" s="6" t="s">
        <v>189</v>
      </c>
      <c r="B6115" s="6" t="s">
        <v>4770</v>
      </c>
      <c r="C6115" s="6" t="s">
        <v>4449</v>
      </c>
      <c r="D6115" s="6" t="s">
        <v>56</v>
      </c>
      <c r="E6115" s="6" t="s">
        <v>6741</v>
      </c>
      <c r="F6115" s="6">
        <v>8.874093454E9</v>
      </c>
    </row>
    <row r="6116" ht="15.75" customHeight="1">
      <c r="A6116" s="6" t="s">
        <v>6742</v>
      </c>
      <c r="B6116" s="6" t="s">
        <v>1430</v>
      </c>
      <c r="C6116" s="6" t="s">
        <v>6649</v>
      </c>
      <c r="D6116" s="6" t="s">
        <v>44</v>
      </c>
      <c r="E6116" s="6" t="s">
        <v>6578</v>
      </c>
      <c r="F6116" s="6">
        <v>8.811967317E9</v>
      </c>
    </row>
    <row r="6117" ht="15.75" customHeight="1">
      <c r="A6117" s="6" t="s">
        <v>3078</v>
      </c>
      <c r="B6117" s="6" t="s">
        <v>6743</v>
      </c>
      <c r="C6117" s="6" t="s">
        <v>6744</v>
      </c>
      <c r="D6117" s="6" t="s">
        <v>102</v>
      </c>
      <c r="E6117" s="6" t="s">
        <v>6745</v>
      </c>
      <c r="F6117" s="6">
        <v>9.962665578E9</v>
      </c>
    </row>
    <row r="6118" ht="15.75" customHeight="1">
      <c r="A6118" s="6" t="s">
        <v>6746</v>
      </c>
      <c r="B6118" s="6" t="s">
        <v>63</v>
      </c>
      <c r="C6118" s="6" t="s">
        <v>6747</v>
      </c>
      <c r="D6118" s="6" t="s">
        <v>14</v>
      </c>
      <c r="E6118" s="6" t="s">
        <v>6370</v>
      </c>
      <c r="F6118" s="6">
        <v>7.986983773E9</v>
      </c>
    </row>
    <row r="6119" ht="15.75" customHeight="1">
      <c r="A6119" s="6" t="s">
        <v>5426</v>
      </c>
      <c r="B6119" s="6" t="s">
        <v>6748</v>
      </c>
      <c r="C6119" s="6" t="s">
        <v>6749</v>
      </c>
      <c r="D6119" s="6" t="s">
        <v>102</v>
      </c>
      <c r="E6119" s="6" t="s">
        <v>6750</v>
      </c>
      <c r="F6119" s="6">
        <v>7.397257607E9</v>
      </c>
    </row>
    <row r="6120" ht="15.75" customHeight="1">
      <c r="A6120" s="6" t="s">
        <v>1437</v>
      </c>
      <c r="B6120" s="6" t="s">
        <v>63</v>
      </c>
      <c r="C6120" s="6" t="s">
        <v>6751</v>
      </c>
      <c r="D6120" s="6" t="s">
        <v>29</v>
      </c>
      <c r="E6120" s="6" t="s">
        <v>1095</v>
      </c>
      <c r="F6120" s="6">
        <v>8.287332245E9</v>
      </c>
    </row>
    <row r="6121" ht="15.75" customHeight="1">
      <c r="A6121" s="6" t="s">
        <v>3389</v>
      </c>
      <c r="B6121" s="6" t="s">
        <v>4921</v>
      </c>
      <c r="C6121" s="6" t="s">
        <v>5584</v>
      </c>
      <c r="D6121" s="6" t="s">
        <v>56</v>
      </c>
      <c r="E6121" s="6" t="s">
        <v>1095</v>
      </c>
      <c r="F6121" s="6">
        <v>9.717161101E9</v>
      </c>
    </row>
    <row r="6122" ht="15.75" customHeight="1">
      <c r="A6122" s="6" t="s">
        <v>707</v>
      </c>
      <c r="B6122" s="6" t="s">
        <v>6752</v>
      </c>
      <c r="C6122" s="6" t="s">
        <v>6753</v>
      </c>
      <c r="D6122" s="6" t="s">
        <v>56</v>
      </c>
      <c r="E6122" s="6" t="s">
        <v>4276</v>
      </c>
      <c r="F6122" s="6">
        <v>9.705902992E9</v>
      </c>
    </row>
    <row r="6123" ht="15.75" customHeight="1">
      <c r="A6123" s="6" t="s">
        <v>4427</v>
      </c>
      <c r="B6123" s="6" t="s">
        <v>4967</v>
      </c>
      <c r="C6123" s="6" t="s">
        <v>5584</v>
      </c>
      <c r="D6123" s="6" t="s">
        <v>9</v>
      </c>
      <c r="E6123" s="6" t="s">
        <v>494</v>
      </c>
      <c r="F6123" s="6">
        <v>9.953780472E9</v>
      </c>
    </row>
    <row r="6124" ht="15.75" customHeight="1">
      <c r="A6124" s="6" t="s">
        <v>2882</v>
      </c>
      <c r="B6124" s="6" t="s">
        <v>63</v>
      </c>
      <c r="C6124" s="6" t="s">
        <v>6754</v>
      </c>
      <c r="D6124" s="6" t="s">
        <v>9</v>
      </c>
      <c r="E6124" s="6" t="s">
        <v>4898</v>
      </c>
      <c r="F6124" s="6">
        <v>9.478697424E9</v>
      </c>
    </row>
    <row r="6125" ht="15.75" customHeight="1">
      <c r="A6125" s="6" t="s">
        <v>6755</v>
      </c>
      <c r="B6125" s="6" t="s">
        <v>5426</v>
      </c>
      <c r="C6125" s="6" t="s">
        <v>6756</v>
      </c>
      <c r="D6125" s="6" t="s">
        <v>56</v>
      </c>
      <c r="E6125" s="6" t="s">
        <v>6757</v>
      </c>
      <c r="F6125" s="6">
        <v>7.904881928E9</v>
      </c>
    </row>
    <row r="6126" ht="15.75" customHeight="1">
      <c r="A6126" s="6" t="s">
        <v>892</v>
      </c>
      <c r="B6126" s="6" t="s">
        <v>5128</v>
      </c>
      <c r="C6126" s="6" t="s">
        <v>6758</v>
      </c>
      <c r="D6126" s="6" t="s">
        <v>14</v>
      </c>
      <c r="E6126" s="6" t="s">
        <v>494</v>
      </c>
      <c r="F6126" s="6">
        <v>9.350319383E9</v>
      </c>
    </row>
    <row r="6127" ht="15.75" customHeight="1">
      <c r="A6127" s="6" t="s">
        <v>6759</v>
      </c>
      <c r="B6127" s="6" t="s">
        <v>4759</v>
      </c>
      <c r="C6127" s="6" t="s">
        <v>6760</v>
      </c>
      <c r="D6127" s="6" t="s">
        <v>56</v>
      </c>
      <c r="E6127" s="6" t="s">
        <v>6761</v>
      </c>
      <c r="F6127" s="6">
        <v>8.168987223E9</v>
      </c>
    </row>
    <row r="6128" ht="15.75" customHeight="1">
      <c r="A6128" s="6" t="s">
        <v>6762</v>
      </c>
      <c r="B6128" s="6" t="s">
        <v>63</v>
      </c>
      <c r="C6128" s="6" t="s">
        <v>6539</v>
      </c>
      <c r="D6128" s="6" t="s">
        <v>44</v>
      </c>
      <c r="E6128" s="6" t="s">
        <v>4571</v>
      </c>
      <c r="F6128" s="6">
        <v>9.414217632E9</v>
      </c>
    </row>
    <row r="6129" ht="15.75" customHeight="1">
      <c r="A6129" s="6" t="s">
        <v>5534</v>
      </c>
      <c r="B6129" s="6" t="s">
        <v>68</v>
      </c>
      <c r="C6129" s="6" t="s">
        <v>6696</v>
      </c>
      <c r="D6129" s="6" t="s">
        <v>14</v>
      </c>
      <c r="E6129" s="6" t="s">
        <v>494</v>
      </c>
      <c r="F6129" s="6">
        <v>8.851475808E9</v>
      </c>
    </row>
    <row r="6130" ht="15.75" customHeight="1">
      <c r="A6130" s="6" t="s">
        <v>856</v>
      </c>
      <c r="B6130" s="6" t="s">
        <v>63</v>
      </c>
      <c r="C6130" s="6" t="s">
        <v>6696</v>
      </c>
      <c r="D6130" s="6" t="s">
        <v>14</v>
      </c>
      <c r="E6130" s="6" t="s">
        <v>494</v>
      </c>
      <c r="F6130" s="6">
        <v>9.354458793E9</v>
      </c>
    </row>
    <row r="6131" ht="15.75" customHeight="1">
      <c r="A6131" s="6" t="s">
        <v>6763</v>
      </c>
      <c r="B6131" s="6" t="s">
        <v>6764</v>
      </c>
      <c r="C6131" s="6" t="s">
        <v>5021</v>
      </c>
      <c r="D6131" s="6" t="s">
        <v>14</v>
      </c>
      <c r="E6131" s="6" t="s">
        <v>1102</v>
      </c>
      <c r="F6131" s="6">
        <v>9.65014258E8</v>
      </c>
    </row>
    <row r="6132" ht="15.75" customHeight="1">
      <c r="A6132" s="6" t="s">
        <v>146</v>
      </c>
      <c r="B6132" s="6" t="s">
        <v>63</v>
      </c>
      <c r="C6132" s="6" t="s">
        <v>6765</v>
      </c>
      <c r="D6132" s="6" t="s">
        <v>56</v>
      </c>
      <c r="E6132" s="6" t="s">
        <v>2025</v>
      </c>
      <c r="F6132" s="6">
        <v>9.871315497E9</v>
      </c>
    </row>
    <row r="6133" ht="15.75" customHeight="1">
      <c r="A6133" s="6" t="s">
        <v>1348</v>
      </c>
      <c r="B6133" s="6" t="s">
        <v>2424</v>
      </c>
      <c r="C6133" s="6" t="s">
        <v>6766</v>
      </c>
      <c r="D6133" s="6" t="s">
        <v>56</v>
      </c>
      <c r="E6133" s="6" t="s">
        <v>4571</v>
      </c>
      <c r="F6133" s="6">
        <v>9.602676488E9</v>
      </c>
    </row>
    <row r="6134" ht="15.75" customHeight="1">
      <c r="A6134" s="6" t="s">
        <v>6767</v>
      </c>
      <c r="B6134" s="6" t="s">
        <v>65</v>
      </c>
      <c r="C6134" s="6" t="s">
        <v>6712</v>
      </c>
      <c r="D6134" s="6" t="s">
        <v>56</v>
      </c>
      <c r="E6134" s="6" t="s">
        <v>4150</v>
      </c>
      <c r="F6134" s="6">
        <v>9.816382425E9</v>
      </c>
    </row>
    <row r="6135" ht="15.75" customHeight="1">
      <c r="A6135" s="6" t="s">
        <v>2664</v>
      </c>
      <c r="B6135" s="6" t="s">
        <v>117</v>
      </c>
      <c r="C6135" s="6" t="s">
        <v>6768</v>
      </c>
      <c r="D6135" s="6" t="s">
        <v>29</v>
      </c>
      <c r="E6135" s="6" t="s">
        <v>4571</v>
      </c>
      <c r="F6135" s="6">
        <v>9.1941334597E11</v>
      </c>
    </row>
    <row r="6136" ht="15.75" customHeight="1">
      <c r="A6136" s="6" t="s">
        <v>6769</v>
      </c>
      <c r="B6136" s="6" t="s">
        <v>3352</v>
      </c>
      <c r="C6136" s="6" t="s">
        <v>6045</v>
      </c>
      <c r="D6136" s="6" t="s">
        <v>14</v>
      </c>
      <c r="E6136" s="6" t="s">
        <v>4571</v>
      </c>
      <c r="F6136" s="6">
        <v>9.950850428E9</v>
      </c>
    </row>
    <row r="6137" ht="15.75" customHeight="1">
      <c r="A6137" s="6" t="s">
        <v>6770</v>
      </c>
      <c r="B6137" s="6" t="s">
        <v>6771</v>
      </c>
      <c r="C6137" s="6" t="s">
        <v>6772</v>
      </c>
      <c r="D6137" s="6" t="s">
        <v>26</v>
      </c>
      <c r="E6137" s="6" t="s">
        <v>2575</v>
      </c>
      <c r="F6137" s="6">
        <v>8.754590313E9</v>
      </c>
    </row>
    <row r="6138" ht="15.75" customHeight="1">
      <c r="A6138" s="6" t="s">
        <v>6350</v>
      </c>
      <c r="B6138" s="6" t="s">
        <v>1090</v>
      </c>
      <c r="C6138" s="6" t="s">
        <v>6773</v>
      </c>
      <c r="D6138" s="6" t="s">
        <v>29</v>
      </c>
      <c r="E6138" s="6" t="s">
        <v>5168</v>
      </c>
      <c r="F6138" s="6">
        <v>7.222013825E9</v>
      </c>
    </row>
    <row r="6139" ht="15.75" customHeight="1">
      <c r="A6139" s="6" t="s">
        <v>4395</v>
      </c>
      <c r="B6139" s="6" t="s">
        <v>63</v>
      </c>
      <c r="C6139" s="6" t="s">
        <v>3790</v>
      </c>
      <c r="D6139" s="6" t="s">
        <v>9</v>
      </c>
      <c r="E6139" s="6" t="s">
        <v>5795</v>
      </c>
      <c r="F6139" s="6">
        <v>6.262437324E9</v>
      </c>
    </row>
    <row r="6140" ht="15.75" customHeight="1">
      <c r="A6140" s="6" t="s">
        <v>6774</v>
      </c>
      <c r="B6140" s="6" t="s">
        <v>2217</v>
      </c>
      <c r="C6140" s="6" t="s">
        <v>6775</v>
      </c>
      <c r="D6140" s="6" t="s">
        <v>26</v>
      </c>
      <c r="E6140" s="6" t="s">
        <v>6776</v>
      </c>
      <c r="F6140" s="6">
        <v>9.518473112E9</v>
      </c>
    </row>
    <row r="6141" ht="15.75" customHeight="1">
      <c r="A6141" s="6" t="s">
        <v>435</v>
      </c>
      <c r="B6141" s="6" t="s">
        <v>337</v>
      </c>
      <c r="C6141" s="6" t="s">
        <v>6539</v>
      </c>
      <c r="D6141" s="6" t="s">
        <v>9</v>
      </c>
      <c r="E6141" s="6" t="s">
        <v>4571</v>
      </c>
      <c r="F6141" s="6">
        <v>7.014796582E9</v>
      </c>
    </row>
    <row r="6142" ht="15.75" customHeight="1">
      <c r="A6142" s="6" t="s">
        <v>1394</v>
      </c>
      <c r="B6142" s="6" t="s">
        <v>308</v>
      </c>
      <c r="C6142" s="6" t="s">
        <v>6319</v>
      </c>
      <c r="D6142" s="6" t="s">
        <v>56</v>
      </c>
      <c r="E6142" s="6" t="s">
        <v>2025</v>
      </c>
      <c r="F6142" s="6">
        <v>7.703875741E9</v>
      </c>
    </row>
    <row r="6143" ht="15.75" customHeight="1">
      <c r="A6143" s="6" t="s">
        <v>6777</v>
      </c>
      <c r="B6143" s="6" t="s">
        <v>6778</v>
      </c>
      <c r="C6143" s="6" t="s">
        <v>6779</v>
      </c>
      <c r="D6143" s="6" t="s">
        <v>26</v>
      </c>
      <c r="E6143" s="6" t="s">
        <v>6591</v>
      </c>
      <c r="F6143" s="6">
        <v>9.829560201E9</v>
      </c>
    </row>
    <row r="6144" ht="15.75" customHeight="1">
      <c r="A6144" s="6" t="s">
        <v>6437</v>
      </c>
      <c r="B6144" s="6" t="s">
        <v>2342</v>
      </c>
      <c r="C6144" s="6" t="s">
        <v>6780</v>
      </c>
      <c r="D6144" s="6" t="s">
        <v>14</v>
      </c>
      <c r="E6144" s="6" t="s">
        <v>4484</v>
      </c>
      <c r="F6144" s="6">
        <v>9.871039258E9</v>
      </c>
    </row>
    <row r="6145" ht="15.75" customHeight="1">
      <c r="A6145" s="6" t="s">
        <v>2894</v>
      </c>
      <c r="B6145" s="6" t="s">
        <v>6781</v>
      </c>
      <c r="C6145" s="6" t="s">
        <v>6782</v>
      </c>
      <c r="D6145" s="6" t="s">
        <v>56</v>
      </c>
      <c r="E6145" s="6" t="s">
        <v>4583</v>
      </c>
      <c r="F6145" s="6">
        <v>7.008116489E9</v>
      </c>
    </row>
    <row r="6146" ht="15.75" customHeight="1">
      <c r="A6146" s="6" t="s">
        <v>1340</v>
      </c>
      <c r="B6146" s="6" t="s">
        <v>55</v>
      </c>
      <c r="C6146" s="6" t="s">
        <v>6783</v>
      </c>
      <c r="D6146" s="6" t="s">
        <v>102</v>
      </c>
      <c r="E6146" s="6" t="s">
        <v>6591</v>
      </c>
      <c r="F6146" s="6">
        <v>8.544693726E9</v>
      </c>
    </row>
    <row r="6147" ht="15.75" customHeight="1">
      <c r="A6147" s="6" t="s">
        <v>144</v>
      </c>
      <c r="B6147" s="6" t="s">
        <v>65</v>
      </c>
      <c r="C6147" s="6" t="s">
        <v>6784</v>
      </c>
      <c r="D6147" s="6" t="s">
        <v>14</v>
      </c>
      <c r="E6147" s="6" t="s">
        <v>6578</v>
      </c>
      <c r="F6147" s="6">
        <v>9.706133386E9</v>
      </c>
    </row>
    <row r="6148" ht="15.75" customHeight="1">
      <c r="A6148" s="6" t="s">
        <v>3773</v>
      </c>
      <c r="B6148" s="6" t="s">
        <v>6785</v>
      </c>
      <c r="C6148" s="6" t="s">
        <v>6786</v>
      </c>
      <c r="D6148" s="6" t="s">
        <v>56</v>
      </c>
      <c r="E6148" s="6" t="s">
        <v>15</v>
      </c>
      <c r="F6148" s="6">
        <v>9.975540546E9</v>
      </c>
    </row>
    <row r="6149" ht="15.75" customHeight="1">
      <c r="A6149" s="6" t="s">
        <v>6787</v>
      </c>
      <c r="B6149" s="6" t="s">
        <v>312</v>
      </c>
      <c r="C6149" s="6" t="s">
        <v>6788</v>
      </c>
      <c r="D6149" s="6" t="s">
        <v>9</v>
      </c>
      <c r="E6149" s="6" t="s">
        <v>6789</v>
      </c>
      <c r="F6149" s="6">
        <v>6.268769075E9</v>
      </c>
    </row>
    <row r="6150" ht="15.75" customHeight="1">
      <c r="A6150" s="6" t="s">
        <v>189</v>
      </c>
      <c r="B6150" s="6" t="s">
        <v>1090</v>
      </c>
      <c r="C6150" s="6" t="s">
        <v>6790</v>
      </c>
      <c r="D6150" s="6" t="s">
        <v>44</v>
      </c>
      <c r="E6150" s="6" t="s">
        <v>6791</v>
      </c>
      <c r="F6150" s="6">
        <v>7.978697173E9</v>
      </c>
    </row>
    <row r="6151" ht="15.75" customHeight="1">
      <c r="A6151" s="6" t="s">
        <v>1052</v>
      </c>
      <c r="B6151" s="6" t="s">
        <v>508</v>
      </c>
      <c r="C6151" s="6" t="s">
        <v>6792</v>
      </c>
      <c r="D6151" s="6" t="s">
        <v>29</v>
      </c>
      <c r="E6151" s="6" t="s">
        <v>6793</v>
      </c>
      <c r="F6151" s="6">
        <v>7.585065165E9</v>
      </c>
    </row>
    <row r="6152" ht="15.75" customHeight="1">
      <c r="A6152" s="6" t="s">
        <v>6794</v>
      </c>
      <c r="B6152" s="6" t="s">
        <v>6795</v>
      </c>
      <c r="C6152" s="6" t="s">
        <v>6796</v>
      </c>
      <c r="D6152" s="6" t="s">
        <v>29</v>
      </c>
      <c r="E6152" s="6" t="s">
        <v>6797</v>
      </c>
      <c r="F6152" s="6">
        <v>9.366862585E9</v>
      </c>
    </row>
    <row r="6153" ht="15.75" customHeight="1">
      <c r="A6153" s="6" t="s">
        <v>6798</v>
      </c>
      <c r="B6153" s="6" t="s">
        <v>1658</v>
      </c>
      <c r="C6153" s="6" t="s">
        <v>4334</v>
      </c>
      <c r="D6153" s="6" t="s">
        <v>26</v>
      </c>
      <c r="E6153" s="6" t="s">
        <v>2025</v>
      </c>
      <c r="F6153" s="6" t="str">
        <f>+91 92059 77372</f>
        <v>#ERROR!</v>
      </c>
    </row>
    <row r="6154" ht="15.75" customHeight="1">
      <c r="A6154" s="6" t="s">
        <v>1260</v>
      </c>
      <c r="B6154" s="6" t="s">
        <v>930</v>
      </c>
      <c r="C6154" s="6" t="s">
        <v>6799</v>
      </c>
      <c r="D6154" s="6" t="s">
        <v>26</v>
      </c>
      <c r="E6154" s="6" t="s">
        <v>1102</v>
      </c>
      <c r="F6154" s="6">
        <v>9.891029414E9</v>
      </c>
    </row>
    <row r="6155" ht="15.75" customHeight="1">
      <c r="A6155" s="6" t="s">
        <v>6800</v>
      </c>
      <c r="B6155" s="6" t="s">
        <v>4791</v>
      </c>
      <c r="C6155" s="6" t="s">
        <v>6801</v>
      </c>
      <c r="D6155" s="6" t="s">
        <v>9</v>
      </c>
      <c r="E6155" s="6" t="s">
        <v>6578</v>
      </c>
      <c r="F6155" s="6">
        <v>8.761810611E9</v>
      </c>
    </row>
    <row r="6156" ht="15.75" customHeight="1">
      <c r="A6156" s="6" t="s">
        <v>6802</v>
      </c>
      <c r="B6156" s="6" t="s">
        <v>6803</v>
      </c>
      <c r="C6156" s="6" t="s">
        <v>6804</v>
      </c>
      <c r="D6156" s="6" t="s">
        <v>102</v>
      </c>
      <c r="E6156" s="6" t="s">
        <v>6805</v>
      </c>
      <c r="F6156" s="6">
        <v>7.085757678E9</v>
      </c>
    </row>
    <row r="6157" ht="15.75" customHeight="1">
      <c r="A6157" s="6" t="s">
        <v>272</v>
      </c>
      <c r="B6157" s="6" t="s">
        <v>65</v>
      </c>
      <c r="C6157" s="6" t="s">
        <v>6806</v>
      </c>
      <c r="D6157" s="6" t="s">
        <v>29</v>
      </c>
      <c r="E6157" s="6" t="s">
        <v>6370</v>
      </c>
      <c r="F6157" s="6">
        <v>6.239766977E9</v>
      </c>
    </row>
    <row r="6158" ht="15.75" customHeight="1">
      <c r="A6158" s="6" t="s">
        <v>2399</v>
      </c>
      <c r="B6158" s="6" t="s">
        <v>5122</v>
      </c>
      <c r="C6158" s="6" t="s">
        <v>6500</v>
      </c>
      <c r="D6158" s="6" t="s">
        <v>26</v>
      </c>
      <c r="E6158" s="6" t="s">
        <v>6296</v>
      </c>
      <c r="F6158" s="6">
        <v>9.897957162E9</v>
      </c>
    </row>
    <row r="6159" ht="15.75" customHeight="1">
      <c r="A6159" s="6" t="s">
        <v>4085</v>
      </c>
      <c r="B6159" s="6" t="s">
        <v>108</v>
      </c>
      <c r="C6159" s="6" t="s">
        <v>6799</v>
      </c>
      <c r="D6159" s="6" t="s">
        <v>56</v>
      </c>
      <c r="E6159" s="6" t="s">
        <v>1095</v>
      </c>
      <c r="F6159" s="6">
        <v>8.076315049E9</v>
      </c>
    </row>
    <row r="6160" ht="15.75" customHeight="1">
      <c r="A6160" s="6" t="s">
        <v>6807</v>
      </c>
      <c r="B6160" s="6" t="s">
        <v>6808</v>
      </c>
      <c r="C6160" s="6" t="s">
        <v>4334</v>
      </c>
      <c r="D6160" s="6" t="s">
        <v>26</v>
      </c>
      <c r="E6160" s="6" t="s">
        <v>2025</v>
      </c>
      <c r="F6160" s="6">
        <v>8.851553179E9</v>
      </c>
    </row>
    <row r="6161" ht="15.75" customHeight="1">
      <c r="A6161" s="6" t="s">
        <v>6809</v>
      </c>
      <c r="B6161" s="6" t="s">
        <v>4401</v>
      </c>
      <c r="C6161" s="6" t="s">
        <v>6810</v>
      </c>
      <c r="D6161" s="6" t="s">
        <v>29</v>
      </c>
      <c r="E6161" s="6" t="s">
        <v>6811</v>
      </c>
      <c r="F6161" s="6">
        <v>9.875581926E9</v>
      </c>
    </row>
    <row r="6162" ht="15.75" customHeight="1">
      <c r="A6162" s="6" t="s">
        <v>5918</v>
      </c>
      <c r="B6162" s="6" t="s">
        <v>112</v>
      </c>
      <c r="C6162" s="6" t="s">
        <v>6812</v>
      </c>
      <c r="D6162" s="6" t="s">
        <v>44</v>
      </c>
      <c r="E6162" s="6" t="s">
        <v>6813</v>
      </c>
      <c r="F6162" s="6">
        <v>9.706222387E9</v>
      </c>
    </row>
    <row r="6163" ht="15.75" customHeight="1">
      <c r="A6163" s="6" t="s">
        <v>6814</v>
      </c>
      <c r="B6163" s="6" t="s">
        <v>6815</v>
      </c>
      <c r="C6163" s="6" t="s">
        <v>6816</v>
      </c>
      <c r="D6163" s="6" t="s">
        <v>29</v>
      </c>
      <c r="E6163" s="6" t="s">
        <v>6817</v>
      </c>
      <c r="F6163" s="6">
        <v>7.08540033E9</v>
      </c>
    </row>
    <row r="6164" ht="15.75" customHeight="1">
      <c r="A6164" s="6" t="s">
        <v>6818</v>
      </c>
      <c r="B6164" s="6" t="s">
        <v>6819</v>
      </c>
      <c r="C6164" s="6" t="s">
        <v>6820</v>
      </c>
      <c r="D6164" s="6" t="s">
        <v>29</v>
      </c>
      <c r="E6164" s="6" t="s">
        <v>6037</v>
      </c>
      <c r="F6164" s="6">
        <v>9.626422742E9</v>
      </c>
    </row>
    <row r="6165" ht="15.75" customHeight="1">
      <c r="A6165" s="6" t="s">
        <v>6821</v>
      </c>
      <c r="B6165" s="6" t="s">
        <v>6822</v>
      </c>
      <c r="C6165" s="6" t="s">
        <v>6712</v>
      </c>
      <c r="D6165" s="6" t="s">
        <v>26</v>
      </c>
      <c r="E6165" s="6" t="s">
        <v>6823</v>
      </c>
      <c r="F6165" s="6">
        <v>8.629029242E9</v>
      </c>
    </row>
    <row r="6166" ht="15.75" customHeight="1">
      <c r="A6166" s="6" t="s">
        <v>996</v>
      </c>
      <c r="B6166" s="6" t="s">
        <v>225</v>
      </c>
      <c r="C6166" s="6" t="s">
        <v>6824</v>
      </c>
      <c r="D6166" s="6" t="s">
        <v>9</v>
      </c>
      <c r="E6166" s="6" t="s">
        <v>6825</v>
      </c>
      <c r="F6166" s="6">
        <v>9.8181044E9</v>
      </c>
    </row>
    <row r="6167" ht="15.75" customHeight="1">
      <c r="A6167" s="6" t="s">
        <v>3580</v>
      </c>
      <c r="B6167" s="6" t="s">
        <v>1850</v>
      </c>
      <c r="C6167" s="6" t="s">
        <v>6649</v>
      </c>
      <c r="D6167" s="6" t="s">
        <v>44</v>
      </c>
      <c r="E6167" s="6" t="s">
        <v>6578</v>
      </c>
      <c r="F6167" s="6">
        <v>7.66201119E9</v>
      </c>
    </row>
    <row r="6168" ht="15.75" customHeight="1">
      <c r="A6168" s="6" t="s">
        <v>6826</v>
      </c>
      <c r="B6168" s="6" t="s">
        <v>6827</v>
      </c>
      <c r="C6168" s="6" t="s">
        <v>6649</v>
      </c>
      <c r="D6168" s="6" t="s">
        <v>44</v>
      </c>
      <c r="E6168" s="6" t="s">
        <v>6828</v>
      </c>
      <c r="F6168" s="6">
        <v>7.086525175E9</v>
      </c>
    </row>
    <row r="6169" ht="15.75" customHeight="1">
      <c r="A6169" s="6" t="s">
        <v>49</v>
      </c>
      <c r="B6169" s="6" t="s">
        <v>1999</v>
      </c>
      <c r="C6169" s="6" t="s">
        <v>6829</v>
      </c>
      <c r="D6169" s="6" t="s">
        <v>26</v>
      </c>
      <c r="E6169" s="6" t="s">
        <v>6830</v>
      </c>
      <c r="F6169" s="6">
        <v>8.19109209E9</v>
      </c>
    </row>
    <row r="6170" ht="15.75" customHeight="1">
      <c r="A6170" s="6" t="s">
        <v>6831</v>
      </c>
      <c r="B6170" s="6" t="s">
        <v>5997</v>
      </c>
      <c r="C6170" s="6" t="s">
        <v>6832</v>
      </c>
      <c r="D6170" s="6" t="s">
        <v>102</v>
      </c>
      <c r="E6170" s="6" t="s">
        <v>6833</v>
      </c>
      <c r="F6170" s="6">
        <v>9.003686535E9</v>
      </c>
    </row>
    <row r="6171" ht="15.75" customHeight="1">
      <c r="A6171" s="6" t="s">
        <v>6834</v>
      </c>
      <c r="B6171" s="6" t="s">
        <v>6835</v>
      </c>
      <c r="C6171" s="6" t="s">
        <v>6645</v>
      </c>
      <c r="D6171" s="6" t="s">
        <v>44</v>
      </c>
      <c r="E6171" s="6" t="s">
        <v>6836</v>
      </c>
      <c r="F6171" s="6">
        <v>7.099671797E9</v>
      </c>
    </row>
    <row r="6172" ht="15.75" customHeight="1">
      <c r="A6172" s="6" t="s">
        <v>6837</v>
      </c>
      <c r="B6172" s="6" t="s">
        <v>4840</v>
      </c>
      <c r="C6172" s="6" t="s">
        <v>6838</v>
      </c>
      <c r="D6172" s="6" t="s">
        <v>44</v>
      </c>
      <c r="E6172" s="6" t="s">
        <v>2025</v>
      </c>
      <c r="F6172" s="6">
        <v>9.311069258E9</v>
      </c>
    </row>
    <row r="6173" ht="15.75" customHeight="1">
      <c r="A6173" s="6" t="s">
        <v>479</v>
      </c>
      <c r="B6173" s="6" t="s">
        <v>68</v>
      </c>
      <c r="C6173" s="6" t="s">
        <v>4334</v>
      </c>
      <c r="D6173" s="6" t="s">
        <v>9</v>
      </c>
      <c r="E6173" s="6" t="s">
        <v>2025</v>
      </c>
      <c r="F6173" s="6">
        <v>9.31055553E9</v>
      </c>
    </row>
    <row r="6174" ht="15.75" customHeight="1">
      <c r="A6174" s="6" t="s">
        <v>6839</v>
      </c>
      <c r="B6174" s="6" t="s">
        <v>3394</v>
      </c>
      <c r="C6174" s="6" t="s">
        <v>6840</v>
      </c>
      <c r="D6174" s="6" t="s">
        <v>44</v>
      </c>
      <c r="E6174" s="6" t="s">
        <v>4571</v>
      </c>
      <c r="F6174" s="6">
        <v>9.680810249E9</v>
      </c>
    </row>
    <row r="6175" ht="15.75" customHeight="1">
      <c r="A6175" s="6" t="s">
        <v>526</v>
      </c>
      <c r="B6175" s="6" t="s">
        <v>5633</v>
      </c>
      <c r="C6175" s="6" t="s">
        <v>4334</v>
      </c>
      <c r="D6175" s="6" t="s">
        <v>26</v>
      </c>
      <c r="E6175" s="6" t="s">
        <v>2025</v>
      </c>
      <c r="F6175" s="6">
        <v>8.1303186E9</v>
      </c>
    </row>
    <row r="6176" ht="15.75" customHeight="1">
      <c r="A6176" s="6" t="s">
        <v>6841</v>
      </c>
      <c r="B6176" s="6" t="s">
        <v>1999</v>
      </c>
      <c r="C6176" s="6" t="s">
        <v>6842</v>
      </c>
      <c r="D6176" s="6" t="s">
        <v>56</v>
      </c>
      <c r="E6176" s="6" t="s">
        <v>6843</v>
      </c>
      <c r="F6176" s="6">
        <v>9.30432472E9</v>
      </c>
    </row>
    <row r="6177" ht="15.75" customHeight="1">
      <c r="A6177" s="6" t="s">
        <v>1767</v>
      </c>
      <c r="B6177" s="6" t="s">
        <v>55</v>
      </c>
      <c r="C6177" s="6" t="s">
        <v>6844</v>
      </c>
      <c r="D6177" s="6" t="s">
        <v>26</v>
      </c>
      <c r="E6177" s="6" t="s">
        <v>6845</v>
      </c>
      <c r="F6177" s="6">
        <v>9.30418117E9</v>
      </c>
    </row>
    <row r="6178" ht="15.75" customHeight="1">
      <c r="A6178" s="6" t="s">
        <v>6846</v>
      </c>
      <c r="B6178" s="6" t="s">
        <v>6847</v>
      </c>
      <c r="C6178" s="6" t="s">
        <v>6848</v>
      </c>
      <c r="D6178" s="6" t="s">
        <v>9</v>
      </c>
      <c r="E6178" s="6" t="s">
        <v>6849</v>
      </c>
      <c r="F6178" s="6">
        <v>9.653096013E9</v>
      </c>
    </row>
    <row r="6179" ht="15.75" customHeight="1">
      <c r="A6179" s="6" t="s">
        <v>131</v>
      </c>
      <c r="B6179" s="6" t="s">
        <v>6850</v>
      </c>
      <c r="C6179" s="6" t="s">
        <v>6851</v>
      </c>
      <c r="D6179" s="6" t="s">
        <v>44</v>
      </c>
      <c r="E6179" s="6" t="s">
        <v>6504</v>
      </c>
      <c r="F6179" s="6">
        <v>9.917620637E9</v>
      </c>
    </row>
    <row r="6180" ht="15.75" customHeight="1">
      <c r="A6180" s="6" t="s">
        <v>795</v>
      </c>
      <c r="B6180" s="6" t="s">
        <v>50</v>
      </c>
      <c r="C6180" s="6" t="s">
        <v>6852</v>
      </c>
      <c r="D6180" s="6" t="s">
        <v>44</v>
      </c>
      <c r="E6180" s="6" t="s">
        <v>6853</v>
      </c>
      <c r="F6180" s="6">
        <v>8.709807753E9</v>
      </c>
    </row>
    <row r="6181" ht="15.75" customHeight="1">
      <c r="A6181" s="6" t="s">
        <v>6854</v>
      </c>
      <c r="B6181" s="6" t="s">
        <v>1239</v>
      </c>
      <c r="C6181" s="6" t="s">
        <v>6712</v>
      </c>
      <c r="D6181" s="6" t="s">
        <v>9</v>
      </c>
      <c r="E6181" s="6" t="s">
        <v>6855</v>
      </c>
      <c r="F6181" s="6">
        <v>9.81707935E9</v>
      </c>
    </row>
    <row r="6182" ht="15.75" customHeight="1">
      <c r="A6182" s="6" t="s">
        <v>6856</v>
      </c>
      <c r="B6182" s="6" t="s">
        <v>6857</v>
      </c>
      <c r="C6182" s="6" t="s">
        <v>6858</v>
      </c>
      <c r="D6182" s="6" t="s">
        <v>56</v>
      </c>
      <c r="E6182" s="6" t="s">
        <v>6757</v>
      </c>
      <c r="F6182" s="6">
        <v>9.865268789E9</v>
      </c>
    </row>
    <row r="6183" ht="15.75" customHeight="1">
      <c r="A6183" s="6" t="s">
        <v>1394</v>
      </c>
      <c r="B6183" s="6" t="s">
        <v>1672</v>
      </c>
      <c r="C6183" s="6" t="s">
        <v>412</v>
      </c>
      <c r="D6183" s="6" t="s">
        <v>56</v>
      </c>
      <c r="E6183" s="6" t="s">
        <v>4276</v>
      </c>
      <c r="F6183" s="6">
        <v>9.187438728E9</v>
      </c>
    </row>
    <row r="6184" ht="15.75" customHeight="1">
      <c r="A6184" s="6" t="s">
        <v>5833</v>
      </c>
      <c r="B6184" s="6" t="s">
        <v>2761</v>
      </c>
      <c r="C6184" s="6" t="s">
        <v>6859</v>
      </c>
      <c r="D6184" s="6" t="s">
        <v>44</v>
      </c>
      <c r="E6184" s="6" t="s">
        <v>5281</v>
      </c>
      <c r="F6184" s="6">
        <v>9.307066865E9</v>
      </c>
    </row>
    <row r="6185" ht="15.75" customHeight="1">
      <c r="A6185" s="6" t="s">
        <v>6860</v>
      </c>
      <c r="B6185" s="6" t="s">
        <v>1265</v>
      </c>
      <c r="C6185" s="6" t="s">
        <v>6810</v>
      </c>
      <c r="D6185" s="6" t="s">
        <v>29</v>
      </c>
      <c r="E6185" s="6" t="s">
        <v>2115</v>
      </c>
      <c r="F6185" s="6">
        <v>9.330327346E9</v>
      </c>
    </row>
    <row r="6186" ht="15.75" customHeight="1">
      <c r="A6186" s="6" t="s">
        <v>6861</v>
      </c>
      <c r="B6186" s="6" t="s">
        <v>6862</v>
      </c>
      <c r="C6186" s="6" t="s">
        <v>6863</v>
      </c>
      <c r="D6186" s="6" t="s">
        <v>56</v>
      </c>
      <c r="E6186" s="6" t="s">
        <v>6864</v>
      </c>
      <c r="F6186" s="6">
        <v>9.954838721E9</v>
      </c>
    </row>
    <row r="6187" ht="15.75" customHeight="1">
      <c r="A6187" s="6" t="s">
        <v>6865</v>
      </c>
      <c r="B6187" s="6" t="s">
        <v>6866</v>
      </c>
      <c r="C6187" s="6" t="s">
        <v>6712</v>
      </c>
      <c r="D6187" s="6" t="s">
        <v>9</v>
      </c>
      <c r="E6187" s="6" t="s">
        <v>6302</v>
      </c>
      <c r="F6187" s="6">
        <v>7.876068371E9</v>
      </c>
    </row>
    <row r="6188" ht="15.75" customHeight="1">
      <c r="A6188" s="6" t="s">
        <v>2592</v>
      </c>
      <c r="B6188" s="6" t="s">
        <v>6269</v>
      </c>
      <c r="C6188" s="6" t="s">
        <v>5304</v>
      </c>
      <c r="D6188" s="6" t="s">
        <v>44</v>
      </c>
      <c r="E6188" s="6" t="s">
        <v>1102</v>
      </c>
      <c r="F6188" s="6">
        <v>9.810628267E9</v>
      </c>
    </row>
    <row r="6189" ht="15.75" customHeight="1">
      <c r="A6189" s="6" t="s">
        <v>6867</v>
      </c>
      <c r="B6189" s="6" t="s">
        <v>1575</v>
      </c>
      <c r="C6189" s="6" t="s">
        <v>6868</v>
      </c>
      <c r="D6189" s="6" t="s">
        <v>26</v>
      </c>
      <c r="E6189" s="6" t="s">
        <v>6869</v>
      </c>
      <c r="F6189" s="6">
        <v>9.014709853E9</v>
      </c>
    </row>
    <row r="6190" ht="15.75" customHeight="1">
      <c r="A6190" s="6" t="s">
        <v>6870</v>
      </c>
      <c r="B6190" s="6" t="s">
        <v>6871</v>
      </c>
      <c r="C6190" s="6" t="s">
        <v>5897</v>
      </c>
      <c r="D6190" s="6" t="s">
        <v>14</v>
      </c>
      <c r="E6190" s="6" t="s">
        <v>6872</v>
      </c>
      <c r="F6190" s="6">
        <v>9.188810226E9</v>
      </c>
    </row>
    <row r="6191" ht="15.75" customHeight="1">
      <c r="A6191" s="6" t="s">
        <v>122</v>
      </c>
      <c r="B6191" s="6" t="s">
        <v>50</v>
      </c>
      <c r="C6191" s="6" t="s">
        <v>6873</v>
      </c>
      <c r="D6191" s="6" t="s">
        <v>26</v>
      </c>
      <c r="E6191" s="6" t="s">
        <v>3105</v>
      </c>
      <c r="F6191" s="6">
        <v>6.361668857E9</v>
      </c>
    </row>
    <row r="6192" ht="15.75" customHeight="1">
      <c r="A6192" s="6" t="s">
        <v>1348</v>
      </c>
      <c r="B6192" s="6" t="s">
        <v>6874</v>
      </c>
      <c r="C6192" s="6" t="s">
        <v>6875</v>
      </c>
      <c r="D6192" s="6" t="s">
        <v>44</v>
      </c>
      <c r="E6192" s="6" t="s">
        <v>6876</v>
      </c>
      <c r="F6192" s="6">
        <v>7.814215181E9</v>
      </c>
    </row>
    <row r="6193" ht="15.75" customHeight="1">
      <c r="A6193" s="6" t="s">
        <v>6222</v>
      </c>
      <c r="B6193" s="6" t="s">
        <v>6877</v>
      </c>
      <c r="C6193" s="6" t="s">
        <v>6878</v>
      </c>
      <c r="D6193" s="6" t="s">
        <v>29</v>
      </c>
      <c r="E6193" s="6" t="s">
        <v>6879</v>
      </c>
      <c r="F6193" s="6">
        <v>8.894824816E9</v>
      </c>
    </row>
    <row r="6194" ht="15.75" customHeight="1">
      <c r="A6194" s="6" t="s">
        <v>189</v>
      </c>
      <c r="B6194" s="6" t="s">
        <v>654</v>
      </c>
      <c r="C6194" s="6" t="s">
        <v>6878</v>
      </c>
      <c r="D6194" s="6" t="s">
        <v>9</v>
      </c>
      <c r="E6194" s="6" t="s">
        <v>6880</v>
      </c>
      <c r="F6194" s="6">
        <v>7.807030174E9</v>
      </c>
    </row>
    <row r="6195" ht="15.75" customHeight="1">
      <c r="A6195" s="6" t="s">
        <v>486</v>
      </c>
      <c r="B6195" s="6" t="s">
        <v>1407</v>
      </c>
      <c r="C6195" s="6" t="s">
        <v>6878</v>
      </c>
      <c r="D6195" s="6" t="s">
        <v>56</v>
      </c>
      <c r="E6195" s="6" t="s">
        <v>6881</v>
      </c>
      <c r="F6195" s="6">
        <v>6.20297714E9</v>
      </c>
    </row>
    <row r="6196" ht="15.75" customHeight="1">
      <c r="A6196" s="6" t="s">
        <v>2363</v>
      </c>
      <c r="B6196" s="6" t="s">
        <v>6882</v>
      </c>
      <c r="C6196" s="6" t="s">
        <v>6883</v>
      </c>
      <c r="D6196" s="6" t="s">
        <v>44</v>
      </c>
      <c r="E6196" s="6" t="s">
        <v>5968</v>
      </c>
      <c r="F6196" s="6">
        <v>7.350403001E9</v>
      </c>
    </row>
    <row r="6197" ht="15.75" customHeight="1">
      <c r="A6197" s="6" t="s">
        <v>6884</v>
      </c>
      <c r="B6197" s="6" t="s">
        <v>120</v>
      </c>
      <c r="C6197" s="6" t="s">
        <v>6885</v>
      </c>
      <c r="D6197" s="6" t="s">
        <v>56</v>
      </c>
      <c r="E6197" s="6" t="s">
        <v>6886</v>
      </c>
      <c r="F6197" s="6">
        <v>9.969276149E9</v>
      </c>
    </row>
    <row r="6198" ht="15.75" customHeight="1">
      <c r="A6198" s="6" t="s">
        <v>6887</v>
      </c>
      <c r="B6198" s="6" t="s">
        <v>2612</v>
      </c>
      <c r="C6198" s="6" t="s">
        <v>6888</v>
      </c>
      <c r="D6198" s="6" t="s">
        <v>14</v>
      </c>
      <c r="E6198" s="6" t="s">
        <v>434</v>
      </c>
      <c r="F6198" s="6">
        <v>9.594495474E9</v>
      </c>
    </row>
    <row r="6199" ht="15.75" customHeight="1">
      <c r="A6199" s="6" t="s">
        <v>262</v>
      </c>
      <c r="B6199" s="6" t="s">
        <v>6889</v>
      </c>
      <c r="C6199" s="6" t="s">
        <v>6687</v>
      </c>
      <c r="D6199" s="6" t="s">
        <v>56</v>
      </c>
      <c r="E6199" s="6" t="s">
        <v>6587</v>
      </c>
      <c r="F6199" s="6">
        <v>9.7658821533E10</v>
      </c>
    </row>
    <row r="6200" ht="15.75" customHeight="1">
      <c r="A6200" s="6" t="s">
        <v>3751</v>
      </c>
      <c r="B6200" s="6" t="s">
        <v>4840</v>
      </c>
      <c r="C6200" s="6" t="s">
        <v>6890</v>
      </c>
      <c r="D6200" s="6" t="s">
        <v>56</v>
      </c>
      <c r="E6200" s="6" t="s">
        <v>6891</v>
      </c>
      <c r="F6200" s="6">
        <v>7.888868677E9</v>
      </c>
    </row>
    <row r="6201" ht="15.75" customHeight="1">
      <c r="A6201" s="6" t="s">
        <v>6892</v>
      </c>
      <c r="B6201" s="6" t="s">
        <v>6893</v>
      </c>
      <c r="C6201" s="6" t="s">
        <v>6894</v>
      </c>
      <c r="D6201" s="6" t="s">
        <v>26</v>
      </c>
      <c r="E6201" s="6" t="s">
        <v>6309</v>
      </c>
      <c r="F6201" s="6">
        <v>8.078024412E9</v>
      </c>
    </row>
    <row r="6202" ht="15.75" customHeight="1">
      <c r="A6202" s="6" t="s">
        <v>6895</v>
      </c>
      <c r="B6202" s="6" t="s">
        <v>5426</v>
      </c>
      <c r="C6202" s="6" t="s">
        <v>6896</v>
      </c>
      <c r="D6202" s="6" t="s">
        <v>44</v>
      </c>
      <c r="E6202" s="6" t="s">
        <v>6897</v>
      </c>
      <c r="F6202" s="6">
        <v>7.89916036E9</v>
      </c>
    </row>
    <row r="6203" ht="15.75" customHeight="1">
      <c r="A6203" s="6" t="s">
        <v>381</v>
      </c>
      <c r="B6203" s="6" t="s">
        <v>6898</v>
      </c>
      <c r="C6203" s="6" t="s">
        <v>6899</v>
      </c>
      <c r="D6203" s="6" t="s">
        <v>56</v>
      </c>
      <c r="E6203" s="6" t="s">
        <v>6587</v>
      </c>
      <c r="F6203" s="6">
        <v>9.37167207E9</v>
      </c>
    </row>
    <row r="6204" ht="15.75" customHeight="1">
      <c r="A6204" s="6" t="s">
        <v>6900</v>
      </c>
      <c r="B6204" s="6" t="s">
        <v>63</v>
      </c>
      <c r="C6204" s="6" t="s">
        <v>6901</v>
      </c>
      <c r="D6204" s="6" t="s">
        <v>26</v>
      </c>
      <c r="E6204" s="6" t="s">
        <v>4429</v>
      </c>
      <c r="F6204" s="6">
        <v>9.608835471E9</v>
      </c>
    </row>
    <row r="6205" ht="15.75" customHeight="1">
      <c r="A6205" s="6" t="s">
        <v>141</v>
      </c>
      <c r="B6205" s="6" t="s">
        <v>50</v>
      </c>
      <c r="C6205" s="6" t="s">
        <v>6902</v>
      </c>
      <c r="D6205" s="6" t="s">
        <v>56</v>
      </c>
      <c r="E6205" s="6" t="s">
        <v>4429</v>
      </c>
      <c r="F6205" s="6">
        <v>8.210641047E9</v>
      </c>
    </row>
    <row r="6206" ht="15.75" customHeight="1">
      <c r="A6206" s="6" t="s">
        <v>6903</v>
      </c>
      <c r="B6206" s="6" t="s">
        <v>5797</v>
      </c>
      <c r="C6206" s="6" t="s">
        <v>6904</v>
      </c>
      <c r="D6206" s="6" t="s">
        <v>56</v>
      </c>
      <c r="E6206" s="6" t="s">
        <v>5230</v>
      </c>
      <c r="F6206" s="6">
        <v>7.59886726E9</v>
      </c>
    </row>
    <row r="6207" ht="15.75" customHeight="1">
      <c r="A6207" s="6" t="s">
        <v>6905</v>
      </c>
      <c r="B6207" s="6" t="s">
        <v>4492</v>
      </c>
      <c r="C6207" s="6" t="s">
        <v>5063</v>
      </c>
      <c r="D6207" s="6" t="s">
        <v>102</v>
      </c>
      <c r="E6207" s="6" t="s">
        <v>434</v>
      </c>
      <c r="F6207" s="6">
        <v>1.23456789E9</v>
      </c>
    </row>
    <row r="6208" ht="15.75" customHeight="1">
      <c r="A6208" s="6" t="s">
        <v>511</v>
      </c>
      <c r="B6208" s="6" t="s">
        <v>4127</v>
      </c>
      <c r="C6208" s="6" t="s">
        <v>5063</v>
      </c>
      <c r="D6208" s="6" t="s">
        <v>9</v>
      </c>
      <c r="E6208" s="6" t="s">
        <v>434</v>
      </c>
      <c r="F6208" s="6">
        <v>7.400281899E9</v>
      </c>
    </row>
    <row r="6209" ht="15.75" customHeight="1">
      <c r="A6209" s="8" t="s">
        <v>5591</v>
      </c>
      <c r="B6209" s="8" t="s">
        <v>4737</v>
      </c>
      <c r="C6209" s="8" t="s">
        <v>3322</v>
      </c>
      <c r="D6209" s="8" t="s">
        <v>44</v>
      </c>
      <c r="E6209" s="8" t="s">
        <v>5592</v>
      </c>
      <c r="F6209" s="8" t="str">
        <f>+91 9619919246</f>
        <v>#ERROR!</v>
      </c>
    </row>
    <row r="6210" ht="15.75" customHeight="1">
      <c r="A6210" s="8" t="s">
        <v>4514</v>
      </c>
      <c r="B6210" s="8" t="s">
        <v>4515</v>
      </c>
      <c r="C6210" s="8" t="s">
        <v>4516</v>
      </c>
      <c r="D6210" s="8" t="s">
        <v>29</v>
      </c>
      <c r="E6210" s="8" t="s">
        <v>4517</v>
      </c>
      <c r="F6210" s="8">
        <v>7.21494022E8</v>
      </c>
    </row>
    <row r="6211" ht="15.75" customHeight="1">
      <c r="A6211" s="8" t="s">
        <v>4533</v>
      </c>
      <c r="B6211" s="8" t="s">
        <v>4534</v>
      </c>
      <c r="C6211" s="8" t="s">
        <v>4535</v>
      </c>
      <c r="D6211" s="8" t="s">
        <v>56</v>
      </c>
      <c r="E6211" s="8" t="s">
        <v>4536</v>
      </c>
      <c r="F6211" s="8">
        <f>+972545819225</f>
        <v>972545819225</v>
      </c>
    </row>
    <row r="6212" ht="15.75" customHeight="1">
      <c r="A6212" s="8" t="s">
        <v>5157</v>
      </c>
      <c r="B6212" s="8" t="s">
        <v>3237</v>
      </c>
      <c r="C6212" s="8" t="s">
        <v>5158</v>
      </c>
      <c r="D6212" s="8" t="s">
        <v>14</v>
      </c>
      <c r="E6212" s="8" t="s">
        <v>5159</v>
      </c>
      <c r="F6212" s="8" t="str">
        <f>+91 7032313363</f>
        <v>#ERROR!</v>
      </c>
    </row>
    <row r="6213" ht="15.75" customHeight="1">
      <c r="A6213" s="8" t="s">
        <v>4541</v>
      </c>
      <c r="B6213" s="8" t="s">
        <v>4542</v>
      </c>
      <c r="C6213" s="8" t="s">
        <v>493</v>
      </c>
      <c r="D6213" s="8" t="s">
        <v>26</v>
      </c>
      <c r="E6213" s="8" t="s">
        <v>1102</v>
      </c>
      <c r="F6213" s="8">
        <v>9.355445013E9</v>
      </c>
    </row>
    <row r="6214" ht="15.75" customHeight="1">
      <c r="A6214" s="8" t="s">
        <v>3653</v>
      </c>
      <c r="B6214" s="8" t="s">
        <v>108</v>
      </c>
      <c r="C6214" s="8" t="s">
        <v>4578</v>
      </c>
      <c r="D6214" s="8" t="s">
        <v>29</v>
      </c>
      <c r="E6214" s="8" t="s">
        <v>4579</v>
      </c>
      <c r="F6214" s="8">
        <v>8.306709022E9</v>
      </c>
    </row>
    <row r="6215" ht="15.75" customHeight="1">
      <c r="A6215" s="8" t="s">
        <v>125</v>
      </c>
      <c r="B6215" s="8" t="s">
        <v>5703</v>
      </c>
      <c r="C6215" s="8" t="s">
        <v>1818</v>
      </c>
      <c r="D6215" s="8" t="s">
        <v>9</v>
      </c>
      <c r="E6215" s="8" t="s">
        <v>434</v>
      </c>
      <c r="F6215" s="8">
        <v>9.324632115E9</v>
      </c>
    </row>
    <row r="6216" ht="15.75" customHeight="1">
      <c r="A6216" s="8" t="s">
        <v>5428</v>
      </c>
      <c r="B6216" s="8" t="s">
        <v>65</v>
      </c>
      <c r="C6216" s="8" t="s">
        <v>5429</v>
      </c>
      <c r="D6216" s="8" t="s">
        <v>44</v>
      </c>
      <c r="E6216" s="8" t="s">
        <v>5408</v>
      </c>
      <c r="F6216" s="8" t="str">
        <f>+91 94630 61297</f>
        <v>#ERROR!</v>
      </c>
    </row>
    <row r="6217" ht="15.75" customHeight="1">
      <c r="A6217" s="8" t="s">
        <v>4888</v>
      </c>
      <c r="B6217" s="8" t="s">
        <v>4889</v>
      </c>
      <c r="C6217" s="8" t="s">
        <v>4935</v>
      </c>
      <c r="D6217" s="8" t="s">
        <v>14</v>
      </c>
      <c r="E6217" s="8" t="s">
        <v>4891</v>
      </c>
      <c r="F6217" s="8">
        <v>9.6429809E9</v>
      </c>
    </row>
    <row r="6218" ht="15.75" customHeight="1">
      <c r="A6218" s="8" t="s">
        <v>67</v>
      </c>
      <c r="B6218" s="8" t="s">
        <v>1658</v>
      </c>
      <c r="C6218" s="8" t="s">
        <v>4483</v>
      </c>
      <c r="D6218" s="8" t="s">
        <v>29</v>
      </c>
      <c r="E6218" s="8" t="s">
        <v>1102</v>
      </c>
      <c r="F6218" s="8">
        <v>9.811697926E9</v>
      </c>
    </row>
    <row r="6219" ht="15.75" customHeight="1">
      <c r="A6219" s="8" t="s">
        <v>3531</v>
      </c>
      <c r="B6219" s="8" t="s">
        <v>1235</v>
      </c>
      <c r="C6219" s="8" t="s">
        <v>4483</v>
      </c>
      <c r="D6219" s="8" t="s">
        <v>29</v>
      </c>
      <c r="E6219" s="8" t="s">
        <v>494</v>
      </c>
      <c r="F6219" s="8">
        <v>8.851359178E9</v>
      </c>
    </row>
    <row r="6220" ht="15.75" customHeight="1">
      <c r="A6220" s="8" t="s">
        <v>5381</v>
      </c>
      <c r="B6220" s="8" t="s">
        <v>675</v>
      </c>
      <c r="C6220" s="8" t="s">
        <v>3322</v>
      </c>
      <c r="D6220" s="8" t="s">
        <v>9</v>
      </c>
      <c r="E6220" s="8" t="s">
        <v>434</v>
      </c>
      <c r="F6220" s="8">
        <v>9.820470204E9</v>
      </c>
    </row>
    <row r="6221" ht="15.75" customHeight="1">
      <c r="A6221" s="8" t="s">
        <v>4698</v>
      </c>
      <c r="B6221" s="8" t="s">
        <v>4699</v>
      </c>
      <c r="C6221" s="8" t="s">
        <v>4700</v>
      </c>
      <c r="D6221" s="8" t="s">
        <v>44</v>
      </c>
      <c r="E6221" s="8" t="s">
        <v>4015</v>
      </c>
      <c r="F6221" s="8">
        <v>9.873077235E9</v>
      </c>
    </row>
    <row r="6222" ht="15.75" customHeight="1">
      <c r="A6222" s="8" t="s">
        <v>930</v>
      </c>
      <c r="B6222" s="8" t="s">
        <v>4731</v>
      </c>
      <c r="C6222" s="8" t="s">
        <v>4732</v>
      </c>
      <c r="D6222" s="8" t="s">
        <v>56</v>
      </c>
      <c r="E6222" s="8" t="s">
        <v>4733</v>
      </c>
      <c r="F6222" s="8">
        <v>9.011834626E9</v>
      </c>
    </row>
    <row r="6223" ht="15.75" customHeight="1">
      <c r="A6223" s="8" t="s">
        <v>4739</v>
      </c>
      <c r="B6223" s="8" t="s">
        <v>4740</v>
      </c>
      <c r="C6223" s="8" t="s">
        <v>4741</v>
      </c>
      <c r="D6223" s="8" t="s">
        <v>14</v>
      </c>
      <c r="E6223" s="8" t="s">
        <v>4742</v>
      </c>
      <c r="F6223" s="8">
        <v>9.98513081E9</v>
      </c>
    </row>
    <row r="6224" ht="15.75" customHeight="1">
      <c r="A6224" s="8" t="s">
        <v>4918</v>
      </c>
      <c r="B6224" s="8" t="s">
        <v>4919</v>
      </c>
      <c r="C6224" s="8" t="s">
        <v>4920</v>
      </c>
      <c r="D6224" s="8" t="s">
        <v>14</v>
      </c>
      <c r="E6224" s="8" t="s">
        <v>434</v>
      </c>
      <c r="F6224" s="8">
        <v>9.322718254E9</v>
      </c>
    </row>
    <row r="6225" ht="15.75" customHeight="1">
      <c r="A6225" s="8" t="s">
        <v>5027</v>
      </c>
      <c r="B6225" s="8" t="s">
        <v>4840</v>
      </c>
      <c r="C6225" s="8" t="s">
        <v>5028</v>
      </c>
      <c r="D6225" s="8" t="s">
        <v>26</v>
      </c>
      <c r="E6225" s="8" t="s">
        <v>5029</v>
      </c>
      <c r="F6225" s="8">
        <v>9.211034275E9</v>
      </c>
    </row>
    <row r="6226" ht="15.75" customHeight="1">
      <c r="A6226" s="8" t="s">
        <v>5317</v>
      </c>
      <c r="B6226" s="8" t="s">
        <v>68</v>
      </c>
      <c r="C6226" s="8" t="s">
        <v>5259</v>
      </c>
      <c r="D6226" s="8" t="s">
        <v>56</v>
      </c>
      <c r="E6226" s="8" t="s">
        <v>434</v>
      </c>
      <c r="F6226" s="8">
        <v>7.04586624E9</v>
      </c>
    </row>
    <row r="6227" ht="15.75" customHeight="1">
      <c r="A6227" s="8" t="s">
        <v>5146</v>
      </c>
      <c r="B6227" s="8" t="s">
        <v>5147</v>
      </c>
      <c r="C6227" s="8" t="s">
        <v>5078</v>
      </c>
      <c r="D6227" s="8" t="s">
        <v>29</v>
      </c>
      <c r="E6227" s="8" t="s">
        <v>255</v>
      </c>
      <c r="F6227" s="8">
        <v>6.207924673E9</v>
      </c>
    </row>
    <row r="6228" ht="15.75" customHeight="1">
      <c r="A6228" s="8" t="s">
        <v>1260</v>
      </c>
      <c r="B6228" s="8" t="s">
        <v>5456</v>
      </c>
      <c r="C6228" s="8" t="s">
        <v>3322</v>
      </c>
      <c r="D6228" s="8" t="s">
        <v>9</v>
      </c>
      <c r="E6228" s="8" t="s">
        <v>434</v>
      </c>
      <c r="F6228" s="8">
        <v>9.930399106E9</v>
      </c>
    </row>
    <row r="6229" ht="15.75" customHeight="1">
      <c r="A6229" s="8" t="s">
        <v>4043</v>
      </c>
      <c r="B6229" s="8" t="s">
        <v>4751</v>
      </c>
      <c r="C6229" s="8" t="s">
        <v>4752</v>
      </c>
      <c r="D6229" s="8" t="s">
        <v>9</v>
      </c>
      <c r="E6229" s="8" t="s">
        <v>4604</v>
      </c>
      <c r="F6229" s="8">
        <v>7.619127782E9</v>
      </c>
    </row>
    <row r="6230" ht="15.75" customHeight="1">
      <c r="A6230" s="8" t="s">
        <v>5239</v>
      </c>
      <c r="B6230" s="8" t="s">
        <v>5240</v>
      </c>
      <c r="C6230" s="8" t="s">
        <v>5241</v>
      </c>
      <c r="D6230" s="8" t="s">
        <v>56</v>
      </c>
      <c r="E6230" s="8" t="s">
        <v>4276</v>
      </c>
      <c r="F6230" s="8">
        <v>9.642381159E9</v>
      </c>
    </row>
    <row r="6231" ht="15.75" customHeight="1">
      <c r="A6231" s="8" t="s">
        <v>4834</v>
      </c>
      <c r="B6231" s="8" t="s">
        <v>4835</v>
      </c>
      <c r="C6231" s="8" t="s">
        <v>4547</v>
      </c>
      <c r="D6231" s="8" t="s">
        <v>14</v>
      </c>
      <c r="E6231" s="8" t="s">
        <v>4015</v>
      </c>
      <c r="F6231" s="8">
        <v>9.95304321E9</v>
      </c>
    </row>
    <row r="6232" ht="15.75" customHeight="1">
      <c r="A6232" s="8" t="s">
        <v>4608</v>
      </c>
      <c r="B6232" s="8" t="s">
        <v>108</v>
      </c>
      <c r="C6232" s="8" t="s">
        <v>4609</v>
      </c>
      <c r="D6232" s="8" t="s">
        <v>44</v>
      </c>
      <c r="E6232" s="8" t="s">
        <v>434</v>
      </c>
      <c r="F6232" s="8">
        <v>9.820057232E9</v>
      </c>
    </row>
    <row r="6233" ht="15.75" customHeight="1">
      <c r="A6233" s="8" t="s">
        <v>1218</v>
      </c>
      <c r="B6233" s="8" t="s">
        <v>4912</v>
      </c>
      <c r="C6233" s="8" t="s">
        <v>4913</v>
      </c>
      <c r="D6233" s="8" t="s">
        <v>26</v>
      </c>
      <c r="E6233" s="8" t="s">
        <v>4914</v>
      </c>
      <c r="F6233" s="8">
        <v>7.73844871E9</v>
      </c>
    </row>
    <row r="6234" ht="15.75" customHeight="1">
      <c r="A6234" s="8" t="s">
        <v>5602</v>
      </c>
      <c r="B6234" s="8" t="s">
        <v>520</v>
      </c>
      <c r="C6234" s="8" t="s">
        <v>5603</v>
      </c>
      <c r="D6234" s="8" t="s">
        <v>44</v>
      </c>
      <c r="E6234" s="8" t="s">
        <v>5380</v>
      </c>
      <c r="F6234" s="8">
        <v>8.092880433E9</v>
      </c>
    </row>
    <row r="6235" ht="15.75" customHeight="1">
      <c r="A6235" s="8" t="s">
        <v>5624</v>
      </c>
      <c r="B6235" s="8" t="s">
        <v>765</v>
      </c>
      <c r="C6235" s="8" t="s">
        <v>5625</v>
      </c>
      <c r="D6235" s="8" t="s">
        <v>56</v>
      </c>
      <c r="E6235" s="8" t="s">
        <v>5365</v>
      </c>
      <c r="F6235" s="8">
        <f>+918918765167</f>
        <v>918918765167</v>
      </c>
    </row>
    <row r="6236" ht="15.75" customHeight="1">
      <c r="A6236" s="8" t="s">
        <v>4512</v>
      </c>
      <c r="B6236" s="8" t="s">
        <v>4513</v>
      </c>
      <c r="C6236" s="8" t="s">
        <v>493</v>
      </c>
      <c r="D6236" s="8" t="s">
        <v>26</v>
      </c>
      <c r="E6236" s="8" t="s">
        <v>1102</v>
      </c>
      <c r="F6236" s="8">
        <v>9.971027188E9</v>
      </c>
    </row>
    <row r="6237" ht="15.75" customHeight="1">
      <c r="A6237" s="8" t="s">
        <v>4562</v>
      </c>
      <c r="B6237" s="8" t="s">
        <v>4563</v>
      </c>
      <c r="C6237" s="8" t="s">
        <v>4564</v>
      </c>
      <c r="D6237" s="8" t="s">
        <v>9</v>
      </c>
      <c r="E6237" s="8" t="s">
        <v>15</v>
      </c>
      <c r="F6237" s="8">
        <v>7.219407948E9</v>
      </c>
    </row>
    <row r="6238" ht="15.75" customHeight="1">
      <c r="A6238" s="8" t="s">
        <v>468</v>
      </c>
      <c r="B6238" s="8" t="s">
        <v>1343</v>
      </c>
      <c r="C6238" s="8" t="s">
        <v>4565</v>
      </c>
      <c r="D6238" s="8" t="s">
        <v>9</v>
      </c>
      <c r="E6238" s="8" t="s">
        <v>15</v>
      </c>
      <c r="F6238" s="8">
        <v>9.511926546E9</v>
      </c>
    </row>
    <row r="6239" ht="15.75" customHeight="1">
      <c r="A6239" s="8" t="s">
        <v>4766</v>
      </c>
      <c r="B6239" s="8" t="s">
        <v>108</v>
      </c>
      <c r="C6239" s="8" t="s">
        <v>4767</v>
      </c>
      <c r="D6239" s="8" t="s">
        <v>14</v>
      </c>
      <c r="E6239" s="8" t="s">
        <v>4015</v>
      </c>
      <c r="F6239" s="8">
        <v>8.588079828E9</v>
      </c>
    </row>
    <row r="6240" ht="15.75" customHeight="1">
      <c r="A6240" s="8" t="s">
        <v>1260</v>
      </c>
      <c r="B6240" s="8" t="s">
        <v>4773</v>
      </c>
      <c r="C6240" s="8" t="s">
        <v>4762</v>
      </c>
      <c r="D6240" s="8" t="s">
        <v>44</v>
      </c>
      <c r="E6240" s="8" t="s">
        <v>1102</v>
      </c>
      <c r="F6240" s="8">
        <v>9.971011554E9</v>
      </c>
    </row>
    <row r="6241" ht="15.75" customHeight="1">
      <c r="A6241" s="8" t="s">
        <v>189</v>
      </c>
      <c r="B6241" s="8" t="s">
        <v>4986</v>
      </c>
      <c r="C6241" s="8" t="s">
        <v>4783</v>
      </c>
      <c r="D6241" s="8" t="s">
        <v>56</v>
      </c>
      <c r="E6241" s="8" t="s">
        <v>1095</v>
      </c>
      <c r="F6241" s="8">
        <v>9.711441221E9</v>
      </c>
    </row>
    <row r="6242" ht="15.75" customHeight="1">
      <c r="A6242" s="8" t="s">
        <v>5282</v>
      </c>
      <c r="B6242" s="8" t="s">
        <v>5283</v>
      </c>
      <c r="C6242" s="8" t="s">
        <v>5284</v>
      </c>
      <c r="D6242" s="8" t="s">
        <v>29</v>
      </c>
      <c r="E6242" s="8" t="s">
        <v>5285</v>
      </c>
      <c r="F6242" s="8">
        <v>8.778498654E9</v>
      </c>
    </row>
    <row r="6243" ht="15.75" customHeight="1">
      <c r="A6243" s="8" t="s">
        <v>5059</v>
      </c>
      <c r="B6243" s="8" t="s">
        <v>5023</v>
      </c>
      <c r="C6243" s="8" t="s">
        <v>4561</v>
      </c>
      <c r="D6243" s="8" t="s">
        <v>14</v>
      </c>
      <c r="E6243" s="8" t="s">
        <v>4276</v>
      </c>
      <c r="F6243" s="8">
        <v>8.143347243E9</v>
      </c>
    </row>
    <row r="6244" ht="15.75" customHeight="1">
      <c r="A6244" s="8" t="s">
        <v>3888</v>
      </c>
      <c r="B6244" s="8" t="s">
        <v>4680</v>
      </c>
      <c r="C6244" s="8" t="s">
        <v>4681</v>
      </c>
      <c r="D6244" s="8" t="s">
        <v>1108</v>
      </c>
      <c r="E6244" s="8" t="s">
        <v>4620</v>
      </c>
      <c r="F6244" s="8">
        <v>7.999445351E9</v>
      </c>
    </row>
    <row r="6245" ht="15.75" customHeight="1">
      <c r="A6245" s="8" t="s">
        <v>6906</v>
      </c>
      <c r="B6245" s="8" t="s">
        <v>6907</v>
      </c>
      <c r="C6245" s="8" t="s">
        <v>6908</v>
      </c>
      <c r="D6245" s="8" t="s">
        <v>44</v>
      </c>
      <c r="E6245" s="8" t="s">
        <v>15</v>
      </c>
      <c r="F6245" s="8">
        <v>9.921647272E9</v>
      </c>
    </row>
    <row r="6246" ht="15.75" customHeight="1">
      <c r="A6246" s="8" t="s">
        <v>2780</v>
      </c>
      <c r="B6246" s="8" t="s">
        <v>382</v>
      </c>
      <c r="C6246" s="8" t="s">
        <v>4715</v>
      </c>
      <c r="D6246" s="8" t="s">
        <v>29</v>
      </c>
      <c r="E6246" s="8" t="s">
        <v>494</v>
      </c>
      <c r="F6246" s="8">
        <v>9.899354272E9</v>
      </c>
    </row>
    <row r="6247" ht="15.75" customHeight="1">
      <c r="A6247" s="8" t="s">
        <v>4780</v>
      </c>
      <c r="B6247" s="8" t="s">
        <v>4781</v>
      </c>
      <c r="C6247" s="8" t="s">
        <v>4782</v>
      </c>
      <c r="D6247" s="8" t="s">
        <v>14</v>
      </c>
      <c r="E6247" s="8" t="s">
        <v>4212</v>
      </c>
      <c r="F6247" s="8">
        <v>9.810077083E9</v>
      </c>
    </row>
    <row r="6248" ht="15.75" customHeight="1">
      <c r="A6248" s="8" t="s">
        <v>110</v>
      </c>
      <c r="B6248" s="8" t="s">
        <v>65</v>
      </c>
      <c r="C6248" s="8" t="s">
        <v>4878</v>
      </c>
      <c r="D6248" s="8" t="s">
        <v>44</v>
      </c>
      <c r="E6248" s="8" t="s">
        <v>4879</v>
      </c>
      <c r="F6248" s="8">
        <v>9.888301405E9</v>
      </c>
    </row>
    <row r="6249" ht="15.75" customHeight="1">
      <c r="A6249" s="8" t="s">
        <v>4969</v>
      </c>
      <c r="B6249" s="8" t="s">
        <v>301</v>
      </c>
      <c r="C6249" s="8" t="s">
        <v>4970</v>
      </c>
      <c r="D6249" s="8" t="s">
        <v>9</v>
      </c>
      <c r="E6249" s="8" t="s">
        <v>4971</v>
      </c>
      <c r="F6249" s="8">
        <v>8.682972727E9</v>
      </c>
    </row>
    <row r="6250" ht="15.75" customHeight="1">
      <c r="A6250" s="8" t="s">
        <v>67</v>
      </c>
      <c r="B6250" s="8" t="s">
        <v>1343</v>
      </c>
      <c r="C6250" s="8" t="s">
        <v>5170</v>
      </c>
      <c r="D6250" s="8" t="s">
        <v>9</v>
      </c>
      <c r="E6250" s="8" t="s">
        <v>19</v>
      </c>
      <c r="F6250" s="8">
        <v>6.200094755E9</v>
      </c>
    </row>
    <row r="6251" ht="15.75" customHeight="1">
      <c r="A6251" s="8" t="s">
        <v>5385</v>
      </c>
      <c r="B6251" s="8" t="s">
        <v>5386</v>
      </c>
      <c r="C6251" s="8" t="s">
        <v>5387</v>
      </c>
      <c r="D6251" s="8" t="s">
        <v>26</v>
      </c>
      <c r="E6251" s="8" t="s">
        <v>5388</v>
      </c>
      <c r="F6251" s="8">
        <v>9.149488808E9</v>
      </c>
    </row>
    <row r="6252" ht="15.75" customHeight="1">
      <c r="A6252" s="8" t="s">
        <v>4972</v>
      </c>
      <c r="B6252" s="8" t="s">
        <v>145</v>
      </c>
      <c r="C6252" s="8" t="s">
        <v>4973</v>
      </c>
      <c r="D6252" s="8" t="s">
        <v>14</v>
      </c>
      <c r="E6252" s="8" t="s">
        <v>421</v>
      </c>
      <c r="F6252" s="8">
        <v>8.056091733E9</v>
      </c>
    </row>
    <row r="6253" ht="15.75" customHeight="1">
      <c r="A6253" s="8" t="s">
        <v>4977</v>
      </c>
      <c r="B6253" s="8" t="s">
        <v>4978</v>
      </c>
      <c r="C6253" s="8" t="s">
        <v>4979</v>
      </c>
      <c r="D6253" s="8" t="s">
        <v>44</v>
      </c>
      <c r="E6253" s="8" t="s">
        <v>4980</v>
      </c>
      <c r="F6253" s="8">
        <v>7.249836956E9</v>
      </c>
    </row>
    <row r="6254" ht="15.75" customHeight="1">
      <c r="A6254" s="8" t="s">
        <v>33</v>
      </c>
      <c r="B6254" s="8" t="s">
        <v>4696</v>
      </c>
      <c r="C6254" s="8" t="s">
        <v>4783</v>
      </c>
      <c r="D6254" s="8" t="s">
        <v>29</v>
      </c>
      <c r="E6254" s="8" t="s">
        <v>1102</v>
      </c>
      <c r="F6254" s="8">
        <v>8.58687901E9</v>
      </c>
    </row>
    <row r="6255" ht="15.75" customHeight="1">
      <c r="A6255" s="8" t="s">
        <v>4580</v>
      </c>
      <c r="B6255" s="8" t="s">
        <v>4581</v>
      </c>
      <c r="C6255" s="8" t="s">
        <v>4582</v>
      </c>
      <c r="D6255" s="8" t="s">
        <v>56</v>
      </c>
      <c r="E6255" s="8" t="s">
        <v>4583</v>
      </c>
      <c r="F6255" s="8">
        <v>7.064470478E9</v>
      </c>
    </row>
    <row r="6256" ht="15.75" customHeight="1">
      <c r="A6256" s="8" t="s">
        <v>4640</v>
      </c>
      <c r="B6256" s="8" t="s">
        <v>4641</v>
      </c>
      <c r="C6256" s="8" t="s">
        <v>4642</v>
      </c>
      <c r="D6256" s="8" t="s">
        <v>26</v>
      </c>
      <c r="E6256" s="8" t="s">
        <v>4643</v>
      </c>
      <c r="F6256" s="8">
        <v>9.444082174E9</v>
      </c>
    </row>
    <row r="6257" ht="15.75" customHeight="1">
      <c r="A6257" s="8" t="s">
        <v>4892</v>
      </c>
      <c r="B6257" s="8" t="s">
        <v>75</v>
      </c>
      <c r="C6257" s="8" t="s">
        <v>4893</v>
      </c>
      <c r="D6257" s="8" t="s">
        <v>44</v>
      </c>
      <c r="E6257" s="8" t="s">
        <v>4276</v>
      </c>
      <c r="F6257" s="8">
        <v>9.330228795E9</v>
      </c>
    </row>
    <row r="6258" ht="15.75" customHeight="1">
      <c r="A6258" s="8" t="s">
        <v>5084</v>
      </c>
      <c r="B6258" s="8" t="s">
        <v>1218</v>
      </c>
      <c r="C6258" s="8" t="s">
        <v>5085</v>
      </c>
      <c r="D6258" s="8" t="s">
        <v>14</v>
      </c>
      <c r="E6258" s="8" t="s">
        <v>4927</v>
      </c>
      <c r="F6258" s="8">
        <v>9.968401777E9</v>
      </c>
    </row>
    <row r="6259" ht="15.75" customHeight="1">
      <c r="A6259" s="8" t="s">
        <v>5265</v>
      </c>
      <c r="B6259" s="8" t="s">
        <v>5266</v>
      </c>
      <c r="C6259" s="8" t="s">
        <v>5267</v>
      </c>
      <c r="D6259" s="8" t="s">
        <v>102</v>
      </c>
      <c r="E6259" s="8" t="s">
        <v>4583</v>
      </c>
      <c r="F6259" s="8">
        <v>9.09055662E9</v>
      </c>
    </row>
    <row r="6260" ht="15.75" customHeight="1">
      <c r="A6260" s="8" t="s">
        <v>991</v>
      </c>
      <c r="B6260" s="8" t="s">
        <v>3527</v>
      </c>
      <c r="C6260" s="8" t="s">
        <v>4663</v>
      </c>
      <c r="D6260" s="8" t="s">
        <v>1108</v>
      </c>
      <c r="E6260" s="8" t="s">
        <v>494</v>
      </c>
      <c r="F6260" s="8">
        <f>+919873215171</f>
        <v>919873215171</v>
      </c>
    </row>
    <row r="6261" ht="15.75" customHeight="1">
      <c r="A6261" s="8" t="s">
        <v>4669</v>
      </c>
      <c r="B6261" s="8" t="s">
        <v>4670</v>
      </c>
      <c r="C6261" s="8" t="s">
        <v>4635</v>
      </c>
      <c r="D6261" s="8" t="s">
        <v>14</v>
      </c>
      <c r="E6261" s="8" t="s">
        <v>4636</v>
      </c>
      <c r="F6261" s="8">
        <v>7.735885274E9</v>
      </c>
    </row>
    <row r="6262" ht="15.75" customHeight="1">
      <c r="A6262" s="8" t="s">
        <v>795</v>
      </c>
      <c r="B6262" s="8" t="s">
        <v>4808</v>
      </c>
      <c r="C6262" s="8" t="s">
        <v>4809</v>
      </c>
      <c r="D6262" s="8" t="s">
        <v>102</v>
      </c>
      <c r="E6262" s="8" t="s">
        <v>4810</v>
      </c>
      <c r="F6262" s="8">
        <f>+919429433889</f>
        <v>919429433889</v>
      </c>
    </row>
    <row r="6263" ht="15.75" customHeight="1">
      <c r="A6263" s="8" t="s">
        <v>4057</v>
      </c>
      <c r="B6263" s="8" t="s">
        <v>499</v>
      </c>
      <c r="C6263" s="8" t="s">
        <v>4795</v>
      </c>
      <c r="D6263" s="8" t="s">
        <v>9</v>
      </c>
      <c r="E6263" s="8" t="s">
        <v>4643</v>
      </c>
      <c r="F6263" s="8">
        <v>8.892797628E9</v>
      </c>
    </row>
    <row r="6264" ht="15.75" customHeight="1">
      <c r="A6264" s="8" t="s">
        <v>5345</v>
      </c>
      <c r="B6264" s="8" t="s">
        <v>68</v>
      </c>
      <c r="C6264" s="8" t="s">
        <v>2708</v>
      </c>
      <c r="D6264" s="8" t="s">
        <v>9</v>
      </c>
      <c r="E6264" s="8" t="s">
        <v>434</v>
      </c>
      <c r="F6264" s="8">
        <f>+918104861726</f>
        <v>918104861726</v>
      </c>
    </row>
    <row r="6265" ht="15.75" customHeight="1">
      <c r="A6265" s="8" t="s">
        <v>5506</v>
      </c>
      <c r="B6265" s="8" t="s">
        <v>5507</v>
      </c>
      <c r="C6265" s="8" t="s">
        <v>5332</v>
      </c>
      <c r="D6265" s="8" t="s">
        <v>9</v>
      </c>
      <c r="E6265" s="8" t="s">
        <v>2115</v>
      </c>
      <c r="F6265" s="8">
        <f>+919903934809</f>
        <v>919903934809</v>
      </c>
    </row>
    <row r="6266" ht="15.75" customHeight="1">
      <c r="A6266" s="8" t="s">
        <v>5276</v>
      </c>
      <c r="B6266" s="8" t="s">
        <v>5221</v>
      </c>
      <c r="C6266" s="8" t="s">
        <v>5277</v>
      </c>
      <c r="D6266" s="8" t="s">
        <v>56</v>
      </c>
      <c r="E6266" s="8" t="s">
        <v>3399</v>
      </c>
      <c r="F6266" s="8">
        <v>9.91039888E9</v>
      </c>
    </row>
    <row r="6267" ht="15.75" customHeight="1">
      <c r="A6267" s="8" t="s">
        <v>163</v>
      </c>
      <c r="B6267" s="8" t="s">
        <v>150</v>
      </c>
      <c r="C6267" s="8" t="s">
        <v>4936</v>
      </c>
      <c r="D6267" s="8" t="s">
        <v>26</v>
      </c>
      <c r="E6267" s="8" t="s">
        <v>2115</v>
      </c>
      <c r="F6267" s="8">
        <v>8.961510959E9</v>
      </c>
    </row>
    <row r="6268" ht="15.75" customHeight="1">
      <c r="A6268" s="8" t="s">
        <v>5389</v>
      </c>
      <c r="B6268" s="8" t="s">
        <v>2297</v>
      </c>
      <c r="C6268" s="8" t="s">
        <v>5390</v>
      </c>
      <c r="D6268" s="8" t="s">
        <v>44</v>
      </c>
      <c r="E6268" s="8" t="s">
        <v>5391</v>
      </c>
      <c r="F6268" s="8">
        <v>9.686606406E9</v>
      </c>
    </row>
    <row r="6269" ht="15.75" customHeight="1">
      <c r="A6269" s="8" t="s">
        <v>4756</v>
      </c>
      <c r="B6269" s="8" t="s">
        <v>3352</v>
      </c>
      <c r="C6269" s="8" t="s">
        <v>4757</v>
      </c>
      <c r="D6269" s="8" t="s">
        <v>56</v>
      </c>
      <c r="E6269" s="8" t="s">
        <v>1102</v>
      </c>
      <c r="F6269" s="8">
        <v>9.818478583E9</v>
      </c>
    </row>
    <row r="6270" ht="15.75" customHeight="1">
      <c r="A6270" s="8" t="s">
        <v>4753</v>
      </c>
      <c r="B6270" s="8" t="s">
        <v>675</v>
      </c>
      <c r="C6270" s="8" t="s">
        <v>4754</v>
      </c>
      <c r="D6270" s="8" t="s">
        <v>44</v>
      </c>
      <c r="E6270" s="8" t="s">
        <v>4755</v>
      </c>
      <c r="F6270" s="8">
        <v>8.281859424E9</v>
      </c>
    </row>
    <row r="6271" ht="15.75" customHeight="1">
      <c r="A6271" s="8" t="s">
        <v>4831</v>
      </c>
      <c r="B6271" s="8" t="s">
        <v>299</v>
      </c>
      <c r="C6271" s="8" t="s">
        <v>4832</v>
      </c>
      <c r="D6271" s="8" t="s">
        <v>56</v>
      </c>
      <c r="E6271" s="8" t="s">
        <v>4318</v>
      </c>
      <c r="F6271" s="8">
        <v>8.986457144E9</v>
      </c>
    </row>
    <row r="6272" ht="15.75" customHeight="1">
      <c r="A6272" s="8" t="s">
        <v>4664</v>
      </c>
      <c r="B6272" s="8" t="s">
        <v>538</v>
      </c>
      <c r="C6272" s="8" t="s">
        <v>4665</v>
      </c>
      <c r="D6272" s="8" t="s">
        <v>26</v>
      </c>
      <c r="E6272" s="8" t="s">
        <v>1102</v>
      </c>
      <c r="F6272" s="8">
        <v>8.130714007E9</v>
      </c>
    </row>
    <row r="6273" ht="15.75" customHeight="1">
      <c r="A6273" s="8" t="s">
        <v>4707</v>
      </c>
      <c r="B6273" s="8" t="s">
        <v>4708</v>
      </c>
      <c r="C6273" s="8" t="s">
        <v>4477</v>
      </c>
      <c r="D6273" s="8" t="s">
        <v>26</v>
      </c>
      <c r="E6273" s="8" t="s">
        <v>1102</v>
      </c>
      <c r="F6273" s="8">
        <v>9.213432099E9</v>
      </c>
    </row>
    <row r="6274" ht="15.75" customHeight="1">
      <c r="A6274" s="8" t="s">
        <v>4692</v>
      </c>
      <c r="B6274" s="8" t="s">
        <v>4693</v>
      </c>
      <c r="C6274" s="8" t="s">
        <v>4694</v>
      </c>
      <c r="D6274" s="8" t="s">
        <v>26</v>
      </c>
      <c r="E6274" s="8" t="s">
        <v>4695</v>
      </c>
      <c r="F6274" s="8">
        <v>7.82729663E9</v>
      </c>
    </row>
    <row r="6275" ht="15.75" customHeight="1">
      <c r="A6275" s="8" t="s">
        <v>4852</v>
      </c>
      <c r="B6275" s="8" t="s">
        <v>4853</v>
      </c>
      <c r="C6275" s="8" t="s">
        <v>4854</v>
      </c>
      <c r="D6275" s="8" t="s">
        <v>14</v>
      </c>
      <c r="E6275" s="8" t="s">
        <v>4855</v>
      </c>
      <c r="F6275" s="8">
        <v>9.495116487E9</v>
      </c>
    </row>
    <row r="6276" ht="15.75" customHeight="1">
      <c r="A6276" s="8" t="s">
        <v>5331</v>
      </c>
      <c r="B6276" s="8" t="s">
        <v>4342</v>
      </c>
      <c r="C6276" s="8" t="s">
        <v>5332</v>
      </c>
      <c r="D6276" s="8" t="s">
        <v>29</v>
      </c>
      <c r="E6276" s="8" t="s">
        <v>2115</v>
      </c>
      <c r="F6276" s="8">
        <v>9.67400739E9</v>
      </c>
    </row>
    <row r="6277" ht="15.75" customHeight="1">
      <c r="A6277" s="8" t="s">
        <v>5459</v>
      </c>
      <c r="B6277" s="8" t="s">
        <v>603</v>
      </c>
      <c r="C6277" s="8" t="s">
        <v>5332</v>
      </c>
      <c r="D6277" s="8" t="s">
        <v>26</v>
      </c>
      <c r="E6277" s="8" t="s">
        <v>2115</v>
      </c>
      <c r="F6277" s="8">
        <v>9.007530103E9</v>
      </c>
    </row>
    <row r="6278" ht="15.75" customHeight="1">
      <c r="A6278" s="8" t="s">
        <v>4734</v>
      </c>
      <c r="B6278" s="8" t="s">
        <v>4342</v>
      </c>
      <c r="C6278" s="8" t="s">
        <v>4735</v>
      </c>
      <c r="D6278" s="8" t="s">
        <v>44</v>
      </c>
      <c r="E6278" s="8" t="s">
        <v>4015</v>
      </c>
      <c r="F6278" s="8">
        <v>7.038008368E9</v>
      </c>
    </row>
    <row r="6279" ht="15.75" customHeight="1">
      <c r="A6279" s="8" t="s">
        <v>5138</v>
      </c>
      <c r="B6279" s="8" t="s">
        <v>4840</v>
      </c>
      <c r="C6279" s="8" t="s">
        <v>5139</v>
      </c>
      <c r="D6279" s="8" t="s">
        <v>29</v>
      </c>
      <c r="E6279" s="8" t="s">
        <v>5140</v>
      </c>
      <c r="F6279" s="8">
        <f>+918826191105</f>
        <v>918826191105</v>
      </c>
    </row>
    <row r="6280" ht="15.75" customHeight="1">
      <c r="A6280" s="8" t="s">
        <v>5162</v>
      </c>
      <c r="B6280" s="8" t="s">
        <v>5163</v>
      </c>
      <c r="C6280" s="8" t="s">
        <v>3790</v>
      </c>
      <c r="D6280" s="8" t="s">
        <v>14</v>
      </c>
      <c r="E6280" s="8" t="s">
        <v>4015</v>
      </c>
      <c r="F6280" s="8">
        <f>+919911596677</f>
        <v>919911596677</v>
      </c>
    </row>
    <row r="6281" ht="15.75" customHeight="1">
      <c r="A6281" s="8" t="s">
        <v>4689</v>
      </c>
      <c r="B6281" s="8" t="s">
        <v>4690</v>
      </c>
      <c r="C6281" s="8" t="s">
        <v>4635</v>
      </c>
      <c r="D6281" s="8" t="s">
        <v>14</v>
      </c>
      <c r="E6281" s="8" t="s">
        <v>4636</v>
      </c>
      <c r="F6281" s="8">
        <v>7.008914812E9</v>
      </c>
    </row>
    <row r="6282" ht="15.75" customHeight="1">
      <c r="A6282" s="8" t="s">
        <v>5172</v>
      </c>
      <c r="B6282" s="8" t="s">
        <v>5173</v>
      </c>
      <c r="C6282" s="8" t="s">
        <v>5174</v>
      </c>
      <c r="D6282" s="8" t="s">
        <v>44</v>
      </c>
      <c r="E6282" s="8" t="s">
        <v>4276</v>
      </c>
      <c r="F6282" s="8">
        <v>9.701516481E9</v>
      </c>
    </row>
    <row r="6283" ht="15.75" customHeight="1">
      <c r="A6283" s="8" t="s">
        <v>4758</v>
      </c>
      <c r="B6283" s="8" t="s">
        <v>4759</v>
      </c>
      <c r="C6283" s="8" t="s">
        <v>4760</v>
      </c>
      <c r="D6283" s="8" t="s">
        <v>9</v>
      </c>
      <c r="E6283" s="8" t="s">
        <v>1102</v>
      </c>
      <c r="F6283" s="8">
        <v>8.587987223E9</v>
      </c>
    </row>
    <row r="6284" ht="15.75" customHeight="1">
      <c r="A6284" s="8" t="s">
        <v>4761</v>
      </c>
      <c r="B6284" s="8" t="s">
        <v>125</v>
      </c>
      <c r="C6284" s="8" t="s">
        <v>4762</v>
      </c>
      <c r="D6284" s="8" t="s">
        <v>14</v>
      </c>
      <c r="E6284" s="8" t="s">
        <v>4763</v>
      </c>
      <c r="F6284" s="8">
        <v>9.910067042E9</v>
      </c>
    </row>
    <row r="6285" ht="15.75" customHeight="1">
      <c r="A6285" s="8" t="s">
        <v>4806</v>
      </c>
      <c r="B6285" s="8" t="s">
        <v>4807</v>
      </c>
      <c r="C6285" s="8" t="s">
        <v>4795</v>
      </c>
      <c r="D6285" s="8" t="s">
        <v>56</v>
      </c>
      <c r="E6285" s="8" t="s">
        <v>4643</v>
      </c>
      <c r="F6285" s="8">
        <v>9.741091581E9</v>
      </c>
    </row>
    <row r="6286" ht="15.75" customHeight="1">
      <c r="A6286" s="8" t="s">
        <v>4966</v>
      </c>
      <c r="B6286" s="8" t="s">
        <v>4967</v>
      </c>
      <c r="C6286" s="8" t="s">
        <v>4483</v>
      </c>
      <c r="D6286" s="8" t="s">
        <v>26</v>
      </c>
      <c r="E6286" s="8" t="s">
        <v>494</v>
      </c>
      <c r="F6286" s="8">
        <v>9.21380701E9</v>
      </c>
    </row>
    <row r="6287" ht="15.75" customHeight="1">
      <c r="A6287" s="8" t="s">
        <v>5196</v>
      </c>
      <c r="B6287" s="8" t="s">
        <v>5197</v>
      </c>
      <c r="C6287" s="8" t="s">
        <v>5198</v>
      </c>
      <c r="D6287" s="8" t="s">
        <v>56</v>
      </c>
      <c r="E6287" s="8" t="s">
        <v>4276</v>
      </c>
      <c r="F6287" s="8">
        <v>8.978854373E9</v>
      </c>
    </row>
    <row r="6288" ht="15.75" customHeight="1">
      <c r="A6288" s="8" t="s">
        <v>680</v>
      </c>
      <c r="B6288" s="8" t="s">
        <v>68</v>
      </c>
      <c r="C6288" s="8" t="s">
        <v>4483</v>
      </c>
      <c r="D6288" s="8" t="s">
        <v>26</v>
      </c>
      <c r="E6288" s="8" t="s">
        <v>1102</v>
      </c>
      <c r="F6288" s="8">
        <v>9.87363397E9</v>
      </c>
    </row>
    <row r="6289" ht="15.75" customHeight="1">
      <c r="A6289" s="8" t="s">
        <v>2807</v>
      </c>
      <c r="B6289" s="8" t="s">
        <v>3527</v>
      </c>
      <c r="C6289" s="8" t="s">
        <v>4776</v>
      </c>
      <c r="D6289" s="8" t="s">
        <v>56</v>
      </c>
      <c r="E6289" s="8" t="s">
        <v>4015</v>
      </c>
      <c r="F6289" s="8">
        <v>8.50683367E9</v>
      </c>
    </row>
    <row r="6290" ht="15.75" customHeight="1">
      <c r="A6290" s="8" t="s">
        <v>4858</v>
      </c>
      <c r="B6290" s="8" t="s">
        <v>4859</v>
      </c>
      <c r="C6290" s="8" t="s">
        <v>4860</v>
      </c>
      <c r="D6290" s="8" t="s">
        <v>56</v>
      </c>
      <c r="E6290" s="8" t="s">
        <v>4276</v>
      </c>
      <c r="F6290" s="8">
        <v>9.490078022E9</v>
      </c>
    </row>
    <row r="6291" ht="15.75" customHeight="1">
      <c r="A6291" s="8" t="s">
        <v>124</v>
      </c>
      <c r="B6291" s="8" t="s">
        <v>4962</v>
      </c>
      <c r="C6291" s="8" t="s">
        <v>4845</v>
      </c>
      <c r="D6291" s="8" t="s">
        <v>14</v>
      </c>
      <c r="E6291" s="8" t="s">
        <v>4963</v>
      </c>
      <c r="F6291" s="8">
        <v>7.838447455E9</v>
      </c>
    </row>
    <row r="6292" ht="15.75" customHeight="1">
      <c r="A6292" s="8" t="s">
        <v>5049</v>
      </c>
      <c r="B6292" s="8" t="s">
        <v>63</v>
      </c>
      <c r="C6292" s="8" t="s">
        <v>4700</v>
      </c>
      <c r="D6292" s="8" t="s">
        <v>14</v>
      </c>
      <c r="E6292" s="8" t="s">
        <v>4015</v>
      </c>
      <c r="F6292" s="8">
        <v>9.922404044E9</v>
      </c>
    </row>
    <row r="6293" ht="15.75" customHeight="1">
      <c r="A6293" s="8" t="s">
        <v>4644</v>
      </c>
      <c r="B6293" s="8" t="s">
        <v>50</v>
      </c>
      <c r="C6293" s="8" t="s">
        <v>4645</v>
      </c>
      <c r="D6293" s="8" t="s">
        <v>56</v>
      </c>
      <c r="E6293" s="8" t="s">
        <v>4015</v>
      </c>
      <c r="F6293" s="8">
        <v>9.810320722E9</v>
      </c>
    </row>
    <row r="6294" ht="15.75" customHeight="1">
      <c r="A6294" s="8" t="s">
        <v>377</v>
      </c>
      <c r="B6294" s="8" t="s">
        <v>150</v>
      </c>
      <c r="C6294" s="8" t="s">
        <v>4691</v>
      </c>
      <c r="D6294" s="8" t="s">
        <v>9</v>
      </c>
      <c r="E6294" s="8" t="s">
        <v>4546</v>
      </c>
      <c r="F6294" s="8">
        <v>8.299515934E9</v>
      </c>
    </row>
    <row r="6295" ht="15.75" customHeight="1">
      <c r="A6295" s="8" t="s">
        <v>6909</v>
      </c>
      <c r="B6295" s="8" t="s">
        <v>6910</v>
      </c>
      <c r="C6295" s="8" t="s">
        <v>6911</v>
      </c>
      <c r="D6295" s="8" t="s">
        <v>56</v>
      </c>
      <c r="E6295" s="8" t="s">
        <v>6912</v>
      </c>
      <c r="F6295" s="8">
        <v>7.993196919E9</v>
      </c>
    </row>
    <row r="6296" ht="15.75" customHeight="1">
      <c r="A6296" s="8" t="s">
        <v>4725</v>
      </c>
      <c r="B6296" s="8" t="s">
        <v>4726</v>
      </c>
      <c r="C6296" s="8" t="s">
        <v>4635</v>
      </c>
      <c r="D6296" s="8" t="s">
        <v>44</v>
      </c>
      <c r="E6296" s="8" t="s">
        <v>4636</v>
      </c>
      <c r="F6296" s="8">
        <v>7.008863381E9</v>
      </c>
    </row>
    <row r="6297" ht="15.75" customHeight="1">
      <c r="A6297" s="8" t="s">
        <v>3404</v>
      </c>
      <c r="B6297" s="8" t="s">
        <v>4884</v>
      </c>
      <c r="C6297" s="8" t="s">
        <v>4885</v>
      </c>
      <c r="D6297" s="8" t="s">
        <v>9</v>
      </c>
      <c r="E6297" s="8" t="s">
        <v>4886</v>
      </c>
      <c r="F6297" s="8">
        <v>9.654783263E9</v>
      </c>
    </row>
    <row r="6298" ht="15.75" customHeight="1">
      <c r="A6298" s="8" t="s">
        <v>2098</v>
      </c>
      <c r="B6298" s="8" t="s">
        <v>47</v>
      </c>
      <c r="C6298" s="8" t="s">
        <v>2744</v>
      </c>
      <c r="D6298" s="8" t="s">
        <v>102</v>
      </c>
      <c r="E6298" s="8" t="s">
        <v>4899</v>
      </c>
      <c r="F6298" s="8">
        <v>9.582553998E9</v>
      </c>
    </row>
    <row r="6299" ht="15.75" customHeight="1">
      <c r="A6299" s="8" t="s">
        <v>146</v>
      </c>
      <c r="B6299" s="8" t="s">
        <v>1090</v>
      </c>
      <c r="C6299" s="8" t="s">
        <v>4905</v>
      </c>
      <c r="D6299" s="8" t="s">
        <v>29</v>
      </c>
      <c r="E6299" s="8" t="s">
        <v>494</v>
      </c>
      <c r="F6299" s="8">
        <v>9.205060281E9</v>
      </c>
    </row>
    <row r="6300" ht="15.75" customHeight="1">
      <c r="A6300" s="8" t="s">
        <v>4906</v>
      </c>
      <c r="B6300" s="8" t="s">
        <v>4907</v>
      </c>
      <c r="C6300" s="8" t="s">
        <v>4908</v>
      </c>
      <c r="D6300" s="8" t="s">
        <v>29</v>
      </c>
      <c r="E6300" s="8" t="s">
        <v>4276</v>
      </c>
      <c r="F6300" s="8">
        <v>9.701958918E9</v>
      </c>
    </row>
    <row r="6301" ht="15.75" customHeight="1">
      <c r="A6301" s="8" t="s">
        <v>182</v>
      </c>
      <c r="B6301" s="8" t="s">
        <v>4672</v>
      </c>
      <c r="C6301" s="8" t="s">
        <v>4673</v>
      </c>
      <c r="D6301" s="8" t="s">
        <v>56</v>
      </c>
      <c r="E6301" s="8" t="s">
        <v>4587</v>
      </c>
      <c r="F6301" s="8">
        <v>9.754710278E9</v>
      </c>
    </row>
    <row r="6302" ht="15.75" customHeight="1">
      <c r="A6302" s="8" t="s">
        <v>2592</v>
      </c>
      <c r="B6302" s="8" t="s">
        <v>65</v>
      </c>
      <c r="C6302" s="8" t="s">
        <v>4477</v>
      </c>
      <c r="D6302" s="8" t="s">
        <v>26</v>
      </c>
      <c r="E6302" s="8" t="s">
        <v>1095</v>
      </c>
      <c r="F6302" s="8">
        <v>9.315204562E9</v>
      </c>
    </row>
    <row r="6303" ht="15.75" customHeight="1">
      <c r="A6303" s="8" t="s">
        <v>4811</v>
      </c>
      <c r="B6303" s="8" t="s">
        <v>4812</v>
      </c>
      <c r="C6303" s="8" t="s">
        <v>4813</v>
      </c>
      <c r="D6303" s="8" t="s">
        <v>26</v>
      </c>
      <c r="E6303" s="8" t="s">
        <v>4814</v>
      </c>
      <c r="F6303" s="8">
        <v>7.21777847E9</v>
      </c>
    </row>
    <row r="6304" ht="15.75" customHeight="1">
      <c r="A6304" s="8" t="s">
        <v>4825</v>
      </c>
      <c r="B6304" s="8" t="s">
        <v>4826</v>
      </c>
      <c r="C6304" s="8" t="s">
        <v>4827</v>
      </c>
      <c r="D6304" s="8" t="s">
        <v>26</v>
      </c>
      <c r="E6304" s="8" t="s">
        <v>4828</v>
      </c>
      <c r="F6304" s="8">
        <v>8.8245246E9</v>
      </c>
    </row>
    <row r="6305" ht="15.75" customHeight="1">
      <c r="A6305" s="8" t="s">
        <v>1273</v>
      </c>
      <c r="B6305" s="8" t="s">
        <v>4829</v>
      </c>
      <c r="C6305" s="8" t="s">
        <v>4830</v>
      </c>
      <c r="D6305" s="8" t="s">
        <v>44</v>
      </c>
      <c r="E6305" s="8" t="s">
        <v>4796</v>
      </c>
      <c r="F6305" s="8">
        <v>9.845474112E9</v>
      </c>
    </row>
    <row r="6306" ht="15.75" customHeight="1">
      <c r="A6306" s="8" t="s">
        <v>4848</v>
      </c>
      <c r="B6306" s="8" t="s">
        <v>4849</v>
      </c>
      <c r="C6306" s="8" t="s">
        <v>4850</v>
      </c>
      <c r="D6306" s="8" t="s">
        <v>29</v>
      </c>
      <c r="E6306" s="8" t="s">
        <v>4851</v>
      </c>
      <c r="F6306" s="8">
        <v>9.515228536E9</v>
      </c>
    </row>
    <row r="6307" ht="15.75" customHeight="1">
      <c r="A6307" s="8" t="s">
        <v>3355</v>
      </c>
      <c r="B6307" s="8" t="s">
        <v>3015</v>
      </c>
      <c r="C6307" s="8" t="s">
        <v>5037</v>
      </c>
      <c r="D6307" s="8" t="s">
        <v>29</v>
      </c>
      <c r="E6307" s="8" t="s">
        <v>1102</v>
      </c>
      <c r="F6307" s="8">
        <v>9.810117732E9</v>
      </c>
    </row>
    <row r="6308" ht="15.75" customHeight="1">
      <c r="A6308" s="8" t="s">
        <v>5522</v>
      </c>
      <c r="B6308" s="8" t="s">
        <v>1954</v>
      </c>
      <c r="C6308" s="8" t="s">
        <v>3322</v>
      </c>
      <c r="D6308" s="8" t="s">
        <v>44</v>
      </c>
      <c r="E6308" s="8" t="s">
        <v>434</v>
      </c>
      <c r="F6308" s="8">
        <v>9.987536728E9</v>
      </c>
    </row>
    <row r="6309" ht="15.75" customHeight="1">
      <c r="A6309" s="8" t="s">
        <v>4803</v>
      </c>
      <c r="B6309" s="8" t="s">
        <v>1239</v>
      </c>
      <c r="C6309" s="8" t="s">
        <v>4804</v>
      </c>
      <c r="D6309" s="8" t="s">
        <v>44</v>
      </c>
      <c r="E6309" s="8" t="s">
        <v>4805</v>
      </c>
      <c r="F6309" s="8">
        <v>9.967227385E9</v>
      </c>
    </row>
    <row r="6310" ht="15.75" customHeight="1">
      <c r="A6310" s="8" t="s">
        <v>3857</v>
      </c>
      <c r="B6310" s="8" t="s">
        <v>65</v>
      </c>
      <c r="C6310" s="8" t="s">
        <v>5124</v>
      </c>
      <c r="D6310" s="8" t="s">
        <v>56</v>
      </c>
      <c r="E6310" s="8" t="s">
        <v>4212</v>
      </c>
      <c r="F6310" s="8">
        <v>9.582732727E9</v>
      </c>
    </row>
    <row r="6311" ht="15.75" customHeight="1">
      <c r="A6311" s="8" t="s">
        <v>5070</v>
      </c>
      <c r="B6311" s="8" t="s">
        <v>5071</v>
      </c>
      <c r="C6311" s="8" t="s">
        <v>5072</v>
      </c>
      <c r="D6311" s="8" t="s">
        <v>29</v>
      </c>
      <c r="E6311" s="8" t="s">
        <v>4276</v>
      </c>
      <c r="F6311" s="8">
        <v>8.12192061E9</v>
      </c>
    </row>
    <row r="6312" ht="15.75" customHeight="1">
      <c r="A6312" s="8" t="s">
        <v>2822</v>
      </c>
      <c r="B6312" s="8" t="s">
        <v>47</v>
      </c>
      <c r="C6312" s="8" t="s">
        <v>5083</v>
      </c>
      <c r="D6312" s="8" t="s">
        <v>9</v>
      </c>
      <c r="E6312" s="8" t="s">
        <v>1102</v>
      </c>
      <c r="F6312" s="8">
        <v>9.267915997E9</v>
      </c>
    </row>
    <row r="6313" ht="15.75" customHeight="1">
      <c r="A6313" s="8" t="s">
        <v>4933</v>
      </c>
      <c r="B6313" s="8" t="s">
        <v>145</v>
      </c>
      <c r="C6313" s="8" t="s">
        <v>4934</v>
      </c>
      <c r="D6313" s="8" t="s">
        <v>26</v>
      </c>
      <c r="E6313" s="8" t="s">
        <v>4587</v>
      </c>
      <c r="F6313" s="8">
        <v>7.909930837E9</v>
      </c>
    </row>
    <row r="6314" ht="15.75" customHeight="1">
      <c r="A6314" s="8" t="s">
        <v>5039</v>
      </c>
      <c r="B6314" s="8" t="s">
        <v>5040</v>
      </c>
      <c r="C6314" s="8" t="s">
        <v>4406</v>
      </c>
      <c r="D6314" s="8" t="s">
        <v>44</v>
      </c>
      <c r="E6314" s="8" t="s">
        <v>4276</v>
      </c>
      <c r="F6314" s="8">
        <v>7.9815171E9</v>
      </c>
    </row>
    <row r="6315" ht="15.75" customHeight="1">
      <c r="A6315" s="8" t="s">
        <v>4589</v>
      </c>
      <c r="B6315" s="8" t="s">
        <v>5361</v>
      </c>
      <c r="C6315" s="8" t="s">
        <v>5362</v>
      </c>
      <c r="D6315" s="8" t="s">
        <v>9</v>
      </c>
      <c r="E6315" s="8" t="s">
        <v>5363</v>
      </c>
      <c r="F6315" s="8">
        <v>9.736118007E9</v>
      </c>
    </row>
    <row r="6316" ht="15.75" customHeight="1">
      <c r="A6316" s="8" t="s">
        <v>2741</v>
      </c>
      <c r="B6316" s="8" t="s">
        <v>147</v>
      </c>
      <c r="C6316" s="8" t="s">
        <v>5144</v>
      </c>
      <c r="D6316" s="8" t="s">
        <v>14</v>
      </c>
      <c r="E6316" s="8" t="s">
        <v>5145</v>
      </c>
      <c r="F6316" s="8">
        <v>9.56012469E9</v>
      </c>
    </row>
    <row r="6317" ht="15.75" customHeight="1">
      <c r="A6317" s="8" t="s">
        <v>5038</v>
      </c>
      <c r="B6317" s="8" t="s">
        <v>1419</v>
      </c>
      <c r="C6317" s="8" t="s">
        <v>4905</v>
      </c>
      <c r="D6317" s="8" t="s">
        <v>29</v>
      </c>
      <c r="E6317" s="8" t="s">
        <v>4015</v>
      </c>
      <c r="F6317" s="8">
        <v>9.582970397E9</v>
      </c>
    </row>
    <row r="6318" ht="15.75" customHeight="1">
      <c r="A6318" s="8" t="s">
        <v>2780</v>
      </c>
      <c r="B6318" s="8" t="s">
        <v>1663</v>
      </c>
      <c r="C6318" s="8" t="s">
        <v>5182</v>
      </c>
      <c r="D6318" s="8" t="s">
        <v>56</v>
      </c>
      <c r="E6318" s="8" t="s">
        <v>4923</v>
      </c>
      <c r="F6318" s="8">
        <v>8.283095309E9</v>
      </c>
    </row>
    <row r="6319" ht="15.75" customHeight="1">
      <c r="A6319" s="8" t="s">
        <v>5358</v>
      </c>
      <c r="B6319" s="8" t="s">
        <v>5359</v>
      </c>
      <c r="C6319" s="8" t="s">
        <v>5360</v>
      </c>
      <c r="D6319" s="8" t="s">
        <v>9</v>
      </c>
      <c r="E6319" s="8" t="s">
        <v>1102</v>
      </c>
      <c r="F6319" s="8">
        <v>7.042230235E9</v>
      </c>
    </row>
    <row r="6320" ht="15.75" customHeight="1">
      <c r="A6320" s="8" t="s">
        <v>5518</v>
      </c>
      <c r="B6320" s="8" t="s">
        <v>5302</v>
      </c>
      <c r="C6320" s="8" t="s">
        <v>5519</v>
      </c>
      <c r="D6320" s="8" t="s">
        <v>9</v>
      </c>
      <c r="E6320" s="8" t="s">
        <v>494</v>
      </c>
      <c r="F6320" s="8">
        <v>9.990714556E9</v>
      </c>
    </row>
    <row r="6321" ht="15.75" customHeight="1">
      <c r="A6321" s="8" t="s">
        <v>5208</v>
      </c>
      <c r="B6321" s="8" t="s">
        <v>5209</v>
      </c>
      <c r="C6321" s="8" t="s">
        <v>5210</v>
      </c>
      <c r="D6321" s="8" t="s">
        <v>44</v>
      </c>
      <c r="E6321" s="8" t="s">
        <v>421</v>
      </c>
      <c r="F6321" s="8">
        <v>8.489448629E9</v>
      </c>
    </row>
    <row r="6322" ht="15.75" customHeight="1">
      <c r="A6322" s="8" t="s">
        <v>189</v>
      </c>
      <c r="B6322" s="8" t="s">
        <v>1587</v>
      </c>
      <c r="C6322" s="8" t="s">
        <v>4844</v>
      </c>
      <c r="D6322" s="8" t="s">
        <v>26</v>
      </c>
      <c r="E6322" s="8" t="s">
        <v>1102</v>
      </c>
      <c r="F6322" s="8">
        <v>8.800389872E9</v>
      </c>
    </row>
    <row r="6323" ht="15.75" customHeight="1">
      <c r="A6323" s="8" t="s">
        <v>2822</v>
      </c>
      <c r="B6323" s="8" t="s">
        <v>4959</v>
      </c>
      <c r="C6323" s="8" t="s">
        <v>4960</v>
      </c>
      <c r="D6323" s="8" t="s">
        <v>9</v>
      </c>
      <c r="E6323" s="8" t="s">
        <v>4961</v>
      </c>
      <c r="F6323" s="8">
        <v>9.729342411E9</v>
      </c>
    </row>
    <row r="6324" ht="15.75" customHeight="1">
      <c r="A6324" s="8" t="s">
        <v>5215</v>
      </c>
      <c r="B6324" s="8" t="s">
        <v>4217</v>
      </c>
      <c r="C6324" s="8" t="s">
        <v>3322</v>
      </c>
      <c r="D6324" s="8" t="s">
        <v>56</v>
      </c>
      <c r="E6324" s="8" t="s">
        <v>434</v>
      </c>
      <c r="F6324" s="8" t="str">
        <f>+91 7045571807</f>
        <v>#ERROR!</v>
      </c>
    </row>
    <row r="6325" ht="15.75" customHeight="1">
      <c r="A6325" s="8" t="s">
        <v>5481</v>
      </c>
      <c r="B6325" s="8" t="s">
        <v>5482</v>
      </c>
      <c r="C6325" s="8" t="s">
        <v>5483</v>
      </c>
      <c r="D6325" s="8" t="s">
        <v>9</v>
      </c>
      <c r="E6325" s="8" t="s">
        <v>195</v>
      </c>
      <c r="F6325" s="8" t="s">
        <v>5484</v>
      </c>
    </row>
    <row r="6326" ht="15.75" customHeight="1">
      <c r="A6326" s="8" t="s">
        <v>4880</v>
      </c>
      <c r="B6326" s="8" t="s">
        <v>4881</v>
      </c>
      <c r="C6326" s="8" t="s">
        <v>4882</v>
      </c>
      <c r="D6326" s="8" t="s">
        <v>14</v>
      </c>
      <c r="E6326" s="8" t="s">
        <v>4276</v>
      </c>
      <c r="F6326" s="8">
        <v>7.675860877E9</v>
      </c>
    </row>
    <row r="6327" ht="15.75" customHeight="1">
      <c r="A6327" s="8" t="s">
        <v>4633</v>
      </c>
      <c r="B6327" s="8" t="s">
        <v>4634</v>
      </c>
      <c r="C6327" s="8" t="s">
        <v>4635</v>
      </c>
      <c r="D6327" s="8" t="s">
        <v>44</v>
      </c>
      <c r="E6327" s="8" t="s">
        <v>4636</v>
      </c>
      <c r="F6327" s="8">
        <v>9.937560234E9</v>
      </c>
    </row>
    <row r="6328" ht="15.75" customHeight="1">
      <c r="A6328" s="8" t="s">
        <v>5088</v>
      </c>
      <c r="B6328" s="8" t="s">
        <v>63</v>
      </c>
      <c r="C6328" s="8" t="s">
        <v>4409</v>
      </c>
      <c r="D6328" s="8" t="s">
        <v>56</v>
      </c>
      <c r="E6328" s="8" t="s">
        <v>5087</v>
      </c>
      <c r="F6328" s="8">
        <v>7.001441517E9</v>
      </c>
    </row>
    <row r="6329" ht="15.75" customHeight="1">
      <c r="A6329" s="8" t="s">
        <v>1289</v>
      </c>
      <c r="B6329" s="8" t="s">
        <v>499</v>
      </c>
      <c r="C6329" s="8" t="s">
        <v>4621</v>
      </c>
      <c r="D6329" s="8" t="s">
        <v>29</v>
      </c>
      <c r="E6329" s="8" t="s">
        <v>4212</v>
      </c>
      <c r="F6329" s="8">
        <v>1.23456789E8</v>
      </c>
    </row>
    <row r="6330" ht="15.75" customHeight="1">
      <c r="A6330" s="8" t="s">
        <v>3773</v>
      </c>
      <c r="B6330" s="8" t="s">
        <v>91</v>
      </c>
      <c r="C6330" s="8" t="s">
        <v>5422</v>
      </c>
      <c r="D6330" s="8" t="s">
        <v>44</v>
      </c>
      <c r="E6330" s="8" t="s">
        <v>5423</v>
      </c>
      <c r="F6330" s="8">
        <v>9.95874777E9</v>
      </c>
    </row>
    <row r="6331" ht="15.75" customHeight="1">
      <c r="A6331" s="8" t="s">
        <v>1468</v>
      </c>
      <c r="B6331" s="8" t="s">
        <v>47</v>
      </c>
      <c r="C6331" s="8" t="s">
        <v>4730</v>
      </c>
      <c r="D6331" s="8" t="s">
        <v>44</v>
      </c>
      <c r="E6331" s="8" t="s">
        <v>2115</v>
      </c>
      <c r="F6331" s="8">
        <v>8.777427558E9</v>
      </c>
    </row>
    <row r="6332" ht="15.75" customHeight="1">
      <c r="A6332" s="8" t="s">
        <v>5135</v>
      </c>
      <c r="B6332" s="8" t="s">
        <v>5136</v>
      </c>
      <c r="C6332" s="8" t="s">
        <v>4989</v>
      </c>
      <c r="D6332" s="8" t="s">
        <v>29</v>
      </c>
      <c r="E6332" s="8" t="s">
        <v>4779</v>
      </c>
      <c r="F6332" s="8">
        <v>6.26146689E9</v>
      </c>
    </row>
    <row r="6333" ht="15.75" customHeight="1">
      <c r="A6333" s="8" t="s">
        <v>5099</v>
      </c>
      <c r="B6333" s="8" t="s">
        <v>150</v>
      </c>
      <c r="C6333" s="8" t="s">
        <v>5137</v>
      </c>
      <c r="D6333" s="8" t="s">
        <v>44</v>
      </c>
      <c r="E6333" s="8" t="s">
        <v>19</v>
      </c>
      <c r="F6333" s="8">
        <v>7.717799596E9</v>
      </c>
    </row>
    <row r="6334" ht="15.75" customHeight="1">
      <c r="A6334" s="8" t="s">
        <v>1430</v>
      </c>
      <c r="B6334" s="8" t="s">
        <v>4749</v>
      </c>
      <c r="C6334" s="8" t="s">
        <v>4750</v>
      </c>
      <c r="D6334" s="8" t="s">
        <v>44</v>
      </c>
      <c r="E6334" s="8" t="s">
        <v>434</v>
      </c>
      <c r="F6334" s="8">
        <v>7.73851108E9</v>
      </c>
    </row>
    <row r="6335" ht="15.75" customHeight="1">
      <c r="A6335" s="8" t="s">
        <v>3246</v>
      </c>
      <c r="B6335" s="8" t="s">
        <v>832</v>
      </c>
      <c r="C6335" s="8" t="s">
        <v>5078</v>
      </c>
      <c r="D6335" s="8" t="s">
        <v>56</v>
      </c>
      <c r="E6335" s="8" t="s">
        <v>255</v>
      </c>
      <c r="F6335" s="8">
        <v>9.065850191E9</v>
      </c>
    </row>
    <row r="6336" ht="15.75" customHeight="1">
      <c r="A6336" s="8" t="s">
        <v>4592</v>
      </c>
      <c r="B6336" s="8" t="s">
        <v>108</v>
      </c>
      <c r="C6336" s="8" t="s">
        <v>514</v>
      </c>
      <c r="D6336" s="8" t="s">
        <v>56</v>
      </c>
      <c r="E6336" s="8" t="s">
        <v>1102</v>
      </c>
      <c r="F6336" s="8">
        <v>9.871575357E9</v>
      </c>
    </row>
    <row r="6337" ht="15.75" customHeight="1">
      <c r="A6337" s="8" t="s">
        <v>5323</v>
      </c>
      <c r="B6337" s="8" t="s">
        <v>5324</v>
      </c>
      <c r="C6337" s="8" t="s">
        <v>5325</v>
      </c>
      <c r="D6337" s="8" t="s">
        <v>29</v>
      </c>
      <c r="E6337" s="8" t="s">
        <v>5326</v>
      </c>
      <c r="F6337" s="8">
        <v>8.608354107E9</v>
      </c>
    </row>
    <row r="6338" ht="15.75" customHeight="1">
      <c r="A6338" s="8" t="s">
        <v>189</v>
      </c>
      <c r="B6338" s="8" t="s">
        <v>1090</v>
      </c>
      <c r="C6338" s="8" t="s">
        <v>5332</v>
      </c>
      <c r="D6338" s="8" t="s">
        <v>29</v>
      </c>
      <c r="E6338" s="8" t="s">
        <v>2115</v>
      </c>
      <c r="F6338" s="8">
        <v>8.617584936E9</v>
      </c>
    </row>
    <row r="6339" ht="15.75" customHeight="1">
      <c r="A6339" s="8" t="s">
        <v>5189</v>
      </c>
      <c r="B6339" s="8" t="s">
        <v>4939</v>
      </c>
      <c r="C6339" s="8" t="s">
        <v>5190</v>
      </c>
      <c r="D6339" s="8" t="s">
        <v>44</v>
      </c>
      <c r="E6339" s="8" t="s">
        <v>4941</v>
      </c>
      <c r="F6339" s="8">
        <v>6.305530453E9</v>
      </c>
    </row>
    <row r="6340" ht="15.75" customHeight="1">
      <c r="A6340" s="8" t="s">
        <v>996</v>
      </c>
      <c r="B6340" s="8" t="s">
        <v>3599</v>
      </c>
      <c r="C6340" s="8" t="s">
        <v>5462</v>
      </c>
      <c r="D6340" s="8" t="s">
        <v>44</v>
      </c>
      <c r="E6340" s="8" t="s">
        <v>434</v>
      </c>
      <c r="F6340" s="8">
        <v>9.324011666E9</v>
      </c>
    </row>
    <row r="6341" ht="15.75" customHeight="1">
      <c r="A6341" s="8" t="s">
        <v>4993</v>
      </c>
      <c r="B6341" s="8" t="s">
        <v>4994</v>
      </c>
      <c r="C6341" s="8" t="s">
        <v>4995</v>
      </c>
      <c r="D6341" s="8" t="s">
        <v>102</v>
      </c>
      <c r="E6341" s="8" t="s">
        <v>4358</v>
      </c>
      <c r="F6341" s="8">
        <v>8.962779063E9</v>
      </c>
    </row>
    <row r="6342" ht="15.75" customHeight="1">
      <c r="A6342" s="8" t="s">
        <v>4537</v>
      </c>
      <c r="B6342" s="8" t="s">
        <v>4538</v>
      </c>
      <c r="C6342" s="8" t="s">
        <v>4539</v>
      </c>
      <c r="D6342" s="8" t="s">
        <v>44</v>
      </c>
      <c r="E6342" s="8" t="s">
        <v>4540</v>
      </c>
      <c r="F6342" s="8">
        <v>9.431124359E9</v>
      </c>
    </row>
    <row r="6343" ht="15.75" customHeight="1">
      <c r="A6343" s="8" t="s">
        <v>2702</v>
      </c>
      <c r="B6343" s="8" t="s">
        <v>4921</v>
      </c>
      <c r="C6343" s="8" t="s">
        <v>4922</v>
      </c>
      <c r="D6343" s="8" t="s">
        <v>26</v>
      </c>
      <c r="E6343" s="8" t="s">
        <v>4923</v>
      </c>
      <c r="F6343" s="8">
        <v>9.988005531E9</v>
      </c>
    </row>
    <row r="6344" ht="15.75" customHeight="1">
      <c r="A6344" s="8" t="s">
        <v>4502</v>
      </c>
      <c r="B6344" s="8" t="s">
        <v>112</v>
      </c>
      <c r="C6344" s="8" t="s">
        <v>4503</v>
      </c>
      <c r="D6344" s="8" t="s">
        <v>9</v>
      </c>
      <c r="E6344" s="8" t="s">
        <v>4504</v>
      </c>
      <c r="F6344" s="8">
        <v>8.745951248E9</v>
      </c>
    </row>
    <row r="6345" ht="15.75" customHeight="1">
      <c r="A6345" s="8" t="s">
        <v>4505</v>
      </c>
      <c r="B6345" s="8" t="s">
        <v>3527</v>
      </c>
      <c r="C6345" s="8" t="s">
        <v>4506</v>
      </c>
      <c r="D6345" s="8" t="s">
        <v>9</v>
      </c>
      <c r="E6345" s="8" t="s">
        <v>1102</v>
      </c>
      <c r="F6345" s="8">
        <v>9.718687465E9</v>
      </c>
    </row>
    <row r="6346" ht="15.75" customHeight="1">
      <c r="A6346" s="8" t="s">
        <v>5080</v>
      </c>
      <c r="B6346" s="8" t="s">
        <v>5081</v>
      </c>
      <c r="C6346" s="8" t="s">
        <v>5082</v>
      </c>
      <c r="D6346" s="8" t="s">
        <v>56</v>
      </c>
      <c r="E6346" s="8" t="s">
        <v>494</v>
      </c>
      <c r="F6346" s="8">
        <v>9.419298707E9</v>
      </c>
    </row>
    <row r="6347" ht="15.75" customHeight="1">
      <c r="A6347" s="8" t="s">
        <v>189</v>
      </c>
      <c r="B6347" s="8" t="s">
        <v>4711</v>
      </c>
      <c r="C6347" s="8" t="s">
        <v>4712</v>
      </c>
      <c r="D6347" s="8" t="s">
        <v>9</v>
      </c>
      <c r="E6347" s="8" t="s">
        <v>1102</v>
      </c>
      <c r="F6347" s="8">
        <v>9.911270616E9</v>
      </c>
    </row>
    <row r="6348" ht="15.75" customHeight="1">
      <c r="A6348" s="8" t="s">
        <v>4543</v>
      </c>
      <c r="B6348" s="8" t="s">
        <v>50</v>
      </c>
      <c r="C6348" s="8" t="s">
        <v>493</v>
      </c>
      <c r="D6348" s="8" t="s">
        <v>26</v>
      </c>
      <c r="E6348" s="8" t="s">
        <v>1102</v>
      </c>
      <c r="F6348" s="8">
        <v>9.350348041E9</v>
      </c>
    </row>
    <row r="6349" ht="15.75" customHeight="1">
      <c r="A6349" s="8" t="s">
        <v>2883</v>
      </c>
      <c r="B6349" s="8" t="s">
        <v>4499</v>
      </c>
      <c r="C6349" s="8" t="s">
        <v>4500</v>
      </c>
      <c r="D6349" s="8" t="s">
        <v>9</v>
      </c>
      <c r="E6349" s="8" t="s">
        <v>4501</v>
      </c>
      <c r="F6349" s="8">
        <v>8.660134454E9</v>
      </c>
    </row>
    <row r="6350" ht="15.75" customHeight="1">
      <c r="A6350" s="8" t="s">
        <v>3629</v>
      </c>
      <c r="B6350" s="8" t="s">
        <v>1646</v>
      </c>
      <c r="C6350" s="8" t="s">
        <v>4477</v>
      </c>
      <c r="D6350" s="8" t="s">
        <v>29</v>
      </c>
      <c r="E6350" s="8" t="s">
        <v>1102</v>
      </c>
      <c r="F6350" s="8">
        <v>8.851846744E9</v>
      </c>
    </row>
    <row r="6351" ht="15.75" customHeight="1">
      <c r="A6351" s="8" t="s">
        <v>1401</v>
      </c>
      <c r="B6351" s="8" t="s">
        <v>125</v>
      </c>
      <c r="C6351" s="8" t="s">
        <v>412</v>
      </c>
      <c r="D6351" s="8" t="s">
        <v>56</v>
      </c>
      <c r="E6351" s="8" t="s">
        <v>5242</v>
      </c>
      <c r="F6351" s="8">
        <v>7.895635055E9</v>
      </c>
    </row>
    <row r="6352" ht="15.75" customHeight="1">
      <c r="A6352" s="8" t="s">
        <v>4629</v>
      </c>
      <c r="B6352" s="8" t="s">
        <v>4630</v>
      </c>
      <c r="C6352" s="8" t="s">
        <v>4631</v>
      </c>
      <c r="D6352" s="8" t="s">
        <v>44</v>
      </c>
      <c r="E6352" s="8" t="s">
        <v>4632</v>
      </c>
      <c r="F6352" s="8">
        <v>5.86325659E8</v>
      </c>
    </row>
    <row r="6353" ht="15.75" customHeight="1">
      <c r="A6353" s="8" t="s">
        <v>707</v>
      </c>
      <c r="B6353" s="8" t="s">
        <v>50</v>
      </c>
      <c r="C6353" s="8" t="s">
        <v>5222</v>
      </c>
      <c r="D6353" s="8" t="s">
        <v>26</v>
      </c>
      <c r="E6353" s="8" t="s">
        <v>5223</v>
      </c>
      <c r="F6353" s="8">
        <v>6.583651569E9</v>
      </c>
    </row>
    <row r="6354" ht="15.75" customHeight="1">
      <c r="A6354" s="8" t="s">
        <v>5567</v>
      </c>
      <c r="B6354" s="8" t="s">
        <v>4856</v>
      </c>
      <c r="C6354" s="8" t="s">
        <v>5568</v>
      </c>
      <c r="D6354" s="8" t="s">
        <v>29</v>
      </c>
      <c r="E6354" s="8" t="s">
        <v>434</v>
      </c>
      <c r="F6354" s="8">
        <v>9.833536472E9</v>
      </c>
    </row>
    <row r="6355" ht="15.75" customHeight="1">
      <c r="A6355" s="8" t="s">
        <v>4646</v>
      </c>
      <c r="B6355" s="8" t="s">
        <v>4647</v>
      </c>
      <c r="C6355" s="8" t="s">
        <v>4648</v>
      </c>
      <c r="D6355" s="8" t="s">
        <v>26</v>
      </c>
      <c r="E6355" s="8" t="s">
        <v>4649</v>
      </c>
      <c r="F6355" s="8">
        <v>5.26879909E8</v>
      </c>
    </row>
    <row r="6356" ht="15.75" customHeight="1">
      <c r="A6356" s="8" t="s">
        <v>4682</v>
      </c>
      <c r="B6356" s="8" t="s">
        <v>4683</v>
      </c>
      <c r="C6356" s="8" t="s">
        <v>4684</v>
      </c>
      <c r="D6356" s="8" t="s">
        <v>9</v>
      </c>
      <c r="E6356" s="8" t="s">
        <v>4685</v>
      </c>
      <c r="F6356" s="8">
        <v>5.37242842E8</v>
      </c>
    </row>
    <row r="6357" ht="15.75" customHeight="1">
      <c r="A6357" s="8" t="s">
        <v>4822</v>
      </c>
      <c r="B6357" s="8" t="s">
        <v>4823</v>
      </c>
      <c r="C6357" s="8" t="s">
        <v>4824</v>
      </c>
      <c r="D6357" s="8" t="s">
        <v>44</v>
      </c>
      <c r="E6357" s="8" t="s">
        <v>4136</v>
      </c>
      <c r="F6357" s="8">
        <v>5.46233092E8</v>
      </c>
    </row>
    <row r="6358" ht="15.75" customHeight="1">
      <c r="A6358" s="8" t="s">
        <v>4856</v>
      </c>
      <c r="B6358" s="8" t="s">
        <v>4856</v>
      </c>
      <c r="C6358" s="8">
        <v>11.0</v>
      </c>
      <c r="D6358" s="8" t="s">
        <v>102</v>
      </c>
      <c r="E6358" s="8" t="s">
        <v>4857</v>
      </c>
      <c r="F6358" s="8">
        <v>1.111111111E9</v>
      </c>
    </row>
    <row r="6359" ht="15.75" customHeight="1">
      <c r="A6359" s="8" t="s">
        <v>4868</v>
      </c>
      <c r="B6359" s="8" t="s">
        <v>4869</v>
      </c>
      <c r="C6359" s="8" t="s">
        <v>4870</v>
      </c>
      <c r="D6359" s="8" t="s">
        <v>26</v>
      </c>
      <c r="E6359" s="8" t="s">
        <v>3105</v>
      </c>
      <c r="F6359" s="8">
        <v>7.89280751E8</v>
      </c>
    </row>
    <row r="6360" ht="15.75" customHeight="1">
      <c r="A6360" s="8" t="s">
        <v>4777</v>
      </c>
      <c r="B6360" s="8" t="s">
        <v>1999</v>
      </c>
      <c r="C6360" s="8" t="s">
        <v>4778</v>
      </c>
      <c r="D6360" s="8" t="s">
        <v>26</v>
      </c>
      <c r="E6360" s="8" t="s">
        <v>4779</v>
      </c>
      <c r="F6360" s="8">
        <v>6.263607141E9</v>
      </c>
    </row>
    <row r="6361" ht="15.75" customHeight="1">
      <c r="A6361" s="8" t="s">
        <v>4803</v>
      </c>
      <c r="B6361" s="8" t="s">
        <v>1658</v>
      </c>
      <c r="C6361" s="8" t="s">
        <v>4677</v>
      </c>
      <c r="D6361" s="8" t="s">
        <v>29</v>
      </c>
      <c r="E6361" s="8" t="s">
        <v>5110</v>
      </c>
      <c r="F6361" s="8">
        <v>7.042984058E9</v>
      </c>
    </row>
    <row r="6362" ht="15.75" customHeight="1">
      <c r="A6362" s="8" t="s">
        <v>189</v>
      </c>
      <c r="B6362" s="8" t="s">
        <v>4728</v>
      </c>
      <c r="C6362" s="8" t="s">
        <v>4635</v>
      </c>
      <c r="D6362" s="8" t="s">
        <v>44</v>
      </c>
      <c r="E6362" s="8" t="s">
        <v>4729</v>
      </c>
      <c r="F6362" s="8">
        <v>7.20520335E9</v>
      </c>
    </row>
    <row r="6363" ht="15.75" customHeight="1">
      <c r="A6363" s="8" t="s">
        <v>5155</v>
      </c>
      <c r="B6363" s="8" t="s">
        <v>832</v>
      </c>
      <c r="C6363" s="8" t="s">
        <v>5156</v>
      </c>
      <c r="D6363" s="8" t="s">
        <v>29</v>
      </c>
      <c r="E6363" s="8" t="s">
        <v>19</v>
      </c>
      <c r="F6363" s="8">
        <v>7.856949141E9</v>
      </c>
    </row>
    <row r="6364" ht="15.75" customHeight="1">
      <c r="A6364" s="8" t="s">
        <v>3389</v>
      </c>
      <c r="B6364" s="8" t="s">
        <v>47</v>
      </c>
      <c r="C6364" s="8" t="s">
        <v>5462</v>
      </c>
      <c r="D6364" s="8" t="s">
        <v>26</v>
      </c>
      <c r="E6364" s="8" t="s">
        <v>434</v>
      </c>
      <c r="F6364" s="8">
        <v>7.208715071E9</v>
      </c>
    </row>
    <row r="6365" ht="15.75" customHeight="1">
      <c r="A6365" s="8" t="s">
        <v>5248</v>
      </c>
      <c r="B6365" s="8" t="s">
        <v>5249</v>
      </c>
      <c r="C6365" s="8" t="s">
        <v>5250</v>
      </c>
      <c r="D6365" s="8" t="s">
        <v>56</v>
      </c>
      <c r="E6365" s="8" t="s">
        <v>4276</v>
      </c>
      <c r="F6365" s="8">
        <v>8.0083133E9</v>
      </c>
    </row>
    <row r="6366" ht="15.75" customHeight="1">
      <c r="A6366" s="8" t="s">
        <v>3049</v>
      </c>
      <c r="B6366" s="8" t="s">
        <v>4492</v>
      </c>
      <c r="C6366" s="8" t="s">
        <v>4493</v>
      </c>
      <c r="D6366" s="8" t="s">
        <v>44</v>
      </c>
      <c r="E6366" s="8" t="s">
        <v>434</v>
      </c>
      <c r="F6366" s="8">
        <v>9.082866415E9</v>
      </c>
    </row>
    <row r="6367" ht="15.75" customHeight="1">
      <c r="A6367" s="8" t="s">
        <v>2239</v>
      </c>
      <c r="B6367" s="8" t="s">
        <v>5273</v>
      </c>
      <c r="C6367" s="8" t="s">
        <v>4449</v>
      </c>
      <c r="D6367" s="8" t="s">
        <v>9</v>
      </c>
      <c r="E6367" s="8" t="s">
        <v>4961</v>
      </c>
      <c r="F6367" s="8">
        <v>9.996814806E9</v>
      </c>
    </row>
    <row r="6368" ht="15.75" customHeight="1">
      <c r="A6368" s="8" t="s">
        <v>5617</v>
      </c>
      <c r="B6368" s="8" t="s">
        <v>47</v>
      </c>
      <c r="C6368" s="8" t="s">
        <v>5618</v>
      </c>
      <c r="D6368" s="8" t="s">
        <v>26</v>
      </c>
      <c r="E6368" s="8" t="s">
        <v>1102</v>
      </c>
      <c r="F6368" s="8" t="s">
        <v>5619</v>
      </c>
    </row>
    <row r="6369" ht="15.75" customHeight="1">
      <c r="A6369" s="8" t="s">
        <v>4505</v>
      </c>
      <c r="B6369" s="8" t="s">
        <v>65</v>
      </c>
      <c r="C6369" s="8" t="s">
        <v>3790</v>
      </c>
      <c r="D6369" s="8" t="s">
        <v>9</v>
      </c>
      <c r="E6369" s="8" t="s">
        <v>5242</v>
      </c>
      <c r="F6369" s="8" t="s">
        <v>5681</v>
      </c>
    </row>
    <row r="6370" ht="15.75" customHeight="1">
      <c r="A6370" s="8" t="s">
        <v>4490</v>
      </c>
      <c r="B6370" s="8" t="s">
        <v>3763</v>
      </c>
      <c r="C6370" s="8" t="s">
        <v>4491</v>
      </c>
      <c r="D6370" s="8" t="s">
        <v>56</v>
      </c>
      <c r="E6370" s="8" t="s">
        <v>1008</v>
      </c>
      <c r="F6370" s="8">
        <v>7.573838771E9</v>
      </c>
    </row>
    <row r="6371" ht="15.75" customHeight="1">
      <c r="A6371" s="8" t="s">
        <v>5099</v>
      </c>
      <c r="B6371" s="8" t="s">
        <v>5100</v>
      </c>
      <c r="C6371" s="8" t="s">
        <v>5101</v>
      </c>
      <c r="D6371" s="8" t="s">
        <v>29</v>
      </c>
      <c r="E6371" s="8" t="s">
        <v>4779</v>
      </c>
      <c r="F6371" s="8">
        <v>7.999845412E9</v>
      </c>
    </row>
    <row r="6372" ht="15.75" customHeight="1">
      <c r="A6372" s="8" t="s">
        <v>4784</v>
      </c>
      <c r="B6372" s="8" t="s">
        <v>4785</v>
      </c>
      <c r="C6372" s="8" t="s">
        <v>4700</v>
      </c>
      <c r="D6372" s="8" t="s">
        <v>14</v>
      </c>
      <c r="E6372" s="8" t="s">
        <v>4786</v>
      </c>
      <c r="F6372" s="8">
        <v>9.854049774E9</v>
      </c>
    </row>
    <row r="6373" ht="15.75" customHeight="1">
      <c r="A6373" s="8" t="s">
        <v>4951</v>
      </c>
      <c r="B6373" s="8" t="s">
        <v>4952</v>
      </c>
      <c r="C6373" s="8" t="s">
        <v>4953</v>
      </c>
      <c r="D6373" s="8" t="s">
        <v>44</v>
      </c>
      <c r="E6373" s="8" t="s">
        <v>494</v>
      </c>
      <c r="F6373" s="8">
        <v>9.71791133E9</v>
      </c>
    </row>
    <row r="6374" ht="15.75" customHeight="1">
      <c r="A6374" s="8" t="s">
        <v>1340</v>
      </c>
      <c r="B6374" s="8" t="s">
        <v>50</v>
      </c>
      <c r="C6374" s="8" t="s">
        <v>4968</v>
      </c>
      <c r="D6374" s="8" t="s">
        <v>9</v>
      </c>
      <c r="E6374" s="8" t="s">
        <v>4625</v>
      </c>
      <c r="F6374" s="8">
        <v>9.98270524E9</v>
      </c>
    </row>
    <row r="6375" ht="15.75" customHeight="1">
      <c r="A6375" s="8" t="s">
        <v>4548</v>
      </c>
      <c r="B6375" s="8" t="s">
        <v>75</v>
      </c>
      <c r="C6375" s="8" t="s">
        <v>4549</v>
      </c>
      <c r="D6375" s="8" t="s">
        <v>44</v>
      </c>
      <c r="E6375" s="8" t="s">
        <v>4276</v>
      </c>
      <c r="F6375" s="8">
        <v>7.659929077E9</v>
      </c>
    </row>
    <row r="6376" ht="15.75" customHeight="1">
      <c r="A6376" s="8" t="s">
        <v>74</v>
      </c>
      <c r="B6376" s="8" t="s">
        <v>1732</v>
      </c>
      <c r="C6376" s="8" t="s">
        <v>4551</v>
      </c>
      <c r="D6376" s="8" t="s">
        <v>9</v>
      </c>
      <c r="E6376" s="8" t="s">
        <v>4318</v>
      </c>
      <c r="F6376" s="8">
        <v>9.709222073E9</v>
      </c>
    </row>
    <row r="6377" ht="15.75" customHeight="1">
      <c r="A6377" s="8" t="s">
        <v>4605</v>
      </c>
      <c r="B6377" s="8" t="s">
        <v>4606</v>
      </c>
      <c r="C6377" s="8" t="s">
        <v>4607</v>
      </c>
      <c r="D6377" s="8" t="s">
        <v>44</v>
      </c>
      <c r="E6377" s="8" t="s">
        <v>1102</v>
      </c>
      <c r="F6377" s="8">
        <v>9.773727024E9</v>
      </c>
    </row>
    <row r="6378" ht="15.75" customHeight="1">
      <c r="A6378" s="8" t="s">
        <v>1260</v>
      </c>
      <c r="B6378" s="8" t="s">
        <v>4613</v>
      </c>
      <c r="C6378" s="8" t="s">
        <v>493</v>
      </c>
      <c r="D6378" s="8" t="s">
        <v>9</v>
      </c>
      <c r="E6378" s="8" t="s">
        <v>1102</v>
      </c>
      <c r="F6378" s="8">
        <v>8.447872909E9</v>
      </c>
    </row>
    <row r="6379" ht="15.75" customHeight="1">
      <c r="A6379" s="8" t="s">
        <v>4622</v>
      </c>
      <c r="B6379" s="8" t="s">
        <v>4623</v>
      </c>
      <c r="C6379" s="8" t="s">
        <v>4624</v>
      </c>
      <c r="D6379" s="8" t="s">
        <v>56</v>
      </c>
      <c r="E6379" s="8" t="s">
        <v>4385</v>
      </c>
      <c r="F6379" s="8">
        <v>7.019260166E9</v>
      </c>
    </row>
    <row r="6380" ht="15.75" customHeight="1">
      <c r="A6380" s="8" t="s">
        <v>4657</v>
      </c>
      <c r="B6380" s="8" t="s">
        <v>65</v>
      </c>
      <c r="C6380" s="8" t="s">
        <v>4658</v>
      </c>
      <c r="D6380" s="8" t="s">
        <v>56</v>
      </c>
      <c r="E6380" s="8" t="s">
        <v>4652</v>
      </c>
      <c r="F6380" s="8">
        <v>9.458933945E9</v>
      </c>
    </row>
    <row r="6381" ht="15.75" customHeight="1">
      <c r="A6381" s="8" t="s">
        <v>446</v>
      </c>
      <c r="B6381" s="8" t="s">
        <v>4842</v>
      </c>
      <c r="C6381" s="8" t="s">
        <v>4843</v>
      </c>
      <c r="D6381" s="8" t="s">
        <v>1108</v>
      </c>
      <c r="E6381" s="8" t="s">
        <v>2025</v>
      </c>
      <c r="F6381" s="8">
        <v>9.868740519E9</v>
      </c>
    </row>
    <row r="6382" ht="15.75" customHeight="1">
      <c r="A6382" s="8" t="s">
        <v>1092</v>
      </c>
      <c r="B6382" s="8" t="s">
        <v>675</v>
      </c>
      <c r="C6382" s="8" t="s">
        <v>4257</v>
      </c>
      <c r="D6382" s="8" t="s">
        <v>44</v>
      </c>
      <c r="E6382" s="8" t="s">
        <v>434</v>
      </c>
      <c r="F6382" s="8">
        <v>8.828370181E9</v>
      </c>
    </row>
    <row r="6383" ht="15.75" customHeight="1">
      <c r="A6383" s="8" t="s">
        <v>4939</v>
      </c>
      <c r="B6383" s="8" t="s">
        <v>4940</v>
      </c>
      <c r="C6383" s="8" t="s">
        <v>4275</v>
      </c>
      <c r="D6383" s="8" t="s">
        <v>9</v>
      </c>
      <c r="E6383" s="8" t="s">
        <v>4941</v>
      </c>
      <c r="F6383" s="8">
        <v>9.849007869E9</v>
      </c>
    </row>
    <row r="6384" ht="15.75" customHeight="1">
      <c r="A6384" s="8" t="s">
        <v>730</v>
      </c>
      <c r="B6384" s="8" t="s">
        <v>4954</v>
      </c>
      <c r="C6384" s="8" t="s">
        <v>4955</v>
      </c>
      <c r="D6384" s="8" t="s">
        <v>9</v>
      </c>
      <c r="E6384" s="8" t="s">
        <v>4212</v>
      </c>
      <c r="F6384" s="8">
        <v>8.448824626E9</v>
      </c>
    </row>
    <row r="6385" ht="15.75" customHeight="1">
      <c r="A6385" s="8" t="s">
        <v>4996</v>
      </c>
      <c r="B6385" s="8" t="s">
        <v>2217</v>
      </c>
      <c r="C6385" s="8" t="s">
        <v>4997</v>
      </c>
      <c r="D6385" s="8" t="s">
        <v>102</v>
      </c>
      <c r="E6385" s="8" t="s">
        <v>4358</v>
      </c>
      <c r="F6385" s="8">
        <v>8.839802644E9</v>
      </c>
    </row>
    <row r="6386" ht="15.75" customHeight="1">
      <c r="A6386" s="8" t="s">
        <v>3642</v>
      </c>
      <c r="B6386" s="8" t="s">
        <v>4999</v>
      </c>
      <c r="C6386" s="8" t="s">
        <v>5000</v>
      </c>
      <c r="D6386" s="8" t="s">
        <v>9</v>
      </c>
      <c r="E6386" s="8" t="s">
        <v>4571</v>
      </c>
      <c r="F6386" s="8">
        <v>9.116664179E9</v>
      </c>
    </row>
    <row r="6387" ht="15.75" customHeight="1">
      <c r="A6387" s="8" t="s">
        <v>5114</v>
      </c>
      <c r="B6387" s="8" t="s">
        <v>4759</v>
      </c>
      <c r="C6387" s="8" t="s">
        <v>5115</v>
      </c>
      <c r="D6387" s="8" t="s">
        <v>14</v>
      </c>
      <c r="E6387" s="8" t="s">
        <v>1102</v>
      </c>
      <c r="F6387" s="8">
        <v>8.744066011E9</v>
      </c>
    </row>
    <row r="6388" ht="15.75" customHeight="1">
      <c r="A6388" s="8" t="s">
        <v>5116</v>
      </c>
      <c r="B6388" s="8" t="s">
        <v>411</v>
      </c>
      <c r="C6388" s="8" t="s">
        <v>5117</v>
      </c>
      <c r="D6388" s="8" t="s">
        <v>14</v>
      </c>
      <c r="E6388" s="8" t="s">
        <v>5118</v>
      </c>
      <c r="F6388" s="8">
        <v>9.810817912E9</v>
      </c>
    </row>
    <row r="6389" ht="15.75" customHeight="1">
      <c r="A6389" s="8" t="s">
        <v>5150</v>
      </c>
      <c r="B6389" s="8" t="s">
        <v>382</v>
      </c>
      <c r="C6389" s="8" t="s">
        <v>5151</v>
      </c>
      <c r="D6389" s="8" t="s">
        <v>56</v>
      </c>
      <c r="E6389" s="8" t="s">
        <v>4015</v>
      </c>
      <c r="F6389" s="8">
        <v>8.826995795E9</v>
      </c>
    </row>
    <row r="6390" ht="15.75" customHeight="1">
      <c r="A6390" s="8" t="s">
        <v>5169</v>
      </c>
      <c r="B6390" s="8" t="s">
        <v>63</v>
      </c>
      <c r="C6390" s="8" t="s">
        <v>5078</v>
      </c>
      <c r="D6390" s="8" t="s">
        <v>56</v>
      </c>
      <c r="E6390" s="8" t="s">
        <v>23</v>
      </c>
      <c r="F6390" s="8">
        <v>8.969485931E9</v>
      </c>
    </row>
    <row r="6391" ht="15.75" customHeight="1">
      <c r="A6391" s="8" t="s">
        <v>4237</v>
      </c>
      <c r="B6391" s="8" t="s">
        <v>1343</v>
      </c>
      <c r="C6391" s="8" t="s">
        <v>5181</v>
      </c>
      <c r="D6391" s="8" t="s">
        <v>56</v>
      </c>
      <c r="E6391" s="8" t="s">
        <v>494</v>
      </c>
      <c r="F6391" s="8">
        <v>9.055525254E9</v>
      </c>
    </row>
    <row r="6392" ht="15.75" customHeight="1">
      <c r="A6392" s="8" t="s">
        <v>5194</v>
      </c>
      <c r="B6392" s="8" t="s">
        <v>5195</v>
      </c>
      <c r="C6392" s="8" t="s">
        <v>4561</v>
      </c>
      <c r="D6392" s="8" t="s">
        <v>44</v>
      </c>
      <c r="E6392" s="8" t="s">
        <v>4276</v>
      </c>
      <c r="F6392" s="8">
        <v>9.160258563E9</v>
      </c>
    </row>
    <row r="6393" ht="15.75" customHeight="1">
      <c r="A6393" s="8" t="s">
        <v>2924</v>
      </c>
      <c r="B6393" s="8" t="s">
        <v>5200</v>
      </c>
      <c r="C6393" s="8" t="s">
        <v>5201</v>
      </c>
      <c r="D6393" s="8" t="s">
        <v>26</v>
      </c>
      <c r="E6393" s="8" t="s">
        <v>4015</v>
      </c>
      <c r="F6393" s="8">
        <v>9.582069217E9</v>
      </c>
    </row>
    <row r="6394" ht="15.75" customHeight="1">
      <c r="A6394" s="8" t="s">
        <v>5231</v>
      </c>
      <c r="B6394" s="8" t="s">
        <v>5232</v>
      </c>
      <c r="C6394" s="8" t="s">
        <v>5233</v>
      </c>
      <c r="D6394" s="8" t="s">
        <v>9</v>
      </c>
      <c r="E6394" s="8" t="s">
        <v>4625</v>
      </c>
      <c r="F6394" s="8">
        <v>8.57193359E9</v>
      </c>
    </row>
    <row r="6395" ht="15.75" customHeight="1">
      <c r="A6395" s="8" t="s">
        <v>3575</v>
      </c>
      <c r="B6395" s="8" t="s">
        <v>1265</v>
      </c>
      <c r="C6395" s="8" t="s">
        <v>5257</v>
      </c>
      <c r="D6395" s="8" t="s">
        <v>9</v>
      </c>
      <c r="E6395" s="8" t="s">
        <v>4656</v>
      </c>
      <c r="F6395" s="8">
        <v>8.918151714E9</v>
      </c>
    </row>
    <row r="6396" ht="15.75" customHeight="1">
      <c r="A6396" s="8" t="s">
        <v>5270</v>
      </c>
      <c r="B6396" s="8" t="s">
        <v>2388</v>
      </c>
      <c r="C6396" s="8" t="s">
        <v>5271</v>
      </c>
      <c r="D6396" s="8" t="s">
        <v>44</v>
      </c>
      <c r="E6396" s="8" t="s">
        <v>1102</v>
      </c>
      <c r="F6396" s="8">
        <v>9.999478319E9</v>
      </c>
    </row>
    <row r="6397" ht="15.75" customHeight="1">
      <c r="A6397" s="8" t="s">
        <v>141</v>
      </c>
      <c r="B6397" s="8" t="s">
        <v>143</v>
      </c>
      <c r="C6397" s="8" t="s">
        <v>4752</v>
      </c>
      <c r="D6397" s="8" t="s">
        <v>44</v>
      </c>
      <c r="E6397" s="8" t="s">
        <v>3105</v>
      </c>
      <c r="F6397" s="8">
        <v>9.900951722E9</v>
      </c>
    </row>
    <row r="6398" ht="15.75" customHeight="1">
      <c r="A6398" s="8" t="s">
        <v>5321</v>
      </c>
      <c r="B6398" s="8" t="s">
        <v>5322</v>
      </c>
      <c r="C6398" s="8" t="s">
        <v>4449</v>
      </c>
      <c r="D6398" s="8" t="s">
        <v>9</v>
      </c>
      <c r="E6398" s="8" t="s">
        <v>4625</v>
      </c>
      <c r="F6398" s="8">
        <v>9.991655555E9</v>
      </c>
    </row>
    <row r="6399" ht="15.75" customHeight="1">
      <c r="A6399" s="8" t="s">
        <v>5138</v>
      </c>
      <c r="B6399" s="8" t="s">
        <v>65</v>
      </c>
      <c r="C6399" s="8" t="s">
        <v>5083</v>
      </c>
      <c r="D6399" s="8" t="s">
        <v>9</v>
      </c>
      <c r="E6399" s="8" t="s">
        <v>494</v>
      </c>
      <c r="F6399" s="8">
        <v>8.5277822E9</v>
      </c>
    </row>
    <row r="6400" ht="15.75" customHeight="1">
      <c r="A6400" s="8" t="s">
        <v>5289</v>
      </c>
      <c r="B6400" s="8" t="s">
        <v>5290</v>
      </c>
      <c r="C6400" s="8" t="s">
        <v>5291</v>
      </c>
      <c r="D6400" s="8" t="s">
        <v>9</v>
      </c>
      <c r="E6400" s="8" t="s">
        <v>5292</v>
      </c>
      <c r="F6400" s="8">
        <v>8.489117752E9</v>
      </c>
    </row>
    <row r="6401" ht="15.75" customHeight="1">
      <c r="A6401" s="8" t="s">
        <v>2073</v>
      </c>
      <c r="B6401" s="8" t="s">
        <v>5431</v>
      </c>
      <c r="C6401" s="8" t="s">
        <v>5432</v>
      </c>
      <c r="D6401" s="8" t="s">
        <v>56</v>
      </c>
      <c r="E6401" s="8" t="s">
        <v>5433</v>
      </c>
      <c r="F6401" s="8">
        <v>8.777580834E9</v>
      </c>
    </row>
    <row r="6402" ht="15.75" customHeight="1">
      <c r="A6402" s="8" t="s">
        <v>5931</v>
      </c>
      <c r="B6402" s="8" t="s">
        <v>68</v>
      </c>
      <c r="C6402" s="8" t="s">
        <v>5932</v>
      </c>
      <c r="D6402" s="8" t="s">
        <v>44</v>
      </c>
      <c r="E6402" s="8" t="s">
        <v>2025</v>
      </c>
      <c r="F6402" s="8">
        <v>9.899086941E9</v>
      </c>
    </row>
    <row r="6403" ht="15.75" customHeight="1">
      <c r="A6403" s="8" t="s">
        <v>1092</v>
      </c>
      <c r="B6403" s="8" t="s">
        <v>5305</v>
      </c>
      <c r="C6403" s="8" t="s">
        <v>5306</v>
      </c>
      <c r="D6403" s="8" t="s">
        <v>29</v>
      </c>
      <c r="E6403" s="8" t="s">
        <v>282</v>
      </c>
      <c r="F6403" s="8">
        <v>9.40864309E9</v>
      </c>
    </row>
    <row r="6404" ht="15.75" customHeight="1">
      <c r="A6404" s="8" t="s">
        <v>881</v>
      </c>
      <c r="B6404" s="8" t="s">
        <v>5312</v>
      </c>
      <c r="C6404" s="8" t="s">
        <v>4783</v>
      </c>
      <c r="D6404" s="8" t="s">
        <v>56</v>
      </c>
      <c r="E6404" s="8" t="s">
        <v>494</v>
      </c>
      <c r="F6404" s="8">
        <v>9.2666566E9</v>
      </c>
    </row>
    <row r="6405" ht="15.75" customHeight="1">
      <c r="A6405" s="8" t="s">
        <v>3302</v>
      </c>
      <c r="B6405" s="8" t="s">
        <v>5313</v>
      </c>
      <c r="C6405" s="8" t="s">
        <v>5314</v>
      </c>
      <c r="D6405" s="8" t="s">
        <v>9</v>
      </c>
      <c r="E6405" s="8" t="s">
        <v>494</v>
      </c>
      <c r="F6405" s="8">
        <v>7.073588678E9</v>
      </c>
    </row>
    <row r="6406" ht="15.75" customHeight="1">
      <c r="A6406" s="8" t="s">
        <v>5678</v>
      </c>
      <c r="B6406" s="8" t="s">
        <v>5746</v>
      </c>
      <c r="C6406" s="8" t="s">
        <v>5747</v>
      </c>
      <c r="D6406" s="8" t="s">
        <v>26</v>
      </c>
      <c r="E6406" s="8" t="s">
        <v>402</v>
      </c>
      <c r="F6406" s="8">
        <v>9.904235633E9</v>
      </c>
    </row>
    <row r="6407" ht="15.75" customHeight="1">
      <c r="A6407" s="8" t="s">
        <v>5748</v>
      </c>
      <c r="B6407" s="8" t="s">
        <v>3307</v>
      </c>
      <c r="C6407" s="8" t="s">
        <v>5747</v>
      </c>
      <c r="D6407" s="8" t="s">
        <v>56</v>
      </c>
      <c r="E6407" s="8" t="s">
        <v>402</v>
      </c>
      <c r="F6407" s="8">
        <v>9.904235633E9</v>
      </c>
    </row>
    <row r="6408" ht="15.75" customHeight="1">
      <c r="A6408" s="8" t="s">
        <v>5318</v>
      </c>
      <c r="B6408" s="8" t="s">
        <v>5319</v>
      </c>
      <c r="C6408" s="8" t="s">
        <v>5320</v>
      </c>
      <c r="D6408" s="8" t="s">
        <v>14</v>
      </c>
      <c r="E6408" s="8" t="s">
        <v>4865</v>
      </c>
      <c r="F6408" s="8">
        <v>9.632221587E9</v>
      </c>
    </row>
    <row r="6409" ht="15.75" customHeight="1">
      <c r="A6409" s="8" t="s">
        <v>5327</v>
      </c>
      <c r="B6409" s="8" t="s">
        <v>1867</v>
      </c>
      <c r="C6409" s="8" t="s">
        <v>5328</v>
      </c>
      <c r="D6409" s="8" t="s">
        <v>29</v>
      </c>
      <c r="E6409" s="8" t="s">
        <v>4625</v>
      </c>
      <c r="F6409" s="8">
        <v>8.329981523E9</v>
      </c>
    </row>
    <row r="6410" ht="15.75" customHeight="1">
      <c r="A6410" s="8" t="s">
        <v>5879</v>
      </c>
      <c r="B6410" s="8" t="s">
        <v>5880</v>
      </c>
      <c r="C6410" s="8" t="s">
        <v>5881</v>
      </c>
      <c r="D6410" s="8" t="s">
        <v>44</v>
      </c>
      <c r="E6410" s="8" t="s">
        <v>5882</v>
      </c>
      <c r="F6410" s="8">
        <v>9.779297911E9</v>
      </c>
    </row>
    <row r="6411" ht="15.75" customHeight="1">
      <c r="A6411" s="8" t="s">
        <v>871</v>
      </c>
      <c r="B6411" s="8" t="s">
        <v>5513</v>
      </c>
      <c r="C6411" s="8" t="s">
        <v>3322</v>
      </c>
      <c r="D6411" s="8" t="s">
        <v>29</v>
      </c>
      <c r="E6411" s="8" t="s">
        <v>434</v>
      </c>
      <c r="F6411" s="8">
        <v>9.819625232E9</v>
      </c>
    </row>
    <row r="6412" ht="15.75" customHeight="1">
      <c r="A6412" s="8" t="s">
        <v>5594</v>
      </c>
      <c r="B6412" s="8" t="s">
        <v>5595</v>
      </c>
      <c r="C6412" s="8" t="s">
        <v>3322</v>
      </c>
      <c r="D6412" s="8" t="s">
        <v>44</v>
      </c>
      <c r="E6412" s="8" t="s">
        <v>434</v>
      </c>
      <c r="F6412" s="8">
        <v>9.372917543E9</v>
      </c>
    </row>
    <row r="6413" ht="15.75" customHeight="1">
      <c r="A6413" s="8" t="s">
        <v>2777</v>
      </c>
      <c r="B6413" s="8" t="s">
        <v>5698</v>
      </c>
      <c r="C6413" s="8" t="s">
        <v>3322</v>
      </c>
      <c r="D6413" s="8" t="s">
        <v>44</v>
      </c>
      <c r="E6413" s="8" t="s">
        <v>434</v>
      </c>
      <c r="F6413" s="8">
        <v>7.506218017E9</v>
      </c>
    </row>
    <row r="6414" ht="15.75" customHeight="1">
      <c r="A6414" s="8" t="s">
        <v>5940</v>
      </c>
      <c r="B6414" s="8" t="s">
        <v>5221</v>
      </c>
      <c r="C6414" s="8" t="s">
        <v>5941</v>
      </c>
      <c r="D6414" s="8" t="s">
        <v>44</v>
      </c>
      <c r="E6414" s="8" t="s">
        <v>193</v>
      </c>
      <c r="F6414" s="8">
        <v>9.76917989E9</v>
      </c>
    </row>
    <row r="6415" ht="15.75" customHeight="1">
      <c r="A6415" s="8" t="s">
        <v>5352</v>
      </c>
      <c r="B6415" s="8" t="s">
        <v>63</v>
      </c>
      <c r="C6415" s="8" t="s">
        <v>5353</v>
      </c>
      <c r="D6415" s="8" t="s">
        <v>26</v>
      </c>
      <c r="E6415" s="8" t="s">
        <v>5354</v>
      </c>
      <c r="F6415" s="8">
        <v>8.21093937E9</v>
      </c>
    </row>
    <row r="6416" ht="15.75" customHeight="1">
      <c r="A6416" s="8" t="s">
        <v>4485</v>
      </c>
      <c r="B6416" s="8" t="s">
        <v>4486</v>
      </c>
      <c r="C6416" s="8" t="s">
        <v>493</v>
      </c>
      <c r="D6416" s="8" t="s">
        <v>26</v>
      </c>
      <c r="E6416" s="8" t="s">
        <v>1102</v>
      </c>
      <c r="F6416" s="8">
        <v>8.17859854E9</v>
      </c>
    </row>
    <row r="6417" ht="15.75" customHeight="1">
      <c r="A6417" s="8" t="s">
        <v>1862</v>
      </c>
      <c r="B6417" s="8" t="s">
        <v>225</v>
      </c>
      <c r="C6417" s="8" t="s">
        <v>4494</v>
      </c>
      <c r="D6417" s="8" t="s">
        <v>9</v>
      </c>
      <c r="E6417" s="8" t="s">
        <v>2579</v>
      </c>
      <c r="F6417" s="8">
        <v>7.827247038E9</v>
      </c>
    </row>
    <row r="6418" ht="15.75" customHeight="1">
      <c r="A6418" s="8" t="s">
        <v>4721</v>
      </c>
      <c r="B6418" s="8" t="s">
        <v>3780</v>
      </c>
      <c r="C6418" s="8" t="s">
        <v>4635</v>
      </c>
      <c r="D6418" s="8" t="s">
        <v>44</v>
      </c>
      <c r="E6418" s="8" t="s">
        <v>4636</v>
      </c>
      <c r="F6418" s="8">
        <v>7.008916806E9</v>
      </c>
    </row>
    <row r="6419" ht="15.75" customHeight="1">
      <c r="A6419" s="8" t="s">
        <v>1401</v>
      </c>
      <c r="B6419" s="8" t="s">
        <v>47</v>
      </c>
      <c r="C6419" s="8" t="s">
        <v>4483</v>
      </c>
      <c r="D6419" s="8" t="s">
        <v>56</v>
      </c>
      <c r="E6419" s="8" t="s">
        <v>4015</v>
      </c>
      <c r="F6419" s="8">
        <v>8.368140533E9</v>
      </c>
    </row>
    <row r="6420" ht="15.75" customHeight="1">
      <c r="A6420" s="8" t="s">
        <v>4601</v>
      </c>
      <c r="B6420" s="8" t="s">
        <v>225</v>
      </c>
      <c r="C6420" s="8" t="s">
        <v>4477</v>
      </c>
      <c r="D6420" s="8" t="s">
        <v>29</v>
      </c>
      <c r="E6420" s="8" t="s">
        <v>494</v>
      </c>
      <c r="F6420" s="8">
        <v>7.982621722E9</v>
      </c>
    </row>
    <row r="6421" ht="15.75" customHeight="1">
      <c r="A6421" s="8" t="s">
        <v>2592</v>
      </c>
      <c r="B6421" s="8" t="s">
        <v>4613</v>
      </c>
      <c r="C6421" s="8" t="s">
        <v>576</v>
      </c>
      <c r="D6421" s="8" t="s">
        <v>14</v>
      </c>
      <c r="E6421" s="8" t="s">
        <v>4015</v>
      </c>
      <c r="F6421" s="8">
        <v>9.31162679E9</v>
      </c>
    </row>
    <row r="6422" ht="15.75" customHeight="1">
      <c r="A6422" s="8" t="s">
        <v>213</v>
      </c>
      <c r="B6422" s="8" t="s">
        <v>5006</v>
      </c>
      <c r="C6422" s="8" t="s">
        <v>5007</v>
      </c>
      <c r="D6422" s="8" t="s">
        <v>102</v>
      </c>
      <c r="E6422" s="8" t="s">
        <v>4779</v>
      </c>
      <c r="F6422" s="8">
        <v>8.349384477E9</v>
      </c>
    </row>
    <row r="6423" ht="15.75" customHeight="1">
      <c r="A6423" s="8" t="s">
        <v>146</v>
      </c>
      <c r="B6423" s="8" t="s">
        <v>1090</v>
      </c>
      <c r="C6423" s="8" t="s">
        <v>5008</v>
      </c>
      <c r="D6423" s="8" t="s">
        <v>44</v>
      </c>
      <c r="E6423" s="8" t="s">
        <v>4015</v>
      </c>
      <c r="F6423" s="8">
        <v>9.89177826E9</v>
      </c>
    </row>
    <row r="6424" ht="15.75" customHeight="1">
      <c r="A6424" s="8" t="s">
        <v>4505</v>
      </c>
      <c r="B6424" s="8" t="s">
        <v>63</v>
      </c>
      <c r="C6424" s="8" t="s">
        <v>4976</v>
      </c>
      <c r="D6424" s="8" t="s">
        <v>56</v>
      </c>
      <c r="E6424" s="8" t="s">
        <v>4015</v>
      </c>
      <c r="F6424" s="8">
        <v>9.910436704E9</v>
      </c>
    </row>
    <row r="6425" ht="15.75" customHeight="1">
      <c r="A6425" s="8" t="s">
        <v>5015</v>
      </c>
      <c r="B6425" s="8" t="s">
        <v>75</v>
      </c>
      <c r="C6425" s="8" t="s">
        <v>5016</v>
      </c>
      <c r="D6425" s="8" t="s">
        <v>56</v>
      </c>
      <c r="E6425" s="8" t="s">
        <v>5017</v>
      </c>
      <c r="F6425" s="8">
        <v>9.34747389E9</v>
      </c>
    </row>
    <row r="6426" ht="15.75" customHeight="1">
      <c r="A6426" s="8" t="s">
        <v>3773</v>
      </c>
      <c r="B6426" s="8" t="s">
        <v>5018</v>
      </c>
      <c r="C6426" s="8" t="s">
        <v>5019</v>
      </c>
      <c r="D6426" s="8" t="s">
        <v>14</v>
      </c>
      <c r="E6426" s="8" t="s">
        <v>4015</v>
      </c>
      <c r="F6426" s="8">
        <v>9.560701186E9</v>
      </c>
    </row>
    <row r="6427" ht="15.75" customHeight="1">
      <c r="A6427" s="8" t="s">
        <v>430</v>
      </c>
      <c r="B6427" s="8" t="s">
        <v>5128</v>
      </c>
      <c r="C6427" s="8" t="s">
        <v>5129</v>
      </c>
      <c r="D6427" s="8" t="s">
        <v>9</v>
      </c>
      <c r="E6427" s="8" t="s">
        <v>4015</v>
      </c>
      <c r="F6427" s="8">
        <v>9.881237223E9</v>
      </c>
    </row>
    <row r="6428" ht="15.75" customHeight="1">
      <c r="A6428" s="8" t="s">
        <v>4359</v>
      </c>
      <c r="B6428" s="8" t="s">
        <v>5202</v>
      </c>
      <c r="C6428" s="8" t="s">
        <v>5203</v>
      </c>
      <c r="D6428" s="8" t="s">
        <v>56</v>
      </c>
      <c r="E6428" s="8" t="s">
        <v>5204</v>
      </c>
      <c r="F6428" s="8">
        <v>9.881451921E9</v>
      </c>
    </row>
    <row r="6429" ht="15.75" customHeight="1">
      <c r="A6429" s="8" t="s">
        <v>1421</v>
      </c>
      <c r="B6429" s="8" t="s">
        <v>225</v>
      </c>
      <c r="C6429" s="8" t="s">
        <v>4845</v>
      </c>
      <c r="D6429" s="8" t="s">
        <v>14</v>
      </c>
      <c r="E6429" s="8" t="s">
        <v>5211</v>
      </c>
      <c r="F6429" s="8">
        <v>9.910143352E9</v>
      </c>
    </row>
    <row r="6430" ht="15.75" customHeight="1">
      <c r="A6430" s="8" t="s">
        <v>33</v>
      </c>
      <c r="B6430" s="8" t="s">
        <v>5212</v>
      </c>
      <c r="C6430" s="8" t="s">
        <v>5213</v>
      </c>
      <c r="D6430" s="8" t="s">
        <v>29</v>
      </c>
      <c r="E6430" s="8" t="s">
        <v>494</v>
      </c>
      <c r="F6430" s="8">
        <v>9.910220337E9</v>
      </c>
    </row>
    <row r="6431" ht="15.75" customHeight="1">
      <c r="A6431" s="8" t="s">
        <v>4487</v>
      </c>
      <c r="B6431" s="8" t="s">
        <v>4488</v>
      </c>
      <c r="C6431" s="8" t="s">
        <v>4489</v>
      </c>
      <c r="D6431" s="8" t="s">
        <v>56</v>
      </c>
      <c r="E6431" s="8" t="s">
        <v>4007</v>
      </c>
      <c r="F6431" s="8">
        <v>9.811930454E9</v>
      </c>
    </row>
    <row r="6432" ht="15.75" customHeight="1">
      <c r="A6432" s="8" t="s">
        <v>856</v>
      </c>
      <c r="B6432" s="8" t="s">
        <v>78</v>
      </c>
      <c r="C6432" s="8" t="s">
        <v>4709</v>
      </c>
      <c r="D6432" s="8" t="s">
        <v>14</v>
      </c>
      <c r="E6432" s="8" t="s">
        <v>4710</v>
      </c>
      <c r="F6432" s="8">
        <v>8.758407979E9</v>
      </c>
    </row>
    <row r="6433" ht="15.75" customHeight="1">
      <c r="A6433" s="8" t="s">
        <v>2286</v>
      </c>
      <c r="B6433" s="8" t="s">
        <v>108</v>
      </c>
      <c r="C6433" s="8" t="s">
        <v>4866</v>
      </c>
      <c r="D6433" s="8" t="s">
        <v>26</v>
      </c>
      <c r="E6433" s="8" t="s">
        <v>4867</v>
      </c>
      <c r="F6433" s="8">
        <v>6.204419527E9</v>
      </c>
    </row>
    <row r="6434" ht="15.75" customHeight="1">
      <c r="A6434" s="8" t="s">
        <v>4902</v>
      </c>
      <c r="B6434" s="8" t="s">
        <v>4903</v>
      </c>
      <c r="C6434" s="8" t="s">
        <v>4904</v>
      </c>
      <c r="D6434" s="8" t="s">
        <v>44</v>
      </c>
      <c r="E6434" s="8" t="s">
        <v>2467</v>
      </c>
      <c r="F6434" s="8">
        <v>9.869156956E9</v>
      </c>
    </row>
    <row r="6435" ht="15.75" customHeight="1">
      <c r="A6435" s="8" t="s">
        <v>2990</v>
      </c>
      <c r="B6435" s="8" t="s">
        <v>3978</v>
      </c>
      <c r="C6435" s="8" t="s">
        <v>4910</v>
      </c>
      <c r="D6435" s="8" t="s">
        <v>9</v>
      </c>
      <c r="E6435" s="8" t="s">
        <v>4911</v>
      </c>
      <c r="F6435" s="8">
        <v>8.58203539E9</v>
      </c>
    </row>
    <row r="6436" ht="15.75" customHeight="1">
      <c r="A6436" s="8" t="s">
        <v>4054</v>
      </c>
      <c r="B6436" s="8" t="s">
        <v>382</v>
      </c>
      <c r="C6436" s="8" t="s">
        <v>4483</v>
      </c>
      <c r="D6436" s="8" t="s">
        <v>9</v>
      </c>
      <c r="E6436" s="8" t="s">
        <v>1102</v>
      </c>
      <c r="F6436" s="8">
        <v>7.82744437E9</v>
      </c>
    </row>
    <row r="6437" ht="15.75" customHeight="1">
      <c r="A6437" s="8" t="s">
        <v>1896</v>
      </c>
      <c r="B6437" s="8" t="s">
        <v>4985</v>
      </c>
      <c r="C6437" s="8" t="s">
        <v>4483</v>
      </c>
      <c r="D6437" s="8" t="s">
        <v>9</v>
      </c>
      <c r="E6437" s="8" t="s">
        <v>494</v>
      </c>
      <c r="F6437" s="8">
        <v>8.368416262E9</v>
      </c>
    </row>
    <row r="6438" ht="15.75" customHeight="1">
      <c r="A6438" s="8" t="s">
        <v>2331</v>
      </c>
      <c r="B6438" s="8" t="s">
        <v>4008</v>
      </c>
      <c r="C6438" s="8" t="s">
        <v>160</v>
      </c>
      <c r="D6438" s="8" t="s">
        <v>9</v>
      </c>
      <c r="E6438" s="8" t="s">
        <v>4007</v>
      </c>
      <c r="F6438" s="8">
        <v>9.354333248E9</v>
      </c>
    </row>
    <row r="6439" ht="15.75" customHeight="1">
      <c r="A6439" s="8" t="s">
        <v>5025</v>
      </c>
      <c r="B6439" s="8" t="s">
        <v>4921</v>
      </c>
      <c r="C6439" s="8" t="s">
        <v>5026</v>
      </c>
      <c r="D6439" s="8" t="s">
        <v>9</v>
      </c>
      <c r="E6439" s="8" t="s">
        <v>494</v>
      </c>
      <c r="F6439" s="8">
        <v>7.982296858E9</v>
      </c>
    </row>
    <row r="6440" ht="15.75" customHeight="1">
      <c r="A6440" s="8" t="s">
        <v>5152</v>
      </c>
      <c r="B6440" s="8" t="s">
        <v>5153</v>
      </c>
      <c r="C6440" s="8" t="s">
        <v>5117</v>
      </c>
      <c r="D6440" s="8" t="s">
        <v>56</v>
      </c>
      <c r="E6440" s="8" t="s">
        <v>4015</v>
      </c>
      <c r="F6440" s="8">
        <v>8.882344716E9</v>
      </c>
    </row>
    <row r="6441" ht="15.75" customHeight="1">
      <c r="A6441" s="8" t="s">
        <v>5160</v>
      </c>
      <c r="B6441" s="8" t="s">
        <v>3092</v>
      </c>
      <c r="C6441" s="8" t="s">
        <v>5161</v>
      </c>
      <c r="D6441" s="8" t="s">
        <v>56</v>
      </c>
      <c r="E6441" s="8" t="s">
        <v>255</v>
      </c>
      <c r="F6441" s="8">
        <v>8.434086594E9</v>
      </c>
    </row>
    <row r="6442" ht="15.75" customHeight="1">
      <c r="A6442" s="8" t="s">
        <v>24</v>
      </c>
      <c r="B6442" s="8" t="s">
        <v>2678</v>
      </c>
      <c r="C6442" s="8" t="s">
        <v>5171</v>
      </c>
      <c r="D6442" s="8" t="s">
        <v>29</v>
      </c>
      <c r="E6442" s="8" t="s">
        <v>4625</v>
      </c>
      <c r="F6442" s="8">
        <v>8.811025444E9</v>
      </c>
    </row>
    <row r="6443" ht="15.75" customHeight="1">
      <c r="A6443" s="8" t="s">
        <v>5338</v>
      </c>
      <c r="B6443" s="8" t="s">
        <v>68</v>
      </c>
      <c r="C6443" s="8" t="s">
        <v>5339</v>
      </c>
      <c r="D6443" s="8" t="s">
        <v>9</v>
      </c>
      <c r="E6443" s="8" t="s">
        <v>494</v>
      </c>
      <c r="F6443" s="8">
        <v>9.58244131E9</v>
      </c>
    </row>
    <row r="6444" ht="15.75" customHeight="1">
      <c r="A6444" s="8" t="s">
        <v>318</v>
      </c>
      <c r="B6444" s="8" t="s">
        <v>119</v>
      </c>
      <c r="C6444" s="8" t="s">
        <v>5340</v>
      </c>
      <c r="D6444" s="8" t="s">
        <v>9</v>
      </c>
      <c r="E6444" s="8" t="s">
        <v>5341</v>
      </c>
      <c r="F6444" s="8">
        <v>9.693239975E9</v>
      </c>
    </row>
    <row r="6445" ht="15.75" customHeight="1">
      <c r="A6445" s="8" t="s">
        <v>5377</v>
      </c>
      <c r="B6445" s="8" t="s">
        <v>5378</v>
      </c>
      <c r="C6445" s="8" t="s">
        <v>5379</v>
      </c>
      <c r="D6445" s="8" t="s">
        <v>9</v>
      </c>
      <c r="E6445" s="8" t="s">
        <v>5380</v>
      </c>
      <c r="F6445" s="8">
        <v>9.142105878E9</v>
      </c>
    </row>
    <row r="6446" ht="15.75" customHeight="1">
      <c r="A6446" s="8" t="s">
        <v>4676</v>
      </c>
      <c r="B6446" s="8" t="s">
        <v>1090</v>
      </c>
      <c r="C6446" s="8" t="s">
        <v>4677</v>
      </c>
      <c r="D6446" s="8" t="s">
        <v>9</v>
      </c>
      <c r="E6446" s="8" t="s">
        <v>494</v>
      </c>
      <c r="F6446" s="8">
        <v>9.971522092E9</v>
      </c>
    </row>
    <row r="6447" ht="15.75" customHeight="1">
      <c r="A6447" s="8" t="s">
        <v>110</v>
      </c>
      <c r="B6447" s="8" t="s">
        <v>4667</v>
      </c>
      <c r="C6447" s="8" t="s">
        <v>4883</v>
      </c>
      <c r="D6447" s="8" t="s">
        <v>26</v>
      </c>
      <c r="E6447" s="8" t="s">
        <v>434</v>
      </c>
      <c r="F6447" s="8">
        <v>8.779180289E9</v>
      </c>
    </row>
    <row r="6448" ht="15.75" customHeight="1">
      <c r="A6448" s="8" t="s">
        <v>4964</v>
      </c>
      <c r="B6448" s="8" t="s">
        <v>924</v>
      </c>
      <c r="C6448" s="8" t="s">
        <v>4965</v>
      </c>
      <c r="D6448" s="8" t="s">
        <v>9</v>
      </c>
      <c r="E6448" s="8" t="s">
        <v>4625</v>
      </c>
      <c r="F6448" s="8">
        <v>9.992452677E9</v>
      </c>
    </row>
    <row r="6449" ht="15.75" customHeight="1">
      <c r="A6449" s="8" t="s">
        <v>5463</v>
      </c>
      <c r="B6449" s="8" t="s">
        <v>1663</v>
      </c>
      <c r="C6449" s="8" t="s">
        <v>3322</v>
      </c>
      <c r="D6449" s="8" t="s">
        <v>56</v>
      </c>
      <c r="E6449" s="8" t="s">
        <v>434</v>
      </c>
      <c r="F6449" s="8">
        <v>7.081222012E9</v>
      </c>
    </row>
    <row r="6450" ht="15.75" customHeight="1">
      <c r="A6450" s="8" t="s">
        <v>116</v>
      </c>
      <c r="B6450" s="8" t="s">
        <v>4771</v>
      </c>
      <c r="C6450" s="8" t="s">
        <v>4772</v>
      </c>
      <c r="D6450" s="8" t="s">
        <v>14</v>
      </c>
      <c r="E6450" s="8" t="s">
        <v>4015</v>
      </c>
      <c r="F6450" s="8">
        <v>9.999592171E9</v>
      </c>
    </row>
    <row r="6451" ht="15.75" customHeight="1">
      <c r="A6451" s="8" t="s">
        <v>4524</v>
      </c>
      <c r="B6451" s="8" t="s">
        <v>4525</v>
      </c>
      <c r="C6451" s="8" t="s">
        <v>4526</v>
      </c>
      <c r="D6451" s="8" t="s">
        <v>44</v>
      </c>
      <c r="E6451" s="8" t="s">
        <v>1345</v>
      </c>
      <c r="F6451" s="8">
        <v>8.867062764E9</v>
      </c>
    </row>
    <row r="6452" ht="15.75" customHeight="1">
      <c r="A6452" s="8" t="s">
        <v>1914</v>
      </c>
      <c r="B6452" s="8" t="s">
        <v>1999</v>
      </c>
      <c r="C6452" s="8" t="s">
        <v>4989</v>
      </c>
      <c r="D6452" s="8" t="s">
        <v>9</v>
      </c>
      <c r="E6452" s="8" t="s">
        <v>4990</v>
      </c>
      <c r="F6452" s="8">
        <v>7.2259554E9</v>
      </c>
    </row>
    <row r="6453" ht="15.75" customHeight="1">
      <c r="A6453" s="8" t="s">
        <v>4894</v>
      </c>
      <c r="B6453" s="8" t="s">
        <v>675</v>
      </c>
      <c r="C6453" s="8" t="s">
        <v>4895</v>
      </c>
      <c r="D6453" s="8" t="s">
        <v>44</v>
      </c>
      <c r="E6453" s="8" t="s">
        <v>193</v>
      </c>
      <c r="F6453" s="8">
        <v>9.820955014E9</v>
      </c>
    </row>
    <row r="6454" ht="15.75" customHeight="1">
      <c r="A6454" s="8" t="s">
        <v>762</v>
      </c>
      <c r="B6454" s="8" t="s">
        <v>50</v>
      </c>
      <c r="C6454" s="8" t="s">
        <v>4795</v>
      </c>
      <c r="D6454" s="8" t="s">
        <v>56</v>
      </c>
      <c r="E6454" s="8" t="s">
        <v>4796</v>
      </c>
      <c r="F6454" s="8">
        <v>9.738119768E9</v>
      </c>
    </row>
    <row r="6455" ht="15.75" customHeight="1">
      <c r="A6455" s="8" t="s">
        <v>1289</v>
      </c>
      <c r="B6455" s="8" t="s">
        <v>499</v>
      </c>
      <c r="C6455" s="8" t="s">
        <v>5486</v>
      </c>
      <c r="D6455" s="8" t="s">
        <v>9</v>
      </c>
      <c r="E6455" s="8" t="s">
        <v>5487</v>
      </c>
      <c r="F6455" s="8">
        <v>9.999926323E9</v>
      </c>
    </row>
    <row r="6456" ht="15.75" customHeight="1">
      <c r="A6456" s="8" t="s">
        <v>4727</v>
      </c>
      <c r="B6456" s="8" t="s">
        <v>3126</v>
      </c>
      <c r="C6456" s="8" t="s">
        <v>4635</v>
      </c>
      <c r="D6456" s="8" t="s">
        <v>44</v>
      </c>
      <c r="E6456" s="8" t="s">
        <v>4636</v>
      </c>
      <c r="F6456" s="8">
        <v>9.776105528E9</v>
      </c>
    </row>
    <row r="6457" ht="15.75" customHeight="1">
      <c r="A6457" s="8" t="s">
        <v>4930</v>
      </c>
      <c r="B6457" s="8" t="s">
        <v>4931</v>
      </c>
      <c r="C6457" s="8" t="s">
        <v>4932</v>
      </c>
      <c r="D6457" s="8" t="s">
        <v>56</v>
      </c>
      <c r="E6457" s="8" t="s">
        <v>4276</v>
      </c>
      <c r="F6457" s="8">
        <v>9.959790831E9</v>
      </c>
    </row>
    <row r="6458" ht="15.75" customHeight="1">
      <c r="A6458" s="8" t="s">
        <v>5009</v>
      </c>
      <c r="B6458" s="8" t="s">
        <v>108</v>
      </c>
      <c r="C6458" s="8" t="s">
        <v>4741</v>
      </c>
      <c r="D6458" s="8" t="s">
        <v>44</v>
      </c>
      <c r="E6458" s="8" t="s">
        <v>4015</v>
      </c>
      <c r="F6458" s="8">
        <v>8.222800298E9</v>
      </c>
    </row>
    <row r="6459" ht="15.75" customHeight="1">
      <c r="A6459" s="8" t="s">
        <v>4833</v>
      </c>
      <c r="B6459" s="8" t="s">
        <v>4650</v>
      </c>
      <c r="C6459" s="8" t="s">
        <v>3322</v>
      </c>
      <c r="D6459" s="8" t="s">
        <v>44</v>
      </c>
      <c r="E6459" s="8" t="s">
        <v>434</v>
      </c>
      <c r="F6459" s="8">
        <v>9.987997016E9</v>
      </c>
    </row>
    <row r="6460" ht="15.75" customHeight="1">
      <c r="A6460" s="8" t="s">
        <v>5046</v>
      </c>
      <c r="B6460" s="8" t="s">
        <v>75</v>
      </c>
      <c r="C6460" s="8" t="s">
        <v>3790</v>
      </c>
      <c r="D6460" s="8" t="s">
        <v>14</v>
      </c>
      <c r="E6460" s="8" t="s">
        <v>4015</v>
      </c>
      <c r="F6460" s="8">
        <v>9.582447947E9</v>
      </c>
    </row>
    <row r="6461" ht="15.75" customHeight="1">
      <c r="A6461" s="8" t="s">
        <v>189</v>
      </c>
      <c r="B6461" s="8" t="s">
        <v>5523</v>
      </c>
      <c r="C6461" s="8" t="s">
        <v>5524</v>
      </c>
      <c r="D6461" s="8" t="s">
        <v>44</v>
      </c>
      <c r="E6461" s="8" t="s">
        <v>434</v>
      </c>
      <c r="F6461" s="8">
        <v>8.879515164E9</v>
      </c>
    </row>
    <row r="6462" ht="15.75" customHeight="1">
      <c r="A6462" s="8" t="s">
        <v>5263</v>
      </c>
      <c r="B6462" s="8" t="s">
        <v>65</v>
      </c>
      <c r="C6462" s="8" t="s">
        <v>5264</v>
      </c>
      <c r="D6462" s="8" t="s">
        <v>9</v>
      </c>
      <c r="E6462" s="8" t="s">
        <v>4015</v>
      </c>
      <c r="F6462" s="8">
        <v>9.958102025E9</v>
      </c>
    </row>
    <row r="6463" ht="15.75" customHeight="1">
      <c r="A6463" s="8" t="s">
        <v>5765</v>
      </c>
      <c r="B6463" s="8" t="s">
        <v>5766</v>
      </c>
      <c r="C6463" s="8" t="s">
        <v>5767</v>
      </c>
      <c r="D6463" s="8" t="s">
        <v>44</v>
      </c>
      <c r="E6463" s="8" t="s">
        <v>434</v>
      </c>
      <c r="F6463" s="8">
        <v>8.879694864E9</v>
      </c>
    </row>
    <row r="6464" ht="15.75" customHeight="1">
      <c r="A6464" s="8" t="s">
        <v>5125</v>
      </c>
      <c r="B6464" s="8" t="s">
        <v>108</v>
      </c>
      <c r="C6464" s="8" t="s">
        <v>5126</v>
      </c>
      <c r="D6464" s="8" t="s">
        <v>44</v>
      </c>
      <c r="E6464" s="8" t="s">
        <v>5127</v>
      </c>
      <c r="F6464" s="8">
        <v>9.990589032E9</v>
      </c>
    </row>
    <row r="6465" ht="15.75" customHeight="1">
      <c r="A6465" s="8" t="s">
        <v>730</v>
      </c>
      <c r="B6465" s="8" t="s">
        <v>5268</v>
      </c>
      <c r="C6465" s="8" t="s">
        <v>5269</v>
      </c>
      <c r="D6465" s="8" t="s">
        <v>44</v>
      </c>
      <c r="E6465" s="8" t="s">
        <v>4891</v>
      </c>
      <c r="F6465" s="8">
        <v>9.701531588E9</v>
      </c>
    </row>
    <row r="6466" ht="15.75" customHeight="1">
      <c r="A6466" s="8" t="s">
        <v>5308</v>
      </c>
      <c r="B6466" s="8" t="s">
        <v>5309</v>
      </c>
      <c r="C6466" s="8" t="s">
        <v>5310</v>
      </c>
      <c r="D6466" s="8" t="s">
        <v>56</v>
      </c>
      <c r="E6466" s="8" t="s">
        <v>4914</v>
      </c>
      <c r="F6466" s="8">
        <v>9.920546146E9</v>
      </c>
    </row>
    <row r="6467" ht="15.75" customHeight="1">
      <c r="A6467" s="8" t="s">
        <v>33</v>
      </c>
      <c r="B6467" s="8" t="s">
        <v>65</v>
      </c>
      <c r="C6467" s="8" t="s">
        <v>5614</v>
      </c>
      <c r="D6467" s="8" t="s">
        <v>26</v>
      </c>
      <c r="E6467" s="8" t="s">
        <v>5615</v>
      </c>
      <c r="F6467" s="8">
        <v>8.178768474E9</v>
      </c>
    </row>
    <row r="6468" ht="15.75" customHeight="1">
      <c r="A6468" s="8" t="s">
        <v>3353</v>
      </c>
      <c r="B6468" s="8" t="s">
        <v>5631</v>
      </c>
      <c r="C6468" s="8" t="s">
        <v>5632</v>
      </c>
      <c r="D6468" s="8" t="s">
        <v>26</v>
      </c>
      <c r="E6468" s="8" t="s">
        <v>494</v>
      </c>
      <c r="F6468" s="8">
        <v>9.971831221E9</v>
      </c>
    </row>
    <row r="6469" ht="15.75" customHeight="1">
      <c r="A6469" s="8" t="s">
        <v>5342</v>
      </c>
      <c r="B6469" s="8" t="s">
        <v>5343</v>
      </c>
      <c r="C6469" s="8" t="s">
        <v>4449</v>
      </c>
      <c r="D6469" s="8" t="s">
        <v>29</v>
      </c>
      <c r="E6469" s="8" t="s">
        <v>5344</v>
      </c>
      <c r="F6469" s="8">
        <v>8.607414111E9</v>
      </c>
    </row>
    <row r="6470" ht="15.75" customHeight="1">
      <c r="A6470" s="8" t="s">
        <v>213</v>
      </c>
      <c r="B6470" s="8" t="s">
        <v>108</v>
      </c>
      <c r="C6470" s="8" t="s">
        <v>4677</v>
      </c>
      <c r="D6470" s="8" t="s">
        <v>9</v>
      </c>
      <c r="E6470" s="8" t="s">
        <v>494</v>
      </c>
      <c r="F6470" s="8">
        <v>9.211356225E9</v>
      </c>
    </row>
    <row r="6471" ht="15.75" customHeight="1">
      <c r="A6471" s="8" t="s">
        <v>299</v>
      </c>
      <c r="B6471" s="8" t="s">
        <v>4696</v>
      </c>
      <c r="C6471" s="8" t="s">
        <v>5272</v>
      </c>
      <c r="D6471" s="8" t="s">
        <v>44</v>
      </c>
      <c r="E6471" s="8" t="s">
        <v>1095</v>
      </c>
      <c r="F6471" s="8">
        <v>9.711576987E9</v>
      </c>
    </row>
    <row r="6472" ht="15.75" customHeight="1">
      <c r="A6472" s="8" t="s">
        <v>5393</v>
      </c>
      <c r="B6472" s="8" t="s">
        <v>5394</v>
      </c>
      <c r="C6472" s="8" t="s">
        <v>5430</v>
      </c>
      <c r="D6472" s="8" t="s">
        <v>44</v>
      </c>
      <c r="E6472" s="8" t="s">
        <v>5396</v>
      </c>
      <c r="F6472" s="8">
        <v>9.6095207E9</v>
      </c>
    </row>
    <row r="6473" ht="15.75" customHeight="1">
      <c r="A6473" s="8" t="s">
        <v>4764</v>
      </c>
      <c r="B6473" s="8" t="s">
        <v>1554</v>
      </c>
      <c r="C6473" s="8" t="s">
        <v>4765</v>
      </c>
      <c r="D6473" s="8" t="s">
        <v>14</v>
      </c>
      <c r="E6473" s="8" t="s">
        <v>434</v>
      </c>
      <c r="F6473" s="8">
        <v>8.451870036E9</v>
      </c>
    </row>
    <row r="6474" ht="15.75" customHeight="1">
      <c r="A6474" s="8" t="s">
        <v>4915</v>
      </c>
      <c r="B6474" s="8" t="s">
        <v>525</v>
      </c>
      <c r="C6474" s="8" t="s">
        <v>4916</v>
      </c>
      <c r="D6474" s="8" t="s">
        <v>44</v>
      </c>
      <c r="E6474" s="8" t="s">
        <v>4917</v>
      </c>
      <c r="F6474" s="8">
        <v>9.59750699E9</v>
      </c>
    </row>
    <row r="6475" ht="15.75" customHeight="1">
      <c r="A6475" s="8" t="s">
        <v>961</v>
      </c>
      <c r="B6475" s="8" t="s">
        <v>4775</v>
      </c>
      <c r="C6475" s="8" t="s">
        <v>4547</v>
      </c>
      <c r="D6475" s="8" t="s">
        <v>56</v>
      </c>
      <c r="E6475" s="8" t="s">
        <v>4015</v>
      </c>
      <c r="F6475" s="8">
        <v>8.130466918E9</v>
      </c>
    </row>
    <row r="6476" ht="15.75" customHeight="1">
      <c r="A6476" s="8" t="s">
        <v>33</v>
      </c>
      <c r="B6476" s="8" t="s">
        <v>119</v>
      </c>
      <c r="C6476" s="8" t="s">
        <v>5356</v>
      </c>
      <c r="D6476" s="8" t="s">
        <v>14</v>
      </c>
      <c r="E6476" s="8" t="s">
        <v>5357</v>
      </c>
      <c r="F6476" s="8">
        <v>9.693666944E9</v>
      </c>
    </row>
    <row r="6477" ht="15.75" customHeight="1">
      <c r="A6477" s="8" t="s">
        <v>4660</v>
      </c>
      <c r="B6477" s="8" t="s">
        <v>1290</v>
      </c>
      <c r="C6477" s="8" t="s">
        <v>4659</v>
      </c>
      <c r="D6477" s="8" t="s">
        <v>14</v>
      </c>
      <c r="E6477" s="8" t="s">
        <v>15</v>
      </c>
      <c r="F6477" s="8">
        <v>9.654509958E9</v>
      </c>
    </row>
    <row r="6478" ht="15.75" customHeight="1">
      <c r="A6478" s="8" t="s">
        <v>5520</v>
      </c>
      <c r="B6478" s="8" t="s">
        <v>3015</v>
      </c>
      <c r="C6478" s="8" t="s">
        <v>5521</v>
      </c>
      <c r="D6478" s="8" t="s">
        <v>44</v>
      </c>
      <c r="E6478" s="8" t="s">
        <v>434</v>
      </c>
      <c r="F6478" s="8">
        <v>9.819543484E9</v>
      </c>
    </row>
    <row r="6479" ht="15.75" customHeight="1">
      <c r="A6479" s="8" t="s">
        <v>5166</v>
      </c>
      <c r="B6479" s="8" t="s">
        <v>5167</v>
      </c>
      <c r="C6479" s="8" t="s">
        <v>5165</v>
      </c>
      <c r="D6479" s="8" t="s">
        <v>9</v>
      </c>
      <c r="E6479" s="8" t="s">
        <v>5168</v>
      </c>
      <c r="F6479" s="8">
        <v>8.233222111E9</v>
      </c>
    </row>
    <row r="6480" ht="15.75" customHeight="1">
      <c r="A6480" s="8" t="s">
        <v>4777</v>
      </c>
      <c r="B6480" s="8" t="s">
        <v>1999</v>
      </c>
      <c r="C6480" s="8" t="s">
        <v>6913</v>
      </c>
      <c r="D6480" s="8" t="s">
        <v>26</v>
      </c>
      <c r="E6480" s="8" t="s">
        <v>6914</v>
      </c>
      <c r="F6480" s="8">
        <v>9.755766101E9</v>
      </c>
    </row>
    <row r="6481" ht="15.75" customHeight="1">
      <c r="A6481" s="8" t="s">
        <v>4511</v>
      </c>
      <c r="B6481" s="8" t="s">
        <v>1090</v>
      </c>
      <c r="C6481" s="8" t="s">
        <v>3790</v>
      </c>
      <c r="D6481" s="8" t="s">
        <v>56</v>
      </c>
      <c r="E6481" s="8" t="s">
        <v>3105</v>
      </c>
      <c r="F6481" s="8">
        <v>9.986019637E9</v>
      </c>
    </row>
    <row r="6482" ht="15.75" customHeight="1">
      <c r="A6482" s="8" t="s">
        <v>2497</v>
      </c>
      <c r="B6482" s="8" t="s">
        <v>4794</v>
      </c>
      <c r="C6482" s="8" t="s">
        <v>4795</v>
      </c>
      <c r="D6482" s="8" t="s">
        <v>56</v>
      </c>
      <c r="E6482" s="8" t="s">
        <v>4796</v>
      </c>
      <c r="F6482" s="8">
        <v>9.738119655E9</v>
      </c>
    </row>
    <row r="6483" ht="15.75" customHeight="1">
      <c r="A6483" s="8" t="s">
        <v>4801</v>
      </c>
      <c r="B6483" s="8" t="s">
        <v>65</v>
      </c>
      <c r="C6483" s="8" t="s">
        <v>4802</v>
      </c>
      <c r="D6483" s="8" t="s">
        <v>9</v>
      </c>
      <c r="E6483" s="8" t="s">
        <v>4150</v>
      </c>
      <c r="F6483" s="8">
        <v>7.018440235E9</v>
      </c>
    </row>
    <row r="6484" ht="15.75" customHeight="1">
      <c r="A6484" s="8" t="s">
        <v>4974</v>
      </c>
      <c r="B6484" s="8" t="s">
        <v>5102</v>
      </c>
      <c r="C6484" s="8" t="s">
        <v>5103</v>
      </c>
      <c r="D6484" s="8" t="s">
        <v>56</v>
      </c>
      <c r="E6484" s="8" t="s">
        <v>4276</v>
      </c>
      <c r="F6484" s="8">
        <v>9.515837686E9</v>
      </c>
    </row>
    <row r="6485" ht="15.75" customHeight="1">
      <c r="A6485" s="8" t="s">
        <v>5155</v>
      </c>
      <c r="B6485" s="8" t="s">
        <v>4670</v>
      </c>
      <c r="C6485" s="8" t="s">
        <v>5179</v>
      </c>
      <c r="D6485" s="8" t="s">
        <v>26</v>
      </c>
      <c r="E6485" s="8" t="s">
        <v>19</v>
      </c>
      <c r="F6485" s="8">
        <v>8.43417753E9</v>
      </c>
    </row>
    <row r="6486" ht="15.75" customHeight="1">
      <c r="A6486" s="8" t="s">
        <v>3787</v>
      </c>
      <c r="B6486" s="8" t="s">
        <v>4718</v>
      </c>
      <c r="C6486" s="8" t="s">
        <v>4719</v>
      </c>
      <c r="D6486" s="8" t="s">
        <v>14</v>
      </c>
      <c r="E6486" s="8" t="s">
        <v>4720</v>
      </c>
      <c r="F6486" s="8">
        <v>8.320499481E9</v>
      </c>
    </row>
    <row r="6487" ht="15.75" customHeight="1">
      <c r="A6487" s="8" t="s">
        <v>4797</v>
      </c>
      <c r="B6487" s="8" t="s">
        <v>4798</v>
      </c>
      <c r="C6487" s="8" t="s">
        <v>4799</v>
      </c>
      <c r="D6487" s="8" t="s">
        <v>44</v>
      </c>
      <c r="E6487" s="8" t="s">
        <v>4800</v>
      </c>
      <c r="F6487" s="8">
        <v>9.953088881E9</v>
      </c>
    </row>
    <row r="6488" ht="15.75" customHeight="1">
      <c r="A6488" s="8" t="s">
        <v>304</v>
      </c>
      <c r="B6488" s="8" t="s">
        <v>4840</v>
      </c>
      <c r="C6488" s="8" t="s">
        <v>4841</v>
      </c>
      <c r="D6488" s="8" t="s">
        <v>44</v>
      </c>
      <c r="E6488" s="8" t="s">
        <v>2579</v>
      </c>
      <c r="F6488" s="8">
        <v>9.485853762E9</v>
      </c>
    </row>
    <row r="6489" ht="15.75" customHeight="1">
      <c r="A6489" s="8" t="s">
        <v>4344</v>
      </c>
      <c r="B6489" s="8" t="s">
        <v>4345</v>
      </c>
      <c r="C6489" s="8" t="s">
        <v>4275</v>
      </c>
      <c r="D6489" s="8" t="s">
        <v>9</v>
      </c>
      <c r="E6489" s="8" t="s">
        <v>4276</v>
      </c>
      <c r="F6489" s="8">
        <v>9.58110101E9</v>
      </c>
    </row>
    <row r="6490" ht="15.75" customHeight="1">
      <c r="A6490" s="8" t="s">
        <v>24</v>
      </c>
      <c r="B6490" s="8" t="s">
        <v>4945</v>
      </c>
      <c r="C6490" s="8" t="s">
        <v>4946</v>
      </c>
      <c r="D6490" s="8" t="s">
        <v>14</v>
      </c>
      <c r="E6490" s="8" t="s">
        <v>4947</v>
      </c>
      <c r="F6490" s="8">
        <v>9.654008525E9</v>
      </c>
    </row>
    <row r="6491" ht="15.75" customHeight="1">
      <c r="A6491" s="8" t="s">
        <v>4950</v>
      </c>
      <c r="B6491" s="8" t="s">
        <v>3066</v>
      </c>
      <c r="C6491" s="8" t="s">
        <v>4783</v>
      </c>
      <c r="D6491" s="8" t="s">
        <v>102</v>
      </c>
      <c r="E6491" s="8" t="s">
        <v>494</v>
      </c>
      <c r="F6491" s="8">
        <v>9.21126233E9</v>
      </c>
    </row>
    <row r="6492" ht="15.75" customHeight="1">
      <c r="A6492" s="8" t="s">
        <v>4956</v>
      </c>
      <c r="B6492" s="8" t="s">
        <v>4957</v>
      </c>
      <c r="C6492" s="8" t="s">
        <v>4958</v>
      </c>
      <c r="D6492" s="8" t="s">
        <v>9</v>
      </c>
      <c r="E6492" s="8" t="s">
        <v>4212</v>
      </c>
      <c r="F6492" s="8">
        <v>9.911212889E9</v>
      </c>
    </row>
    <row r="6493" ht="15.75" customHeight="1">
      <c r="A6493" s="8" t="s">
        <v>4505</v>
      </c>
      <c r="B6493" s="8" t="s">
        <v>5020</v>
      </c>
      <c r="C6493" s="8" t="s">
        <v>5021</v>
      </c>
      <c r="D6493" s="8" t="s">
        <v>26</v>
      </c>
      <c r="E6493" s="8" t="s">
        <v>1102</v>
      </c>
      <c r="F6493" s="8">
        <v>9.212054234E9</v>
      </c>
    </row>
    <row r="6494" ht="15.75" customHeight="1">
      <c r="A6494" s="8" t="s">
        <v>3028</v>
      </c>
      <c r="B6494" s="8" t="s">
        <v>108</v>
      </c>
      <c r="C6494" s="8" t="s">
        <v>160</v>
      </c>
      <c r="D6494" s="8" t="s">
        <v>9</v>
      </c>
      <c r="E6494" s="8" t="s">
        <v>4007</v>
      </c>
      <c r="F6494" s="8">
        <v>9.818687433E9</v>
      </c>
    </row>
    <row r="6495" ht="15.75" customHeight="1">
      <c r="A6495" s="8" t="s">
        <v>400</v>
      </c>
      <c r="B6495" s="8" t="s">
        <v>1466</v>
      </c>
      <c r="C6495" s="8" t="s">
        <v>5030</v>
      </c>
      <c r="D6495" s="8" t="s">
        <v>9</v>
      </c>
      <c r="E6495" s="8" t="s">
        <v>4007</v>
      </c>
      <c r="F6495" s="8">
        <v>8.375991928E9</v>
      </c>
    </row>
    <row r="6496" ht="15.75" customHeight="1">
      <c r="A6496" s="8" t="s">
        <v>5031</v>
      </c>
      <c r="B6496" s="8" t="s">
        <v>5032</v>
      </c>
      <c r="C6496" s="8" t="s">
        <v>4360</v>
      </c>
      <c r="D6496" s="8" t="s">
        <v>56</v>
      </c>
      <c r="E6496" s="8" t="s">
        <v>494</v>
      </c>
      <c r="F6496" s="8">
        <v>9.530571348E9</v>
      </c>
    </row>
    <row r="6497" ht="15.75" customHeight="1">
      <c r="A6497" s="8" t="s">
        <v>5034</v>
      </c>
      <c r="B6497" s="8" t="s">
        <v>5035</v>
      </c>
      <c r="C6497" s="8" t="s">
        <v>5036</v>
      </c>
      <c r="D6497" s="8" t="s">
        <v>44</v>
      </c>
      <c r="E6497" s="8" t="s">
        <v>3105</v>
      </c>
      <c r="F6497" s="8">
        <v>9.019831224E9</v>
      </c>
    </row>
    <row r="6498" ht="15.75" customHeight="1">
      <c r="A6498" s="8" t="s">
        <v>5047</v>
      </c>
      <c r="B6498" s="8" t="s">
        <v>899</v>
      </c>
      <c r="C6498" s="8" t="s">
        <v>5048</v>
      </c>
      <c r="D6498" s="8" t="s">
        <v>14</v>
      </c>
      <c r="E6498" s="8" t="s">
        <v>4015</v>
      </c>
      <c r="F6498" s="8">
        <v>9.71130816E9</v>
      </c>
    </row>
    <row r="6499" ht="15.75" customHeight="1">
      <c r="A6499" s="8" t="s">
        <v>33</v>
      </c>
      <c r="B6499" s="8" t="s">
        <v>1999</v>
      </c>
      <c r="C6499" s="8" t="s">
        <v>5050</v>
      </c>
      <c r="D6499" s="8" t="s">
        <v>14</v>
      </c>
      <c r="E6499" s="8" t="s">
        <v>4015</v>
      </c>
      <c r="F6499" s="8">
        <v>9.650670706E9</v>
      </c>
    </row>
    <row r="6500" ht="15.75" customHeight="1">
      <c r="A6500" s="8" t="s">
        <v>4593</v>
      </c>
      <c r="B6500" s="8" t="s">
        <v>5051</v>
      </c>
      <c r="C6500" s="8" t="s">
        <v>5052</v>
      </c>
      <c r="D6500" s="8" t="s">
        <v>14</v>
      </c>
      <c r="E6500" s="8" t="s">
        <v>4015</v>
      </c>
      <c r="F6500" s="8">
        <v>9.158244E9</v>
      </c>
    </row>
    <row r="6501" ht="15.75" customHeight="1">
      <c r="A6501" s="8" t="s">
        <v>5053</v>
      </c>
      <c r="B6501" s="8" t="s">
        <v>65</v>
      </c>
      <c r="C6501" s="8" t="s">
        <v>4976</v>
      </c>
      <c r="D6501" s="8" t="s">
        <v>14</v>
      </c>
      <c r="E6501" s="8" t="s">
        <v>4015</v>
      </c>
      <c r="F6501" s="8">
        <v>9.27800579E9</v>
      </c>
    </row>
    <row r="6502" ht="15.75" customHeight="1">
      <c r="A6502" s="8" t="s">
        <v>5054</v>
      </c>
      <c r="B6502" s="8" t="s">
        <v>63</v>
      </c>
      <c r="C6502" s="8" t="s">
        <v>4778</v>
      </c>
      <c r="D6502" s="8" t="s">
        <v>9</v>
      </c>
      <c r="E6502" s="8" t="s">
        <v>5055</v>
      </c>
      <c r="F6502" s="8">
        <v>6.232140925E9</v>
      </c>
    </row>
    <row r="6503" ht="15.75" customHeight="1">
      <c r="A6503" s="8" t="s">
        <v>5056</v>
      </c>
      <c r="B6503" s="8" t="s">
        <v>899</v>
      </c>
      <c r="C6503" s="8" t="s">
        <v>5057</v>
      </c>
      <c r="D6503" s="8" t="s">
        <v>14</v>
      </c>
      <c r="E6503" s="8" t="s">
        <v>4015</v>
      </c>
      <c r="F6503" s="8">
        <v>9.716358101E9</v>
      </c>
    </row>
    <row r="6504" ht="15.75" customHeight="1">
      <c r="A6504" s="8" t="s">
        <v>5047</v>
      </c>
      <c r="B6504" s="8" t="s">
        <v>899</v>
      </c>
      <c r="C6504" s="8" t="s">
        <v>5057</v>
      </c>
      <c r="D6504" s="8" t="s">
        <v>14</v>
      </c>
      <c r="E6504" s="8" t="s">
        <v>4015</v>
      </c>
      <c r="F6504" s="8">
        <v>9.716358101E9</v>
      </c>
    </row>
    <row r="6505" ht="15.75" customHeight="1">
      <c r="A6505" s="8" t="s">
        <v>4801</v>
      </c>
      <c r="B6505" s="8" t="s">
        <v>5069</v>
      </c>
      <c r="C6505" s="8" t="s">
        <v>5019</v>
      </c>
      <c r="D6505" s="8" t="s">
        <v>44</v>
      </c>
      <c r="E6505" s="8" t="s">
        <v>4015</v>
      </c>
      <c r="F6505" s="8">
        <v>9.999978036E9</v>
      </c>
    </row>
    <row r="6506" ht="15.75" customHeight="1">
      <c r="A6506" s="8" t="s">
        <v>5094</v>
      </c>
      <c r="B6506" s="8" t="s">
        <v>5095</v>
      </c>
      <c r="C6506" s="8" t="s">
        <v>5096</v>
      </c>
      <c r="D6506" s="8" t="s">
        <v>14</v>
      </c>
      <c r="E6506" s="8" t="s">
        <v>4015</v>
      </c>
      <c r="F6506" s="8">
        <v>9.873579346E9</v>
      </c>
    </row>
    <row r="6507" ht="15.75" customHeight="1">
      <c r="A6507" s="8" t="s">
        <v>5097</v>
      </c>
      <c r="B6507" s="8" t="s">
        <v>5098</v>
      </c>
      <c r="C6507" s="8" t="s">
        <v>4845</v>
      </c>
      <c r="D6507" s="8" t="s">
        <v>14</v>
      </c>
      <c r="E6507" s="8" t="s">
        <v>4015</v>
      </c>
      <c r="F6507" s="8">
        <v>9.313986677E9</v>
      </c>
    </row>
    <row r="6508" ht="15.75" customHeight="1">
      <c r="A6508" s="8" t="s">
        <v>5107</v>
      </c>
      <c r="B6508" s="8" t="s">
        <v>5108</v>
      </c>
      <c r="C6508" s="8" t="s">
        <v>412</v>
      </c>
      <c r="D6508" s="8" t="s">
        <v>14</v>
      </c>
      <c r="E6508" s="8" t="s">
        <v>5109</v>
      </c>
      <c r="F6508" s="8">
        <v>9.818189824E9</v>
      </c>
    </row>
    <row r="6509" ht="15.75" customHeight="1">
      <c r="A6509" s="8" t="s">
        <v>511</v>
      </c>
      <c r="B6509" s="8" t="s">
        <v>882</v>
      </c>
      <c r="C6509" s="8" t="s">
        <v>5068</v>
      </c>
      <c r="D6509" s="8" t="s">
        <v>56</v>
      </c>
      <c r="E6509" s="8" t="s">
        <v>4015</v>
      </c>
      <c r="F6509" s="8">
        <v>7.827346184E9</v>
      </c>
    </row>
    <row r="6510" ht="15.75" customHeight="1">
      <c r="A6510" s="8" t="s">
        <v>5111</v>
      </c>
      <c r="B6510" s="8" t="s">
        <v>5112</v>
      </c>
      <c r="C6510" s="8" t="s">
        <v>5113</v>
      </c>
      <c r="D6510" s="8" t="s">
        <v>56</v>
      </c>
      <c r="E6510" s="8" t="s">
        <v>4276</v>
      </c>
      <c r="F6510" s="8">
        <v>9.515563484E9</v>
      </c>
    </row>
    <row r="6511" ht="15.75" customHeight="1">
      <c r="A6511" s="8" t="s">
        <v>5119</v>
      </c>
      <c r="B6511" s="8" t="s">
        <v>5120</v>
      </c>
      <c r="C6511" s="8" t="s">
        <v>4778</v>
      </c>
      <c r="D6511" s="8" t="s">
        <v>9</v>
      </c>
      <c r="E6511" s="8" t="s">
        <v>4779</v>
      </c>
      <c r="F6511" s="8">
        <v>9.63093314E9</v>
      </c>
    </row>
    <row r="6512" ht="15.75" customHeight="1">
      <c r="A6512" s="8" t="s">
        <v>5131</v>
      </c>
      <c r="B6512" s="8" t="s">
        <v>3804</v>
      </c>
      <c r="C6512" s="8" t="s">
        <v>4976</v>
      </c>
      <c r="D6512" s="8" t="s">
        <v>56</v>
      </c>
      <c r="E6512" s="8" t="s">
        <v>4015</v>
      </c>
      <c r="F6512" s="8">
        <v>7.703977646E9</v>
      </c>
    </row>
    <row r="6513" ht="15.75" customHeight="1">
      <c r="A6513" s="8" t="s">
        <v>5132</v>
      </c>
      <c r="B6513" s="8" t="s">
        <v>5133</v>
      </c>
      <c r="C6513" s="8" t="s">
        <v>5134</v>
      </c>
      <c r="D6513" s="8" t="s">
        <v>14</v>
      </c>
      <c r="E6513" s="8" t="s">
        <v>4927</v>
      </c>
      <c r="F6513" s="8">
        <v>9.937490415E9</v>
      </c>
    </row>
    <row r="6514" ht="15.75" customHeight="1">
      <c r="A6514" s="8" t="s">
        <v>5141</v>
      </c>
      <c r="B6514" s="8" t="s">
        <v>5142</v>
      </c>
      <c r="C6514" s="8" t="s">
        <v>4700</v>
      </c>
      <c r="D6514" s="8" t="s">
        <v>56</v>
      </c>
      <c r="E6514" s="8" t="s">
        <v>4015</v>
      </c>
      <c r="F6514" s="8">
        <v>9.717173304E9</v>
      </c>
    </row>
    <row r="6515" ht="15.75" customHeight="1">
      <c r="A6515" s="8" t="s">
        <v>1092</v>
      </c>
      <c r="B6515" s="8" t="s">
        <v>50</v>
      </c>
      <c r="C6515" s="8" t="s">
        <v>4368</v>
      </c>
      <c r="D6515" s="8" t="s">
        <v>44</v>
      </c>
      <c r="E6515" s="8" t="s">
        <v>255</v>
      </c>
      <c r="F6515" s="8">
        <v>6.204198004E9</v>
      </c>
    </row>
    <row r="6516" ht="15.75" customHeight="1">
      <c r="A6516" s="8" t="s">
        <v>2605</v>
      </c>
      <c r="B6516" s="8" t="s">
        <v>225</v>
      </c>
      <c r="C6516" s="8" t="s">
        <v>5148</v>
      </c>
      <c r="D6516" s="8" t="s">
        <v>9</v>
      </c>
      <c r="E6516" s="8" t="s">
        <v>5149</v>
      </c>
      <c r="F6516" s="8">
        <v>9.780799024E9</v>
      </c>
    </row>
    <row r="6517" ht="15.75" customHeight="1">
      <c r="A6517" s="8" t="s">
        <v>67</v>
      </c>
      <c r="B6517" s="8" t="s">
        <v>3700</v>
      </c>
      <c r="C6517" s="8" t="s">
        <v>5000</v>
      </c>
      <c r="D6517" s="8" t="s">
        <v>9</v>
      </c>
      <c r="E6517" s="8" t="s">
        <v>4571</v>
      </c>
      <c r="F6517" s="8">
        <v>7.45697087E9</v>
      </c>
    </row>
    <row r="6518" ht="15.75" customHeight="1">
      <c r="A6518" s="8" t="s">
        <v>4964</v>
      </c>
      <c r="B6518" s="8" t="s">
        <v>5187</v>
      </c>
      <c r="C6518" s="8" t="s">
        <v>5188</v>
      </c>
      <c r="D6518" s="8" t="s">
        <v>56</v>
      </c>
      <c r="E6518" s="8" t="s">
        <v>4015</v>
      </c>
      <c r="F6518" s="8">
        <v>9.368250698E9</v>
      </c>
    </row>
    <row r="6519" ht="15.75" customHeight="1">
      <c r="A6519" s="8" t="s">
        <v>4686</v>
      </c>
      <c r="B6519" s="8" t="s">
        <v>50</v>
      </c>
      <c r="C6519" s="8" t="s">
        <v>4845</v>
      </c>
      <c r="D6519" s="8" t="s">
        <v>14</v>
      </c>
      <c r="E6519" s="8" t="s">
        <v>4015</v>
      </c>
      <c r="F6519" s="8">
        <v>8.130445555E9</v>
      </c>
    </row>
    <row r="6520" ht="15.75" customHeight="1">
      <c r="A6520" s="8" t="s">
        <v>5191</v>
      </c>
      <c r="B6520" s="8" t="s">
        <v>5192</v>
      </c>
      <c r="C6520" s="8" t="s">
        <v>5188</v>
      </c>
      <c r="D6520" s="8" t="s">
        <v>56</v>
      </c>
      <c r="E6520" s="8" t="s">
        <v>4015</v>
      </c>
      <c r="F6520" s="8">
        <v>9.368250698E9</v>
      </c>
    </row>
    <row r="6521" ht="15.75" customHeight="1">
      <c r="A6521" s="8" t="s">
        <v>996</v>
      </c>
      <c r="B6521" s="8" t="s">
        <v>3352</v>
      </c>
      <c r="C6521" s="8" t="s">
        <v>5193</v>
      </c>
      <c r="D6521" s="8" t="s">
        <v>29</v>
      </c>
      <c r="E6521" s="8" t="s">
        <v>4484</v>
      </c>
      <c r="F6521" s="8">
        <v>9.354704966E9</v>
      </c>
    </row>
    <row r="6522" ht="15.75" customHeight="1">
      <c r="A6522" s="8" t="s">
        <v>5199</v>
      </c>
      <c r="B6522" s="8" t="s">
        <v>108</v>
      </c>
      <c r="C6522" s="8" t="s">
        <v>5083</v>
      </c>
      <c r="D6522" s="8" t="s">
        <v>9</v>
      </c>
      <c r="E6522" s="8" t="s">
        <v>494</v>
      </c>
      <c r="F6522" s="8">
        <v>9.211356225E9</v>
      </c>
    </row>
    <row r="6523" ht="15.75" customHeight="1">
      <c r="A6523" s="8" t="s">
        <v>2930</v>
      </c>
      <c r="B6523" s="8" t="s">
        <v>606</v>
      </c>
      <c r="C6523" s="8" t="s">
        <v>5214</v>
      </c>
      <c r="D6523" s="8" t="s">
        <v>44</v>
      </c>
      <c r="E6523" s="8" t="s">
        <v>4015</v>
      </c>
      <c r="F6523" s="8">
        <v>7.303660484E9</v>
      </c>
    </row>
    <row r="6524" ht="15.75" customHeight="1">
      <c r="A6524" s="8" t="s">
        <v>2595</v>
      </c>
      <c r="B6524" s="8" t="s">
        <v>3920</v>
      </c>
      <c r="C6524" s="8" t="s">
        <v>5000</v>
      </c>
      <c r="D6524" s="8" t="s">
        <v>9</v>
      </c>
      <c r="E6524" s="8" t="s">
        <v>4571</v>
      </c>
      <c r="F6524" s="8">
        <v>9.116611806E9</v>
      </c>
    </row>
    <row r="6525" ht="15.75" customHeight="1">
      <c r="A6525" s="8" t="s">
        <v>3653</v>
      </c>
      <c r="B6525" s="8" t="s">
        <v>4661</v>
      </c>
      <c r="C6525" s="8" t="s">
        <v>5083</v>
      </c>
      <c r="D6525" s="8" t="s">
        <v>9</v>
      </c>
      <c r="E6525" s="8" t="s">
        <v>3399</v>
      </c>
      <c r="F6525" s="8">
        <v>8.92939096E9</v>
      </c>
    </row>
    <row r="6526" ht="15.75" customHeight="1">
      <c r="A6526" s="8" t="s">
        <v>565</v>
      </c>
      <c r="B6526" s="8" t="s">
        <v>5238</v>
      </c>
      <c r="C6526" s="8" t="s">
        <v>2708</v>
      </c>
      <c r="D6526" s="8" t="s">
        <v>9</v>
      </c>
      <c r="E6526" s="8" t="s">
        <v>434</v>
      </c>
      <c r="F6526" s="8">
        <v>7.977165629E9</v>
      </c>
    </row>
    <row r="6527" ht="15.75" customHeight="1">
      <c r="A6527" s="8" t="s">
        <v>5252</v>
      </c>
      <c r="B6527" s="8" t="s">
        <v>4988</v>
      </c>
      <c r="C6527" s="8" t="s">
        <v>4449</v>
      </c>
      <c r="D6527" s="8" t="s">
        <v>9</v>
      </c>
      <c r="E6527" s="8" t="s">
        <v>5253</v>
      </c>
      <c r="F6527" s="8">
        <v>7.340621783E9</v>
      </c>
    </row>
    <row r="6528" ht="15.75" customHeight="1">
      <c r="A6528" s="8" t="s">
        <v>4589</v>
      </c>
      <c r="B6528" s="8" t="s">
        <v>1343</v>
      </c>
      <c r="C6528" s="8" t="s">
        <v>5254</v>
      </c>
      <c r="D6528" s="8" t="s">
        <v>56</v>
      </c>
      <c r="E6528" s="8" t="s">
        <v>4276</v>
      </c>
      <c r="F6528" s="8">
        <v>7.799446565E9</v>
      </c>
    </row>
    <row r="6529" ht="15.75" customHeight="1">
      <c r="A6529" s="8" t="s">
        <v>5393</v>
      </c>
      <c r="B6529" s="8" t="s">
        <v>5394</v>
      </c>
      <c r="C6529" s="8" t="s">
        <v>5395</v>
      </c>
      <c r="D6529" s="8" t="s">
        <v>44</v>
      </c>
      <c r="E6529" s="8" t="s">
        <v>5396</v>
      </c>
      <c r="F6529" s="8">
        <v>9.6095207E9</v>
      </c>
    </row>
    <row r="6530" ht="15.75" customHeight="1">
      <c r="A6530" s="8" t="s">
        <v>5454</v>
      </c>
      <c r="B6530" s="8" t="s">
        <v>5455</v>
      </c>
      <c r="C6530" s="8" t="s">
        <v>5451</v>
      </c>
      <c r="D6530" s="8" t="s">
        <v>56</v>
      </c>
      <c r="E6530" s="8" t="s">
        <v>5452</v>
      </c>
      <c r="F6530" s="8">
        <v>9.815728813E9</v>
      </c>
    </row>
    <row r="6531" ht="15.75" customHeight="1">
      <c r="A6531" s="8" t="s">
        <v>1889</v>
      </c>
      <c r="B6531" s="8" t="s">
        <v>1407</v>
      </c>
      <c r="C6531" s="8" t="s">
        <v>5480</v>
      </c>
      <c r="D6531" s="8" t="s">
        <v>9</v>
      </c>
      <c r="E6531" s="8" t="s">
        <v>5242</v>
      </c>
      <c r="F6531" s="8">
        <v>7.017920223E9</v>
      </c>
    </row>
    <row r="6532" ht="15.75" customHeight="1">
      <c r="A6532" s="8" t="s">
        <v>5503</v>
      </c>
      <c r="B6532" s="8" t="s">
        <v>5504</v>
      </c>
      <c r="C6532" s="8" t="s">
        <v>5505</v>
      </c>
      <c r="D6532" s="8" t="s">
        <v>9</v>
      </c>
      <c r="E6532" s="8" t="s">
        <v>5242</v>
      </c>
      <c r="F6532" s="8">
        <v>9.956059333E9</v>
      </c>
    </row>
    <row r="6533" ht="15.75" customHeight="1">
      <c r="A6533" s="8" t="s">
        <v>5530</v>
      </c>
      <c r="B6533" s="8" t="s">
        <v>5531</v>
      </c>
      <c r="C6533" s="8" t="s">
        <v>2708</v>
      </c>
      <c r="D6533" s="8" t="s">
        <v>9</v>
      </c>
      <c r="E6533" s="8" t="s">
        <v>434</v>
      </c>
      <c r="F6533" s="8">
        <v>9.98798717E9</v>
      </c>
    </row>
    <row r="6534" ht="15.75" customHeight="1">
      <c r="A6534" s="8" t="s">
        <v>5532</v>
      </c>
      <c r="B6534" s="8" t="s">
        <v>5533</v>
      </c>
      <c r="C6534" s="8" t="s">
        <v>5429</v>
      </c>
      <c r="D6534" s="8" t="s">
        <v>44</v>
      </c>
      <c r="E6534" s="8" t="s">
        <v>5408</v>
      </c>
      <c r="F6534" s="8">
        <v>8.360482489E9</v>
      </c>
    </row>
    <row r="6535" ht="15.75" customHeight="1">
      <c r="A6535" s="8" t="s">
        <v>4871</v>
      </c>
      <c r="B6535" s="8" t="s">
        <v>308</v>
      </c>
      <c r="C6535" s="8" t="s">
        <v>5300</v>
      </c>
      <c r="D6535" s="8" t="s">
        <v>44</v>
      </c>
      <c r="E6535" s="8" t="s">
        <v>1102</v>
      </c>
      <c r="F6535" s="8">
        <v>8.929459006E9</v>
      </c>
    </row>
    <row r="6536" ht="15.75" customHeight="1">
      <c r="A6536" s="8" t="s">
        <v>413</v>
      </c>
      <c r="B6536" s="8" t="s">
        <v>1235</v>
      </c>
      <c r="C6536" s="8" t="s">
        <v>5304</v>
      </c>
      <c r="D6536" s="8" t="s">
        <v>44</v>
      </c>
      <c r="E6536" s="8" t="s">
        <v>1102</v>
      </c>
      <c r="F6536" s="8">
        <v>9.810833997E9</v>
      </c>
    </row>
    <row r="6537" ht="15.75" customHeight="1">
      <c r="A6537" s="8" t="s">
        <v>5335</v>
      </c>
      <c r="B6537" s="8" t="s">
        <v>63</v>
      </c>
      <c r="C6537" s="8" t="s">
        <v>4368</v>
      </c>
      <c r="D6537" s="8" t="s">
        <v>9</v>
      </c>
      <c r="E6537" s="8" t="s">
        <v>4625</v>
      </c>
      <c r="F6537" s="8">
        <v>8.168675962E9</v>
      </c>
    </row>
    <row r="6538" ht="15.75" customHeight="1">
      <c r="A6538" s="8" t="s">
        <v>3404</v>
      </c>
      <c r="B6538" s="8" t="s">
        <v>5383</v>
      </c>
      <c r="C6538" s="8" t="s">
        <v>5384</v>
      </c>
      <c r="D6538" s="8" t="s">
        <v>29</v>
      </c>
      <c r="E6538" s="8" t="s">
        <v>2115</v>
      </c>
      <c r="F6538" s="8">
        <v>7.980547507E9</v>
      </c>
    </row>
    <row r="6539" ht="15.75" customHeight="1">
      <c r="A6539" s="8" t="s">
        <v>163</v>
      </c>
      <c r="B6539" s="8" t="s">
        <v>525</v>
      </c>
      <c r="C6539" s="8" t="s">
        <v>4360</v>
      </c>
      <c r="D6539" s="8" t="s">
        <v>9</v>
      </c>
      <c r="E6539" s="8" t="s">
        <v>4212</v>
      </c>
      <c r="F6539" s="8">
        <v>9.821581486E9</v>
      </c>
    </row>
    <row r="6540" ht="15.75" customHeight="1">
      <c r="A6540" s="8" t="s">
        <v>4359</v>
      </c>
      <c r="B6540" s="8" t="s">
        <v>1090</v>
      </c>
      <c r="C6540" s="8" t="s">
        <v>4360</v>
      </c>
      <c r="D6540" s="8" t="s">
        <v>9</v>
      </c>
      <c r="E6540" s="8" t="s">
        <v>494</v>
      </c>
      <c r="F6540" s="8">
        <v>9.205310191E9</v>
      </c>
    </row>
    <row r="6541" ht="15.75" customHeight="1">
      <c r="A6541" s="8" t="s">
        <v>5315</v>
      </c>
      <c r="B6541" s="8" t="s">
        <v>5316</v>
      </c>
      <c r="C6541" s="8" t="s">
        <v>5259</v>
      </c>
      <c r="D6541" s="8" t="s">
        <v>56</v>
      </c>
      <c r="E6541" s="8" t="s">
        <v>434</v>
      </c>
      <c r="F6541" s="8">
        <v>9.32447839E9</v>
      </c>
    </row>
    <row r="6542" ht="15.75" customHeight="1">
      <c r="A6542" s="8" t="s">
        <v>146</v>
      </c>
      <c r="B6542" s="8" t="s">
        <v>63</v>
      </c>
      <c r="C6542" s="8" t="s">
        <v>5329</v>
      </c>
      <c r="D6542" s="8" t="s">
        <v>9</v>
      </c>
      <c r="E6542" s="8" t="s">
        <v>434</v>
      </c>
      <c r="F6542" s="8">
        <v>9.833743308E9</v>
      </c>
    </row>
    <row r="6543" ht="15.75" customHeight="1">
      <c r="A6543" s="8" t="s">
        <v>5409</v>
      </c>
      <c r="B6543" s="8" t="s">
        <v>5410</v>
      </c>
      <c r="C6543" s="8" t="s">
        <v>3322</v>
      </c>
      <c r="D6543" s="8" t="s">
        <v>56</v>
      </c>
      <c r="E6543" s="8" t="s">
        <v>434</v>
      </c>
      <c r="F6543" s="8">
        <v>7.506578164E9</v>
      </c>
    </row>
    <row r="6544" ht="15.75" customHeight="1">
      <c r="A6544" s="8" t="s">
        <v>5317</v>
      </c>
      <c r="B6544" s="8" t="s">
        <v>5470</v>
      </c>
      <c r="C6544" s="8" t="s">
        <v>3322</v>
      </c>
      <c r="D6544" s="8" t="s">
        <v>9</v>
      </c>
      <c r="E6544" s="8" t="s">
        <v>434</v>
      </c>
      <c r="F6544" s="8">
        <v>9.324632116E9</v>
      </c>
    </row>
    <row r="6545" ht="15.75" customHeight="1">
      <c r="A6545" s="8" t="s">
        <v>5471</v>
      </c>
      <c r="B6545" s="8" t="s">
        <v>50</v>
      </c>
      <c r="C6545" s="8" t="s">
        <v>2708</v>
      </c>
      <c r="D6545" s="8" t="s">
        <v>56</v>
      </c>
      <c r="E6545" s="8" t="s">
        <v>434</v>
      </c>
      <c r="F6545" s="8">
        <v>9.930836903E9</v>
      </c>
    </row>
    <row r="6546" ht="15.75" customHeight="1">
      <c r="A6546" s="8" t="s">
        <v>5498</v>
      </c>
      <c r="B6546" s="8" t="s">
        <v>65</v>
      </c>
      <c r="C6546" s="8" t="s">
        <v>3322</v>
      </c>
      <c r="D6546" s="8" t="s">
        <v>56</v>
      </c>
      <c r="E6546" s="8" t="s">
        <v>434</v>
      </c>
      <c r="F6546" s="8">
        <v>7.045084364E9</v>
      </c>
    </row>
    <row r="6547" ht="15.75" customHeight="1">
      <c r="A6547" s="8" t="s">
        <v>1838</v>
      </c>
      <c r="B6547" s="8" t="s">
        <v>5142</v>
      </c>
      <c r="C6547" s="8" t="s">
        <v>3322</v>
      </c>
      <c r="D6547" s="8" t="s">
        <v>44</v>
      </c>
      <c r="E6547" s="8" t="s">
        <v>434</v>
      </c>
      <c r="F6547" s="8">
        <v>7.718810816E9</v>
      </c>
    </row>
    <row r="6548" ht="15.75" customHeight="1">
      <c r="A6548" s="8" t="s">
        <v>2614</v>
      </c>
      <c r="B6548" s="8" t="s">
        <v>675</v>
      </c>
      <c r="C6548" s="8" t="s">
        <v>3322</v>
      </c>
      <c r="D6548" s="8" t="s">
        <v>44</v>
      </c>
      <c r="E6548" s="8" t="s">
        <v>434</v>
      </c>
      <c r="F6548" s="8">
        <v>9.820491078E9</v>
      </c>
    </row>
    <row r="6549" ht="15.75" customHeight="1">
      <c r="A6549" s="8" t="s">
        <v>4918</v>
      </c>
      <c r="B6549" s="8" t="s">
        <v>108</v>
      </c>
      <c r="C6549" s="8" t="s">
        <v>5810</v>
      </c>
      <c r="D6549" s="8" t="s">
        <v>14</v>
      </c>
      <c r="E6549" s="8" t="s">
        <v>434</v>
      </c>
      <c r="F6549" s="8">
        <v>9.967064353E9</v>
      </c>
    </row>
    <row r="6550" ht="15.75" customHeight="1">
      <c r="A6550" s="8" t="s">
        <v>463</v>
      </c>
      <c r="B6550" s="8" t="s">
        <v>91</v>
      </c>
      <c r="C6550" s="8" t="s">
        <v>5364</v>
      </c>
      <c r="D6550" s="8" t="s">
        <v>44</v>
      </c>
      <c r="E6550" s="8" t="s">
        <v>5365</v>
      </c>
      <c r="F6550" s="8">
        <v>9.002576217E9</v>
      </c>
    </row>
    <row r="6551" ht="15.75" customHeight="1">
      <c r="A6551" s="8" t="s">
        <v>1218</v>
      </c>
      <c r="B6551" s="8" t="s">
        <v>4820</v>
      </c>
      <c r="C6551" s="8" t="s">
        <v>4821</v>
      </c>
      <c r="D6551" s="8" t="s">
        <v>26</v>
      </c>
      <c r="E6551" s="8" t="s">
        <v>1102</v>
      </c>
      <c r="F6551" s="8">
        <v>9.625916855E9</v>
      </c>
    </row>
    <row r="6552" ht="15.75" customHeight="1">
      <c r="A6552" s="8" t="s">
        <v>146</v>
      </c>
      <c r="B6552" s="8" t="s">
        <v>4887</v>
      </c>
      <c r="C6552" s="8" t="s">
        <v>4586</v>
      </c>
      <c r="D6552" s="8" t="s">
        <v>1108</v>
      </c>
      <c r="E6552" s="8" t="s">
        <v>4587</v>
      </c>
      <c r="F6552" s="8">
        <v>9.329833517E9</v>
      </c>
    </row>
    <row r="6553" ht="15.75" customHeight="1">
      <c r="A6553" s="8" t="s">
        <v>5010</v>
      </c>
      <c r="B6553" s="8" t="s">
        <v>5011</v>
      </c>
      <c r="C6553" s="8" t="s">
        <v>5012</v>
      </c>
      <c r="D6553" s="8" t="s">
        <v>56</v>
      </c>
      <c r="E6553" s="8" t="s">
        <v>4015</v>
      </c>
      <c r="F6553" s="8">
        <v>9.868875549E9</v>
      </c>
    </row>
    <row r="6554" ht="15.75" customHeight="1">
      <c r="A6554" s="8" t="s">
        <v>2732</v>
      </c>
      <c r="B6554" s="8" t="s">
        <v>654</v>
      </c>
      <c r="C6554" s="8" t="s">
        <v>5058</v>
      </c>
      <c r="D6554" s="8" t="s">
        <v>14</v>
      </c>
      <c r="E6554" s="8" t="s">
        <v>4015</v>
      </c>
      <c r="F6554" s="8">
        <v>9.558985686E9</v>
      </c>
    </row>
    <row r="6555" ht="15.75" customHeight="1">
      <c r="A6555" s="8" t="s">
        <v>5104</v>
      </c>
      <c r="B6555" s="8" t="s">
        <v>4696</v>
      </c>
      <c r="C6555" s="8" t="s">
        <v>995</v>
      </c>
      <c r="D6555" s="8" t="s">
        <v>29</v>
      </c>
      <c r="E6555" s="8" t="s">
        <v>1102</v>
      </c>
      <c r="F6555" s="8">
        <v>9.899423262E9</v>
      </c>
    </row>
    <row r="6556" ht="15.75" customHeight="1">
      <c r="A6556" s="8" t="s">
        <v>4981</v>
      </c>
      <c r="B6556" s="8" t="s">
        <v>4982</v>
      </c>
      <c r="C6556" s="8" t="s">
        <v>4983</v>
      </c>
      <c r="D6556" s="8" t="s">
        <v>14</v>
      </c>
      <c r="E6556" s="8" t="s">
        <v>4015</v>
      </c>
      <c r="F6556" s="8">
        <v>9.711026777E9</v>
      </c>
    </row>
    <row r="6557" ht="15.75" customHeight="1">
      <c r="A6557" s="8" t="s">
        <v>3686</v>
      </c>
      <c r="B6557" s="8" t="s">
        <v>63</v>
      </c>
      <c r="C6557" s="8" t="s">
        <v>4700</v>
      </c>
      <c r="D6557" s="8" t="s">
        <v>14</v>
      </c>
      <c r="E6557" s="8" t="s">
        <v>4015</v>
      </c>
      <c r="F6557" s="8">
        <v>9.971222199E9</v>
      </c>
    </row>
    <row r="6558" ht="15.75" customHeight="1">
      <c r="A6558" s="8" t="s">
        <v>5086</v>
      </c>
      <c r="B6558" s="8" t="s">
        <v>1265</v>
      </c>
      <c r="C6558" s="8" t="s">
        <v>4409</v>
      </c>
      <c r="D6558" s="8" t="s">
        <v>56</v>
      </c>
      <c r="E6558" s="8" t="s">
        <v>5087</v>
      </c>
      <c r="F6558" s="8">
        <v>8.918436046E9</v>
      </c>
    </row>
    <row r="6559" ht="15.75" customHeight="1">
      <c r="A6559" s="8" t="s">
        <v>5066</v>
      </c>
      <c r="B6559" s="8" t="s">
        <v>108</v>
      </c>
      <c r="C6559" s="8" t="s">
        <v>412</v>
      </c>
      <c r="D6559" s="8" t="s">
        <v>44</v>
      </c>
      <c r="E6559" s="8" t="s">
        <v>5067</v>
      </c>
      <c r="F6559" s="8">
        <v>9.930071369E9</v>
      </c>
    </row>
    <row r="6560" ht="15.75" customHeight="1">
      <c r="A6560" s="8" t="s">
        <v>3805</v>
      </c>
      <c r="B6560" s="8" t="s">
        <v>2577</v>
      </c>
      <c r="C6560" s="8" t="s">
        <v>5068</v>
      </c>
      <c r="D6560" s="8" t="s">
        <v>44</v>
      </c>
      <c r="E6560" s="8" t="s">
        <v>4015</v>
      </c>
      <c r="F6560" s="8">
        <v>9.711080162E9</v>
      </c>
    </row>
    <row r="6561" ht="15.75" customHeight="1">
      <c r="A6561" s="8" t="s">
        <v>5064</v>
      </c>
      <c r="B6561" s="8" t="s">
        <v>212</v>
      </c>
      <c r="C6561" s="8" t="s">
        <v>5065</v>
      </c>
      <c r="D6561" s="8" t="s">
        <v>14</v>
      </c>
      <c r="E6561" s="8" t="s">
        <v>4927</v>
      </c>
      <c r="F6561" s="8">
        <v>9.311283602E9</v>
      </c>
    </row>
    <row r="6562" ht="15.75" customHeight="1">
      <c r="A6562" s="8" t="s">
        <v>4602</v>
      </c>
      <c r="B6562" s="8" t="s">
        <v>4603</v>
      </c>
      <c r="C6562" s="8" t="s">
        <v>1344</v>
      </c>
      <c r="D6562" s="8" t="s">
        <v>26</v>
      </c>
      <c r="E6562" s="8" t="s">
        <v>4604</v>
      </c>
      <c r="F6562" s="8">
        <v>8.105691099E9</v>
      </c>
    </row>
    <row r="6563" ht="15.75" customHeight="1">
      <c r="A6563" s="8" t="s">
        <v>4589</v>
      </c>
      <c r="B6563" s="8" t="s">
        <v>4590</v>
      </c>
      <c r="C6563" s="8" t="s">
        <v>493</v>
      </c>
      <c r="D6563" s="8" t="s">
        <v>56</v>
      </c>
      <c r="E6563" s="8" t="s">
        <v>494</v>
      </c>
      <c r="F6563" s="8">
        <v>9.711604647E9</v>
      </c>
    </row>
    <row r="6564" ht="15.75" customHeight="1">
      <c r="A6564" s="8" t="s">
        <v>4593</v>
      </c>
      <c r="B6564" s="8" t="s">
        <v>3078</v>
      </c>
      <c r="C6564" s="8" t="s">
        <v>4594</v>
      </c>
      <c r="D6564" s="8" t="s">
        <v>56</v>
      </c>
      <c r="E6564" s="8" t="s">
        <v>4595</v>
      </c>
      <c r="F6564" s="8">
        <v>8.073362951E9</v>
      </c>
    </row>
    <row r="6565" ht="15.75" customHeight="1">
      <c r="A6565" s="8" t="s">
        <v>4637</v>
      </c>
      <c r="B6565" s="8" t="s">
        <v>4638</v>
      </c>
      <c r="C6565" s="8" t="s">
        <v>4639</v>
      </c>
      <c r="D6565" s="8" t="s">
        <v>14</v>
      </c>
      <c r="E6565" s="8" t="s">
        <v>193</v>
      </c>
      <c r="F6565" s="8">
        <v>8.080236401E9</v>
      </c>
    </row>
    <row r="6566" ht="15.75" customHeight="1">
      <c r="A6566" s="8" t="s">
        <v>4723</v>
      </c>
      <c r="B6566" s="8" t="s">
        <v>3126</v>
      </c>
      <c r="C6566" s="8" t="s">
        <v>4635</v>
      </c>
      <c r="D6566" s="8" t="s">
        <v>44</v>
      </c>
      <c r="E6566" s="8" t="s">
        <v>4636</v>
      </c>
      <c r="F6566" s="8">
        <v>7.008662241E9</v>
      </c>
    </row>
    <row r="6567" ht="15.75" customHeight="1">
      <c r="A6567" s="8" t="s">
        <v>4724</v>
      </c>
      <c r="B6567" s="8" t="s">
        <v>1134</v>
      </c>
      <c r="C6567" s="8" t="s">
        <v>4635</v>
      </c>
      <c r="D6567" s="8" t="s">
        <v>44</v>
      </c>
      <c r="E6567" s="8" t="s">
        <v>4636</v>
      </c>
      <c r="F6567" s="8">
        <v>7.008456706E9</v>
      </c>
    </row>
    <row r="6568" ht="15.75" customHeight="1">
      <c r="A6568" s="8" t="s">
        <v>4768</v>
      </c>
      <c r="B6568" s="8" t="s">
        <v>4759</v>
      </c>
      <c r="C6568" s="8" t="s">
        <v>4477</v>
      </c>
      <c r="D6568" s="8" t="s">
        <v>26</v>
      </c>
      <c r="E6568" s="8" t="s">
        <v>4769</v>
      </c>
      <c r="F6568" s="8">
        <v>9.81042068E9</v>
      </c>
    </row>
    <row r="6569" ht="15.75" customHeight="1">
      <c r="A6569" s="8" t="s">
        <v>2605</v>
      </c>
      <c r="B6569" s="8" t="s">
        <v>924</v>
      </c>
      <c r="C6569" s="8" t="s">
        <v>4845</v>
      </c>
      <c r="D6569" s="8" t="s">
        <v>44</v>
      </c>
      <c r="E6569" s="8" t="s">
        <v>4015</v>
      </c>
      <c r="F6569" s="8">
        <v>9.910414033E9</v>
      </c>
    </row>
    <row r="6570" ht="15.75" customHeight="1">
      <c r="A6570" s="8" t="s">
        <v>4846</v>
      </c>
      <c r="B6570" s="8" t="s">
        <v>4696</v>
      </c>
      <c r="C6570" s="8" t="s">
        <v>4847</v>
      </c>
      <c r="D6570" s="8" t="s">
        <v>44</v>
      </c>
      <c r="E6570" s="8" t="s">
        <v>4015</v>
      </c>
      <c r="F6570" s="8">
        <v>9.760419619E9</v>
      </c>
    </row>
    <row r="6571" ht="15.75" customHeight="1">
      <c r="A6571" s="8" t="s">
        <v>1482</v>
      </c>
      <c r="B6571" s="8" t="s">
        <v>4900</v>
      </c>
      <c r="C6571" s="8" t="s">
        <v>4901</v>
      </c>
      <c r="D6571" s="8" t="s">
        <v>56</v>
      </c>
      <c r="E6571" s="8" t="s">
        <v>4340</v>
      </c>
      <c r="F6571" s="8">
        <v>9.474052096E9</v>
      </c>
    </row>
    <row r="6572" ht="15.75" customHeight="1">
      <c r="A6572" s="8" t="s">
        <v>5243</v>
      </c>
      <c r="B6572" s="8" t="s">
        <v>5244</v>
      </c>
      <c r="C6572" s="8" t="s">
        <v>4360</v>
      </c>
      <c r="D6572" s="8" t="s">
        <v>9</v>
      </c>
      <c r="E6572" s="8" t="s">
        <v>1102</v>
      </c>
      <c r="F6572" s="8">
        <v>9.871889959E9</v>
      </c>
    </row>
    <row r="6573" ht="15.75" customHeight="1">
      <c r="A6573" s="8" t="s">
        <v>5073</v>
      </c>
      <c r="B6573" s="8" t="s">
        <v>5074</v>
      </c>
      <c r="C6573" s="8" t="s">
        <v>5072</v>
      </c>
      <c r="D6573" s="8" t="s">
        <v>26</v>
      </c>
      <c r="E6573" s="8" t="s">
        <v>5075</v>
      </c>
      <c r="F6573" s="8">
        <v>9.951917555E9</v>
      </c>
    </row>
    <row r="6574" ht="15.75" customHeight="1">
      <c r="A6574" s="8" t="s">
        <v>3358</v>
      </c>
      <c r="B6574" s="8" t="s">
        <v>5234</v>
      </c>
      <c r="C6574" s="8" t="s">
        <v>4360</v>
      </c>
      <c r="D6574" s="8" t="s">
        <v>9</v>
      </c>
      <c r="E6574" s="8" t="s">
        <v>494</v>
      </c>
      <c r="F6574" s="8">
        <v>9.015466052E9</v>
      </c>
    </row>
    <row r="6575" ht="15.75" customHeight="1">
      <c r="A6575" s="8" t="s">
        <v>49</v>
      </c>
      <c r="B6575" s="8" t="s">
        <v>4661</v>
      </c>
      <c r="C6575" s="8" t="s">
        <v>4662</v>
      </c>
      <c r="D6575" s="8" t="s">
        <v>26</v>
      </c>
      <c r="E6575" s="8" t="s">
        <v>4587</v>
      </c>
      <c r="F6575" s="8">
        <v>9.009457261E9</v>
      </c>
    </row>
    <row r="6576" ht="15.75" customHeight="1">
      <c r="A6576" s="8" t="s">
        <v>4666</v>
      </c>
      <c r="B6576" s="8" t="s">
        <v>4667</v>
      </c>
      <c r="C6576" s="8" t="s">
        <v>4668</v>
      </c>
      <c r="D6576" s="8" t="s">
        <v>9</v>
      </c>
      <c r="E6576" s="8" t="s">
        <v>4656</v>
      </c>
      <c r="F6576" s="8">
        <v>7.908824764E9</v>
      </c>
    </row>
    <row r="6577" ht="15.75" customHeight="1">
      <c r="A6577" s="8" t="s">
        <v>4705</v>
      </c>
      <c r="B6577" s="8" t="s">
        <v>4706</v>
      </c>
      <c r="C6577" s="8" t="s">
        <v>4360</v>
      </c>
      <c r="D6577" s="8" t="s">
        <v>9</v>
      </c>
      <c r="E6577" s="8" t="s">
        <v>494</v>
      </c>
      <c r="F6577" s="8">
        <v>9.87136404E9</v>
      </c>
    </row>
    <row r="6578" ht="15.75" customHeight="1">
      <c r="A6578" s="8" t="s">
        <v>5044</v>
      </c>
      <c r="B6578" s="8" t="s">
        <v>4613</v>
      </c>
      <c r="C6578" s="8" t="s">
        <v>5045</v>
      </c>
      <c r="D6578" s="8" t="s">
        <v>44</v>
      </c>
      <c r="E6578" s="8" t="s">
        <v>4015</v>
      </c>
      <c r="F6578" s="8">
        <v>8.882342923E9</v>
      </c>
    </row>
    <row r="6579" ht="15.75" customHeight="1">
      <c r="A6579" s="8" t="s">
        <v>4817</v>
      </c>
      <c r="B6579" s="8" t="s">
        <v>4818</v>
      </c>
      <c r="C6579" s="8" t="s">
        <v>4819</v>
      </c>
      <c r="D6579" s="8" t="s">
        <v>29</v>
      </c>
      <c r="E6579" s="8" t="s">
        <v>3105</v>
      </c>
      <c r="F6579" s="8">
        <v>9.448359847E9</v>
      </c>
    </row>
    <row r="6580" ht="15.75" customHeight="1">
      <c r="A6580" s="8" t="s">
        <v>4507</v>
      </c>
      <c r="B6580" s="8" t="s">
        <v>4508</v>
      </c>
      <c r="C6580" s="8" t="s">
        <v>4509</v>
      </c>
      <c r="D6580" s="8" t="s">
        <v>44</v>
      </c>
      <c r="E6580" s="8" t="s">
        <v>4510</v>
      </c>
      <c r="F6580" s="8">
        <v>9.885660067E9</v>
      </c>
    </row>
    <row r="6581" ht="15.75" customHeight="1">
      <c r="A6581" s="8" t="s">
        <v>3575</v>
      </c>
      <c r="B6581" s="8" t="s">
        <v>4591</v>
      </c>
      <c r="C6581" s="8" t="s">
        <v>493</v>
      </c>
      <c r="D6581" s="8" t="s">
        <v>56</v>
      </c>
      <c r="E6581" s="8" t="s">
        <v>1102</v>
      </c>
      <c r="F6581" s="8">
        <v>8.810423593E9</v>
      </c>
    </row>
    <row r="6582" ht="15.75" customHeight="1">
      <c r="A6582" s="8" t="s">
        <v>4924</v>
      </c>
      <c r="B6582" s="8" t="s">
        <v>4925</v>
      </c>
      <c r="C6582" s="8" t="s">
        <v>4926</v>
      </c>
      <c r="D6582" s="8" t="s">
        <v>14</v>
      </c>
      <c r="E6582" s="8" t="s">
        <v>4927</v>
      </c>
      <c r="F6582" s="8">
        <v>8.284922776E9</v>
      </c>
    </row>
    <row r="6583" ht="15.75" customHeight="1">
      <c r="A6583" s="8" t="s">
        <v>4928</v>
      </c>
      <c r="B6583" s="8" t="s">
        <v>4862</v>
      </c>
      <c r="C6583" s="8" t="s">
        <v>4929</v>
      </c>
      <c r="D6583" s="8" t="s">
        <v>56</v>
      </c>
      <c r="E6583" s="8" t="s">
        <v>4276</v>
      </c>
      <c r="F6583" s="8">
        <v>9.86617714E9</v>
      </c>
    </row>
    <row r="6584" ht="15.75" customHeight="1">
      <c r="A6584" s="8" t="s">
        <v>5060</v>
      </c>
      <c r="B6584" s="8" t="s">
        <v>225</v>
      </c>
      <c r="C6584" s="8" t="s">
        <v>4360</v>
      </c>
      <c r="D6584" s="8" t="s">
        <v>29</v>
      </c>
      <c r="E6584" s="8" t="s">
        <v>4015</v>
      </c>
      <c r="F6584" s="8">
        <v>9.910805638E9</v>
      </c>
    </row>
    <row r="6585" ht="15.75" customHeight="1">
      <c r="A6585" s="8" t="s">
        <v>5175</v>
      </c>
      <c r="B6585" s="8" t="s">
        <v>5176</v>
      </c>
      <c r="C6585" s="8" t="s">
        <v>5161</v>
      </c>
      <c r="D6585" s="8" t="s">
        <v>29</v>
      </c>
      <c r="E6585" s="8" t="s">
        <v>255</v>
      </c>
      <c r="F6585" s="8">
        <v>7.667145058E9</v>
      </c>
    </row>
    <row r="6586" ht="15.75" customHeight="1">
      <c r="A6586" s="8" t="s">
        <v>5215</v>
      </c>
      <c r="B6586" s="8" t="s">
        <v>517</v>
      </c>
      <c r="C6586" s="8" t="s">
        <v>5083</v>
      </c>
      <c r="D6586" s="8" t="s">
        <v>9</v>
      </c>
      <c r="E6586" s="8" t="s">
        <v>494</v>
      </c>
      <c r="F6586" s="8">
        <v>9.910522333E9</v>
      </c>
    </row>
    <row r="6587" ht="15.75" customHeight="1">
      <c r="A6587" s="8" t="s">
        <v>5255</v>
      </c>
      <c r="B6587" s="8" t="s">
        <v>4513</v>
      </c>
      <c r="C6587" s="8" t="s">
        <v>4449</v>
      </c>
      <c r="D6587" s="8" t="s">
        <v>9</v>
      </c>
      <c r="E6587" s="8" t="s">
        <v>5256</v>
      </c>
      <c r="F6587" s="8">
        <v>9.653553542E9</v>
      </c>
    </row>
    <row r="6588" ht="15.75" customHeight="1">
      <c r="A6588" s="8" t="s">
        <v>2475</v>
      </c>
      <c r="B6588" s="8" t="s">
        <v>3597</v>
      </c>
      <c r="C6588" s="8" t="s">
        <v>3351</v>
      </c>
      <c r="D6588" s="8" t="s">
        <v>9</v>
      </c>
      <c r="E6588" s="8" t="s">
        <v>434</v>
      </c>
      <c r="F6588" s="8">
        <v>9.920312838E9</v>
      </c>
    </row>
    <row r="6589" ht="15.75" customHeight="1">
      <c r="A6589" s="8" t="s">
        <v>5606</v>
      </c>
      <c r="B6589" s="8" t="s">
        <v>5607</v>
      </c>
      <c r="C6589" s="8" t="s">
        <v>5608</v>
      </c>
      <c r="D6589" s="8" t="s">
        <v>14</v>
      </c>
      <c r="E6589" s="8" t="s">
        <v>5609</v>
      </c>
      <c r="F6589" s="8">
        <v>9.867798348E9</v>
      </c>
    </row>
    <row r="6590" ht="15.75" customHeight="1">
      <c r="A6590" s="8" t="s">
        <v>4330</v>
      </c>
      <c r="B6590" s="8" t="s">
        <v>5286</v>
      </c>
      <c r="C6590" s="8" t="s">
        <v>5287</v>
      </c>
      <c r="D6590" s="8" t="s">
        <v>44</v>
      </c>
      <c r="E6590" s="8" t="s">
        <v>434</v>
      </c>
      <c r="F6590" s="8">
        <v>8.450909922E9</v>
      </c>
    </row>
    <row r="6591" ht="15.75" customHeight="1">
      <c r="A6591" s="8" t="s">
        <v>146</v>
      </c>
      <c r="B6591" s="8" t="s">
        <v>4999</v>
      </c>
      <c r="C6591" s="8" t="s">
        <v>5288</v>
      </c>
      <c r="D6591" s="8" t="s">
        <v>9</v>
      </c>
      <c r="E6591" s="8" t="s">
        <v>3399</v>
      </c>
      <c r="F6591" s="8">
        <v>9.953036442E9</v>
      </c>
    </row>
    <row r="6592" ht="15.75" customHeight="1">
      <c r="A6592" s="8" t="s">
        <v>4937</v>
      </c>
      <c r="B6592" s="8" t="s">
        <v>1090</v>
      </c>
      <c r="C6592" s="8" t="s">
        <v>4938</v>
      </c>
      <c r="D6592" s="8" t="s">
        <v>14</v>
      </c>
      <c r="E6592" s="8" t="s">
        <v>4015</v>
      </c>
      <c r="F6592" s="8">
        <v>9.711336624E9</v>
      </c>
    </row>
    <row r="6593" ht="15.75" customHeight="1">
      <c r="A6593" s="8" t="s">
        <v>4998</v>
      </c>
      <c r="B6593" s="8" t="s">
        <v>1831</v>
      </c>
      <c r="C6593" s="8" t="s">
        <v>4738</v>
      </c>
      <c r="D6593" s="8" t="s">
        <v>44</v>
      </c>
      <c r="E6593" s="8" t="s">
        <v>4015</v>
      </c>
      <c r="F6593" s="8">
        <v>9.354240693E9</v>
      </c>
    </row>
    <row r="6594" ht="15.75" customHeight="1">
      <c r="A6594" s="8" t="s">
        <v>4998</v>
      </c>
      <c r="B6594" s="8" t="s">
        <v>1831</v>
      </c>
      <c r="C6594" s="8" t="s">
        <v>4845</v>
      </c>
      <c r="D6594" s="8" t="s">
        <v>44</v>
      </c>
      <c r="E6594" s="8" t="s">
        <v>4015</v>
      </c>
      <c r="F6594" s="8">
        <v>9.354240693E9</v>
      </c>
    </row>
    <row r="6595" ht="15.75" customHeight="1">
      <c r="A6595" s="8" t="s">
        <v>1562</v>
      </c>
      <c r="B6595" s="8" t="s">
        <v>5336</v>
      </c>
      <c r="C6595" s="8" t="s">
        <v>5337</v>
      </c>
      <c r="D6595" s="8" t="s">
        <v>26</v>
      </c>
      <c r="E6595" s="8" t="s">
        <v>494</v>
      </c>
      <c r="F6595" s="8">
        <v>9.560854111E9</v>
      </c>
    </row>
    <row r="6596" ht="15.75" customHeight="1">
      <c r="A6596" s="8" t="s">
        <v>4085</v>
      </c>
      <c r="B6596" s="8" t="s">
        <v>68</v>
      </c>
      <c r="C6596" s="8" t="s">
        <v>5307</v>
      </c>
      <c r="D6596" s="8" t="s">
        <v>9</v>
      </c>
      <c r="E6596" s="8" t="s">
        <v>5281</v>
      </c>
      <c r="F6596" s="8">
        <v>9.02647907E9</v>
      </c>
    </row>
    <row r="6597" ht="15.75" customHeight="1">
      <c r="A6597" s="8" t="s">
        <v>2451</v>
      </c>
      <c r="B6597" s="8" t="s">
        <v>5346</v>
      </c>
      <c r="C6597" s="8" t="s">
        <v>5347</v>
      </c>
      <c r="D6597" s="8" t="s">
        <v>1108</v>
      </c>
      <c r="E6597" s="8" t="s">
        <v>2575</v>
      </c>
      <c r="F6597" s="8">
        <v>9.113974544E9</v>
      </c>
    </row>
    <row r="6598" ht="15.75" customHeight="1">
      <c r="A6598" s="8" t="s">
        <v>4686</v>
      </c>
      <c r="B6598" s="8" t="s">
        <v>4687</v>
      </c>
      <c r="C6598" s="8" t="s">
        <v>4688</v>
      </c>
      <c r="D6598" s="8" t="s">
        <v>14</v>
      </c>
      <c r="E6598" s="8" t="s">
        <v>15</v>
      </c>
      <c r="F6598" s="8">
        <v>9.881107465E9</v>
      </c>
    </row>
    <row r="6599" ht="15.75" customHeight="1">
      <c r="A6599" s="8" t="s">
        <v>4596</v>
      </c>
      <c r="B6599" s="8" t="s">
        <v>4597</v>
      </c>
      <c r="C6599" s="8" t="s">
        <v>4598</v>
      </c>
      <c r="D6599" s="8" t="s">
        <v>29</v>
      </c>
      <c r="E6599" s="8" t="s">
        <v>4599</v>
      </c>
      <c r="F6599" s="8">
        <v>9.57389224E9</v>
      </c>
    </row>
    <row r="6600" ht="15.75" customHeight="1">
      <c r="A6600" s="8" t="s">
        <v>5349</v>
      </c>
      <c r="B6600" s="8" t="s">
        <v>5350</v>
      </c>
      <c r="C6600" s="8" t="s">
        <v>4850</v>
      </c>
      <c r="D6600" s="8" t="s">
        <v>26</v>
      </c>
      <c r="E6600" s="8" t="s">
        <v>5351</v>
      </c>
      <c r="F6600" s="8">
        <v>9.133332005E9</v>
      </c>
    </row>
    <row r="6601" ht="15.75" customHeight="1">
      <c r="A6601" s="8" t="s">
        <v>4544</v>
      </c>
      <c r="B6601" s="8" t="s">
        <v>4545</v>
      </c>
      <c r="C6601" s="8" t="s">
        <v>4368</v>
      </c>
      <c r="D6601" s="8" t="s">
        <v>9</v>
      </c>
      <c r="E6601" s="8" t="s">
        <v>4546</v>
      </c>
      <c r="F6601" s="8">
        <v>8.707528932E9</v>
      </c>
    </row>
    <row r="6602" ht="15.75" customHeight="1">
      <c r="A6602" s="8" t="s">
        <v>1044</v>
      </c>
      <c r="B6602" s="8" t="s">
        <v>5293</v>
      </c>
      <c r="C6602" s="8" t="s">
        <v>5083</v>
      </c>
      <c r="D6602" s="8" t="s">
        <v>9</v>
      </c>
      <c r="E6602" s="8" t="s">
        <v>4015</v>
      </c>
      <c r="F6602" s="8">
        <v>9.818449779E9</v>
      </c>
    </row>
    <row r="6603" ht="15.75" customHeight="1">
      <c r="A6603" s="8" t="s">
        <v>3531</v>
      </c>
      <c r="B6603" s="8" t="s">
        <v>2484</v>
      </c>
      <c r="C6603" s="8" t="s">
        <v>5348</v>
      </c>
      <c r="D6603" s="8" t="s">
        <v>9</v>
      </c>
      <c r="E6603" s="8" t="s">
        <v>4015</v>
      </c>
      <c r="F6603" s="8">
        <v>9.81064282E9</v>
      </c>
    </row>
    <row r="6604" ht="15.75" customHeight="1">
      <c r="A6604" s="8" t="s">
        <v>1963</v>
      </c>
      <c r="B6604" s="8" t="s">
        <v>63</v>
      </c>
      <c r="C6604" s="8" t="s">
        <v>5303</v>
      </c>
      <c r="D6604" s="8" t="s">
        <v>56</v>
      </c>
      <c r="E6604" s="8" t="s">
        <v>494</v>
      </c>
      <c r="F6604" s="8">
        <v>9.89953616E9</v>
      </c>
    </row>
    <row r="6605" ht="15.75" customHeight="1">
      <c r="A6605" s="8" t="s">
        <v>4942</v>
      </c>
      <c r="B6605" s="8" t="s">
        <v>2808</v>
      </c>
      <c r="C6605" s="8" t="s">
        <v>4943</v>
      </c>
      <c r="D6605" s="8" t="s">
        <v>4944</v>
      </c>
      <c r="E6605" s="8" t="s">
        <v>3105</v>
      </c>
      <c r="F6605" s="8">
        <v>8.892332629E9</v>
      </c>
    </row>
    <row r="6606" ht="15.75" customHeight="1">
      <c r="A6606" s="8" t="s">
        <v>4530</v>
      </c>
      <c r="B6606" s="8" t="s">
        <v>4531</v>
      </c>
      <c r="C6606" s="8" t="s">
        <v>4532</v>
      </c>
      <c r="D6606" s="8" t="s">
        <v>9</v>
      </c>
      <c r="E6606" s="8" t="s">
        <v>421</v>
      </c>
      <c r="F6606" s="8">
        <v>8.903789999E9</v>
      </c>
    </row>
    <row r="6607" ht="15.75" customHeight="1">
      <c r="A6607" s="8" t="s">
        <v>5041</v>
      </c>
      <c r="B6607" s="8" t="s">
        <v>5042</v>
      </c>
      <c r="C6607" s="8" t="s">
        <v>5043</v>
      </c>
      <c r="D6607" s="8" t="s">
        <v>14</v>
      </c>
      <c r="E6607" s="8" t="s">
        <v>4963</v>
      </c>
      <c r="F6607" s="8">
        <v>9.81063684E9</v>
      </c>
    </row>
    <row r="6608" ht="15.75" customHeight="1">
      <c r="A6608" s="8" t="s">
        <v>5177</v>
      </c>
      <c r="B6608" s="8" t="s">
        <v>5178</v>
      </c>
      <c r="C6608" s="8" t="s">
        <v>5174</v>
      </c>
      <c r="D6608" s="8" t="s">
        <v>44</v>
      </c>
      <c r="E6608" s="8" t="s">
        <v>4276</v>
      </c>
      <c r="F6608" s="8">
        <v>7.396882535E9</v>
      </c>
    </row>
    <row r="6609" ht="15.75" customHeight="1">
      <c r="A6609" s="8" t="s">
        <v>4746</v>
      </c>
      <c r="B6609" s="8" t="s">
        <v>4747</v>
      </c>
      <c r="C6609" s="8" t="s">
        <v>4748</v>
      </c>
      <c r="D6609" s="8" t="s">
        <v>102</v>
      </c>
      <c r="E6609" s="8" t="s">
        <v>2575</v>
      </c>
      <c r="F6609" s="8">
        <v>8.825829043E9</v>
      </c>
    </row>
    <row r="6610" ht="15.75" customHeight="1">
      <c r="A6610" s="8" t="s">
        <v>4984</v>
      </c>
      <c r="B6610" s="8" t="s">
        <v>63</v>
      </c>
      <c r="C6610" s="8" t="s">
        <v>4483</v>
      </c>
      <c r="D6610" s="8" t="s">
        <v>26</v>
      </c>
      <c r="E6610" s="8" t="s">
        <v>494</v>
      </c>
      <c r="F6610" s="8">
        <v>9.871276126E9</v>
      </c>
    </row>
    <row r="6611" ht="15.75" customHeight="1">
      <c r="A6611" s="8" t="s">
        <v>5217</v>
      </c>
      <c r="B6611" s="8" t="s">
        <v>5218</v>
      </c>
      <c r="C6611" s="8" t="s">
        <v>5219</v>
      </c>
      <c r="D6611" s="8" t="s">
        <v>26</v>
      </c>
      <c r="E6611" s="8" t="s">
        <v>4212</v>
      </c>
      <c r="F6611" s="8">
        <v>7.065522132E9</v>
      </c>
    </row>
    <row r="6612" ht="15.75" customHeight="1">
      <c r="A6612" s="8" t="s">
        <v>2451</v>
      </c>
      <c r="B6612" s="8" t="s">
        <v>4863</v>
      </c>
      <c r="C6612" s="8" t="s">
        <v>4864</v>
      </c>
      <c r="D6612" s="8" t="s">
        <v>26</v>
      </c>
      <c r="E6612" s="8" t="s">
        <v>4865</v>
      </c>
      <c r="F6612" s="8">
        <v>9.353646679E9</v>
      </c>
    </row>
    <row r="6613" ht="15.75" customHeight="1">
      <c r="A6613" s="8" t="s">
        <v>134</v>
      </c>
      <c r="B6613" s="8" t="s">
        <v>4569</v>
      </c>
      <c r="C6613" s="8" t="s">
        <v>4570</v>
      </c>
      <c r="D6613" s="8" t="s">
        <v>26</v>
      </c>
      <c r="E6613" s="8" t="s">
        <v>4571</v>
      </c>
      <c r="F6613" s="8">
        <v>9.571573444E9</v>
      </c>
    </row>
    <row r="6614" ht="15.75" customHeight="1">
      <c r="A6614" s="8" t="s">
        <v>2663</v>
      </c>
      <c r="B6614" s="8" t="s">
        <v>5226</v>
      </c>
      <c r="C6614" s="8" t="s">
        <v>3322</v>
      </c>
      <c r="D6614" s="8" t="s">
        <v>9</v>
      </c>
      <c r="E6614" s="8" t="s">
        <v>434</v>
      </c>
      <c r="F6614" s="8">
        <v>9.372460941E9</v>
      </c>
    </row>
    <row r="6615" ht="15.75" customHeight="1">
      <c r="A6615" s="8" t="s">
        <v>5154</v>
      </c>
      <c r="B6615" s="8" t="s">
        <v>3326</v>
      </c>
      <c r="C6615" s="8" t="s">
        <v>4449</v>
      </c>
      <c r="D6615" s="8" t="s">
        <v>56</v>
      </c>
      <c r="E6615" s="8" t="s">
        <v>255</v>
      </c>
      <c r="F6615" s="8">
        <v>6.200080348E9</v>
      </c>
    </row>
    <row r="6616" ht="15.75" customHeight="1">
      <c r="A6616" s="8" t="s">
        <v>5476</v>
      </c>
      <c r="B6616" s="8" t="s">
        <v>5477</v>
      </c>
      <c r="C6616" s="8" t="s">
        <v>4850</v>
      </c>
      <c r="D6616" s="8" t="s">
        <v>26</v>
      </c>
      <c r="E6616" s="8" t="s">
        <v>5351</v>
      </c>
      <c r="F6616" s="8">
        <v>9.030392526E9</v>
      </c>
    </row>
    <row r="6617" ht="15.75" customHeight="1">
      <c r="A6617" s="8" t="s">
        <v>5550</v>
      </c>
      <c r="B6617" s="8" t="s">
        <v>4988</v>
      </c>
      <c r="C6617" s="8" t="s">
        <v>5551</v>
      </c>
      <c r="D6617" s="8" t="s">
        <v>29</v>
      </c>
      <c r="E6617" s="8" t="s">
        <v>5552</v>
      </c>
      <c r="F6617" s="8">
        <v>7.091924724E9</v>
      </c>
    </row>
    <row r="6618" ht="15.75" customHeight="1">
      <c r="A6618" s="8" t="s">
        <v>123</v>
      </c>
      <c r="B6618" s="8" t="s">
        <v>50</v>
      </c>
      <c r="C6618" s="8" t="s">
        <v>3790</v>
      </c>
      <c r="D6618" s="8" t="s">
        <v>14</v>
      </c>
      <c r="E6618" s="8" t="s">
        <v>4909</v>
      </c>
      <c r="F6618" s="8">
        <v>7.004101932E9</v>
      </c>
    </row>
    <row r="6619" ht="15.75" customHeight="1">
      <c r="A6619" s="8" t="s">
        <v>6915</v>
      </c>
      <c r="B6619" s="8" t="s">
        <v>6916</v>
      </c>
      <c r="C6619" s="8" t="s">
        <v>6917</v>
      </c>
      <c r="D6619" s="8" t="s">
        <v>26</v>
      </c>
      <c r="E6619" s="8" t="s">
        <v>4276</v>
      </c>
      <c r="F6619" s="8">
        <v>7.731981971E9</v>
      </c>
    </row>
    <row r="6620" ht="15.75" customHeight="1">
      <c r="A6620" s="8" t="s">
        <v>4736</v>
      </c>
      <c r="B6620" s="8" t="s">
        <v>4737</v>
      </c>
      <c r="C6620" s="8" t="s">
        <v>4738</v>
      </c>
      <c r="D6620" s="8" t="s">
        <v>14</v>
      </c>
      <c r="E6620" s="8" t="s">
        <v>494</v>
      </c>
      <c r="F6620" s="8">
        <v>9.711878816E9</v>
      </c>
    </row>
    <row r="6621" ht="15.75" customHeight="1">
      <c r="A6621" s="8" t="s">
        <v>4815</v>
      </c>
      <c r="B6621" s="8" t="s">
        <v>4519</v>
      </c>
      <c r="C6621" s="8" t="s">
        <v>4816</v>
      </c>
      <c r="D6621" s="8" t="s">
        <v>9</v>
      </c>
      <c r="E6621" s="8" t="s">
        <v>1102</v>
      </c>
      <c r="F6621" s="8">
        <v>9.810863971E9</v>
      </c>
    </row>
    <row r="6622" ht="15.75" customHeight="1">
      <c r="A6622" s="8" t="s">
        <v>6918</v>
      </c>
      <c r="B6622" s="8" t="s">
        <v>75</v>
      </c>
      <c r="C6622" s="8" t="s">
        <v>6919</v>
      </c>
      <c r="D6622" s="8" t="s">
        <v>9</v>
      </c>
      <c r="E6622" s="8" t="s">
        <v>3105</v>
      </c>
      <c r="F6622" s="8">
        <v>9.742763505E9</v>
      </c>
    </row>
    <row r="6623" ht="15.75" customHeight="1">
      <c r="A6623" s="8" t="s">
        <v>4618</v>
      </c>
      <c r="B6623" s="8" t="s">
        <v>4619</v>
      </c>
      <c r="C6623" s="8" t="s">
        <v>3100</v>
      </c>
      <c r="D6623" s="8" t="s">
        <v>56</v>
      </c>
      <c r="E6623" s="8" t="s">
        <v>4620</v>
      </c>
      <c r="F6623" s="8">
        <v>7.697971644E9</v>
      </c>
    </row>
    <row r="6624" ht="15.75" customHeight="1">
      <c r="A6624" s="8" t="s">
        <v>4674</v>
      </c>
      <c r="B6624" s="8" t="s">
        <v>4675</v>
      </c>
      <c r="C6624" s="8" t="s">
        <v>4006</v>
      </c>
      <c r="D6624" s="8" t="s">
        <v>56</v>
      </c>
      <c r="E6624" s="8" t="s">
        <v>4318</v>
      </c>
      <c r="F6624" s="8">
        <v>9.304309904E9</v>
      </c>
    </row>
    <row r="6625" ht="15.75" customHeight="1">
      <c r="A6625" s="8" t="s">
        <v>3361</v>
      </c>
      <c r="B6625" s="8" t="s">
        <v>3015</v>
      </c>
      <c r="C6625" s="8" t="s">
        <v>4449</v>
      </c>
      <c r="D6625" s="8" t="s">
        <v>9</v>
      </c>
      <c r="E6625" s="8" t="s">
        <v>4625</v>
      </c>
      <c r="F6625" s="8">
        <v>8.059940309E9</v>
      </c>
    </row>
    <row r="6626" ht="15.75" customHeight="1">
      <c r="A6626" s="8" t="s">
        <v>4861</v>
      </c>
      <c r="B6626" s="8" t="s">
        <v>4862</v>
      </c>
      <c r="C6626" s="8" t="s">
        <v>4860</v>
      </c>
      <c r="D6626" s="8" t="s">
        <v>56</v>
      </c>
      <c r="E6626" s="8" t="s">
        <v>4276</v>
      </c>
      <c r="F6626" s="8">
        <v>9.966698596E9</v>
      </c>
    </row>
    <row r="6627" ht="15.75" customHeight="1">
      <c r="A6627" s="8" t="s">
        <v>4888</v>
      </c>
      <c r="B6627" s="8" t="s">
        <v>4889</v>
      </c>
      <c r="C6627" s="8" t="s">
        <v>4890</v>
      </c>
      <c r="D6627" s="8" t="s">
        <v>44</v>
      </c>
      <c r="E6627" s="8" t="s">
        <v>4891</v>
      </c>
      <c r="F6627" s="8">
        <v>9.052235311E9</v>
      </c>
    </row>
    <row r="6628" ht="15.75" customHeight="1">
      <c r="A6628" s="8" t="s">
        <v>2732</v>
      </c>
      <c r="B6628" s="8" t="s">
        <v>4896</v>
      </c>
      <c r="C6628" s="8" t="s">
        <v>4897</v>
      </c>
      <c r="D6628" s="8" t="s">
        <v>26</v>
      </c>
      <c r="E6628" s="8" t="s">
        <v>4898</v>
      </c>
      <c r="F6628" s="8">
        <v>8.968383533E9</v>
      </c>
    </row>
    <row r="6629" ht="15.75" customHeight="1">
      <c r="A6629" s="8" t="s">
        <v>4459</v>
      </c>
      <c r="B6629" s="8" t="s">
        <v>4988</v>
      </c>
      <c r="C6629" s="8" t="s">
        <v>4483</v>
      </c>
      <c r="D6629" s="8" t="s">
        <v>29</v>
      </c>
      <c r="E6629" s="8" t="s">
        <v>494</v>
      </c>
      <c r="F6629" s="8">
        <v>9.213516143E9</v>
      </c>
    </row>
    <row r="6630" ht="15.75" customHeight="1">
      <c r="A6630" s="8" t="s">
        <v>5090</v>
      </c>
      <c r="B6630" s="8" t="s">
        <v>5091</v>
      </c>
      <c r="C6630" s="8" t="s">
        <v>5092</v>
      </c>
      <c r="D6630" s="8" t="s">
        <v>44</v>
      </c>
      <c r="E6630" s="8" t="s">
        <v>2575</v>
      </c>
      <c r="F6630" s="8">
        <v>8.754232536E9</v>
      </c>
    </row>
    <row r="6631" ht="15.75" customHeight="1">
      <c r="A6631" s="8" t="s">
        <v>146</v>
      </c>
      <c r="B6631" s="8" t="s">
        <v>1235</v>
      </c>
      <c r="C6631" s="8" t="s">
        <v>4845</v>
      </c>
      <c r="D6631" s="8" t="s">
        <v>44</v>
      </c>
      <c r="E6631" s="8" t="s">
        <v>4015</v>
      </c>
      <c r="F6631" s="8">
        <v>9.560567787E9</v>
      </c>
    </row>
    <row r="6632" ht="15.75" customHeight="1">
      <c r="A6632" s="8" t="s">
        <v>3743</v>
      </c>
      <c r="B6632" s="8" t="s">
        <v>5216</v>
      </c>
      <c r="C6632" s="8" t="s">
        <v>5103</v>
      </c>
      <c r="D6632" s="8" t="s">
        <v>56</v>
      </c>
      <c r="E6632" s="8" t="s">
        <v>4941</v>
      </c>
      <c r="F6632" s="8">
        <v>9.966796549E9</v>
      </c>
    </row>
    <row r="6633" ht="15.75" customHeight="1">
      <c r="A6633" s="8" t="s">
        <v>1260</v>
      </c>
      <c r="B6633" s="8" t="s">
        <v>5298</v>
      </c>
      <c r="C6633" s="8" t="s">
        <v>5299</v>
      </c>
      <c r="D6633" s="8" t="s">
        <v>44</v>
      </c>
      <c r="E6633" s="8" t="s">
        <v>3105</v>
      </c>
      <c r="F6633" s="8">
        <v>9.88642662E9</v>
      </c>
    </row>
    <row r="6634" ht="15.75" customHeight="1">
      <c r="A6634" s="8" t="s">
        <v>557</v>
      </c>
      <c r="B6634" s="8" t="s">
        <v>5450</v>
      </c>
      <c r="C6634" s="8" t="s">
        <v>5451</v>
      </c>
      <c r="D6634" s="8" t="s">
        <v>56</v>
      </c>
      <c r="E6634" s="8" t="s">
        <v>5452</v>
      </c>
      <c r="F6634" s="8">
        <v>9.780848078E9</v>
      </c>
    </row>
    <row r="6635" ht="15.75" customHeight="1">
      <c r="A6635" s="8" t="s">
        <v>189</v>
      </c>
      <c r="B6635" s="8" t="s">
        <v>212</v>
      </c>
      <c r="C6635" s="8" t="s">
        <v>5677</v>
      </c>
      <c r="D6635" s="8" t="s">
        <v>14</v>
      </c>
      <c r="E6635" s="8" t="s">
        <v>2025</v>
      </c>
      <c r="F6635" s="8">
        <v>9.871322647E9</v>
      </c>
    </row>
    <row r="6636" ht="15.75" customHeight="1">
      <c r="A6636" s="8" t="s">
        <v>2594</v>
      </c>
      <c r="B6636" s="8" t="s">
        <v>5355</v>
      </c>
      <c r="C6636" s="8" t="s">
        <v>4360</v>
      </c>
      <c r="D6636" s="8" t="s">
        <v>26</v>
      </c>
      <c r="E6636" s="8" t="s">
        <v>494</v>
      </c>
      <c r="F6636" s="8">
        <v>9.674317799E9</v>
      </c>
    </row>
    <row r="6637" ht="15.75" customHeight="1">
      <c r="A6637" s="8" t="s">
        <v>3625</v>
      </c>
      <c r="B6637" s="8" t="s">
        <v>108</v>
      </c>
      <c r="C6637" s="8" t="s">
        <v>5083</v>
      </c>
      <c r="D6637" s="8" t="s">
        <v>26</v>
      </c>
      <c r="E6637" s="8" t="s">
        <v>4015</v>
      </c>
      <c r="F6637" s="8">
        <v>9.015691236E9</v>
      </c>
    </row>
    <row r="6638" ht="15.75" customHeight="1">
      <c r="A6638" s="8" t="s">
        <v>3327</v>
      </c>
      <c r="B6638" s="8" t="s">
        <v>512</v>
      </c>
      <c r="C6638" s="8" t="s">
        <v>4774</v>
      </c>
      <c r="D6638" s="8" t="s">
        <v>14</v>
      </c>
      <c r="E6638" s="8" t="s">
        <v>434</v>
      </c>
      <c r="F6638" s="8">
        <v>9.867466852E9</v>
      </c>
    </row>
    <row r="6639" ht="15.75" customHeight="1">
      <c r="A6639" s="8" t="s">
        <v>4567</v>
      </c>
      <c r="B6639" s="8" t="s">
        <v>65</v>
      </c>
      <c r="C6639" s="8" t="s">
        <v>4568</v>
      </c>
      <c r="D6639" s="8" t="s">
        <v>26</v>
      </c>
      <c r="E6639" s="8" t="s">
        <v>494</v>
      </c>
      <c r="F6639" s="8">
        <v>7.042588277E9</v>
      </c>
    </row>
    <row r="6640" ht="15.75" customHeight="1">
      <c r="A6640" s="8" t="s">
        <v>1695</v>
      </c>
      <c r="B6640" s="8" t="s">
        <v>1290</v>
      </c>
      <c r="C6640" s="8" t="s">
        <v>4659</v>
      </c>
      <c r="D6640" s="8" t="s">
        <v>56</v>
      </c>
      <c r="E6640" s="8" t="s">
        <v>15</v>
      </c>
      <c r="F6640" s="8">
        <v>9.654509958E9</v>
      </c>
    </row>
    <row r="6641" ht="15.75" customHeight="1">
      <c r="A6641" s="8" t="s">
        <v>4743</v>
      </c>
      <c r="B6641" s="8" t="s">
        <v>4744</v>
      </c>
      <c r="C6641" s="8" t="s">
        <v>4745</v>
      </c>
      <c r="D6641" s="8" t="s">
        <v>44</v>
      </c>
      <c r="E6641" s="8" t="s">
        <v>434</v>
      </c>
      <c r="F6641" s="8">
        <v>9.00477011E9</v>
      </c>
    </row>
    <row r="6642" ht="15.75" customHeight="1">
      <c r="A6642" s="8" t="s">
        <v>491</v>
      </c>
      <c r="B6642" s="8" t="s">
        <v>3352</v>
      </c>
      <c r="C6642" s="8" t="s">
        <v>4783</v>
      </c>
      <c r="D6642" s="8" t="s">
        <v>26</v>
      </c>
      <c r="E6642" s="8" t="s">
        <v>494</v>
      </c>
      <c r="F6642" s="8">
        <v>8.287155375E9</v>
      </c>
    </row>
    <row r="6643" ht="15.75" customHeight="1">
      <c r="A6643" s="8" t="s">
        <v>1865</v>
      </c>
      <c r="B6643" s="8" t="s">
        <v>5001</v>
      </c>
      <c r="C6643" s="8" t="s">
        <v>5002</v>
      </c>
      <c r="D6643" s="8" t="s">
        <v>44</v>
      </c>
      <c r="E6643" s="8" t="s">
        <v>5003</v>
      </c>
      <c r="F6643" s="8">
        <v>9.717487259E9</v>
      </c>
    </row>
    <row r="6644" ht="15.75" customHeight="1">
      <c r="A6644" s="8" t="s">
        <v>5121</v>
      </c>
      <c r="B6644" s="8" t="s">
        <v>5122</v>
      </c>
      <c r="C6644" s="8" t="s">
        <v>4360</v>
      </c>
      <c r="D6644" s="8" t="s">
        <v>56</v>
      </c>
      <c r="E6644" s="8" t="s">
        <v>5123</v>
      </c>
      <c r="F6644" s="8">
        <v>8.287458779E9</v>
      </c>
    </row>
    <row r="6645" ht="15.75" customHeight="1">
      <c r="A6645" s="8" t="s">
        <v>5227</v>
      </c>
      <c r="B6645" s="8" t="s">
        <v>5228</v>
      </c>
      <c r="C6645" s="8" t="s">
        <v>5229</v>
      </c>
      <c r="D6645" s="8" t="s">
        <v>44</v>
      </c>
      <c r="E6645" s="8" t="s">
        <v>5230</v>
      </c>
      <c r="F6645" s="8">
        <v>7.760681414E9</v>
      </c>
    </row>
    <row r="6646" ht="15.75" customHeight="1">
      <c r="A6646" s="8" t="s">
        <v>5022</v>
      </c>
      <c r="B6646" s="8" t="s">
        <v>5023</v>
      </c>
      <c r="C6646" s="8" t="s">
        <v>5024</v>
      </c>
      <c r="D6646" s="8" t="s">
        <v>44</v>
      </c>
      <c r="E6646" s="8" t="s">
        <v>4276</v>
      </c>
      <c r="F6646" s="8">
        <v>7.989810297E9</v>
      </c>
    </row>
    <row r="6647" ht="15.75" customHeight="1">
      <c r="A6647" s="8" t="s">
        <v>413</v>
      </c>
      <c r="B6647" s="8" t="s">
        <v>50</v>
      </c>
      <c r="C6647" s="8" t="s">
        <v>5601</v>
      </c>
      <c r="D6647" s="8" t="s">
        <v>14</v>
      </c>
      <c r="E6647" s="8" t="s">
        <v>5380</v>
      </c>
      <c r="F6647" s="8">
        <v>7.209979631E9</v>
      </c>
    </row>
    <row r="6648" ht="15.75" customHeight="1">
      <c r="A6648" s="8" t="s">
        <v>5368</v>
      </c>
      <c r="B6648" s="8" t="s">
        <v>5176</v>
      </c>
      <c r="C6648" s="8" t="s">
        <v>5369</v>
      </c>
      <c r="D6648" s="8" t="s">
        <v>9</v>
      </c>
      <c r="E6648" s="8" t="s">
        <v>1102</v>
      </c>
      <c r="F6648" s="8">
        <v>8.287926586E9</v>
      </c>
    </row>
    <row r="6649" ht="15.75" customHeight="1">
      <c r="A6649" s="8" t="s">
        <v>5301</v>
      </c>
      <c r="B6649" s="8" t="s">
        <v>5302</v>
      </c>
      <c r="C6649" s="8" t="s">
        <v>5296</v>
      </c>
      <c r="D6649" s="8" t="s">
        <v>44</v>
      </c>
      <c r="E6649" s="8" t="s">
        <v>5297</v>
      </c>
      <c r="F6649" s="8">
        <v>9.650521766E9</v>
      </c>
    </row>
    <row r="6650" ht="15.75" customHeight="1">
      <c r="A6650" s="8" t="s">
        <v>4215</v>
      </c>
      <c r="B6650" s="8" t="s">
        <v>5333</v>
      </c>
      <c r="C6650" s="8" t="s">
        <v>5334</v>
      </c>
      <c r="D6650" s="8" t="s">
        <v>29</v>
      </c>
      <c r="E6650" s="8" t="s">
        <v>2115</v>
      </c>
      <c r="F6650" s="8">
        <v>9.831916101E9</v>
      </c>
    </row>
    <row r="6651" ht="15.75" customHeight="1">
      <c r="A6651" s="8" t="s">
        <v>5370</v>
      </c>
      <c r="B6651" s="8" t="s">
        <v>5371</v>
      </c>
      <c r="C6651" s="8" t="s">
        <v>5372</v>
      </c>
      <c r="D6651" s="8" t="s">
        <v>9</v>
      </c>
      <c r="E6651" s="8" t="s">
        <v>5373</v>
      </c>
      <c r="F6651" s="8">
        <v>9.717444848E9</v>
      </c>
    </row>
    <row r="6652" ht="15.75" customHeight="1">
      <c r="A6652" s="8" t="s">
        <v>5366</v>
      </c>
      <c r="B6652" s="8" t="s">
        <v>5183</v>
      </c>
      <c r="C6652" s="8" t="s">
        <v>4449</v>
      </c>
      <c r="D6652" s="8" t="s">
        <v>9</v>
      </c>
      <c r="E6652" s="8" t="s">
        <v>5367</v>
      </c>
      <c r="F6652" s="8">
        <v>9.466029713E9</v>
      </c>
    </row>
    <row r="6653" ht="15.75" customHeight="1">
      <c r="A6653" s="8" t="s">
        <v>2634</v>
      </c>
      <c r="B6653" s="8" t="s">
        <v>4962</v>
      </c>
      <c r="C6653" s="8" t="s">
        <v>4845</v>
      </c>
      <c r="D6653" s="8" t="s">
        <v>56</v>
      </c>
      <c r="E6653" s="8" t="s">
        <v>4015</v>
      </c>
      <c r="F6653" s="8">
        <v>9.873830623E9</v>
      </c>
    </row>
    <row r="6654" ht="15.75" customHeight="1">
      <c r="A6654" s="8" t="s">
        <v>299</v>
      </c>
      <c r="B6654" s="8" t="s">
        <v>4696</v>
      </c>
      <c r="C6654" s="8" t="s">
        <v>5251</v>
      </c>
      <c r="D6654" s="8" t="s">
        <v>44</v>
      </c>
      <c r="E6654" s="8" t="s">
        <v>1102</v>
      </c>
      <c r="F6654" s="8">
        <v>9.711576987E9</v>
      </c>
    </row>
    <row r="6655" ht="15.75" customHeight="1">
      <c r="A6655" s="8" t="s">
        <v>5535</v>
      </c>
      <c r="B6655" s="8" t="s">
        <v>108</v>
      </c>
      <c r="C6655" s="8" t="s">
        <v>3322</v>
      </c>
      <c r="D6655" s="8" t="s">
        <v>9</v>
      </c>
      <c r="E6655" s="8" t="s">
        <v>434</v>
      </c>
      <c r="F6655" s="8">
        <v>8.369246482E9</v>
      </c>
    </row>
    <row r="6656" ht="15.75" customHeight="1">
      <c r="A6656" s="8" t="s">
        <v>3773</v>
      </c>
      <c r="B6656" s="8" t="s">
        <v>5311</v>
      </c>
      <c r="C6656" s="8" t="s">
        <v>5083</v>
      </c>
      <c r="D6656" s="8" t="s">
        <v>9</v>
      </c>
      <c r="E6656" s="8" t="s">
        <v>2025</v>
      </c>
      <c r="F6656" s="8">
        <v>9.95308943E9</v>
      </c>
    </row>
    <row r="6657" ht="15.75" customHeight="1">
      <c r="A6657" s="8" t="s">
        <v>4788</v>
      </c>
      <c r="B6657" s="8" t="s">
        <v>153</v>
      </c>
      <c r="C6657" s="8" t="s">
        <v>4789</v>
      </c>
      <c r="D6657" s="8" t="s">
        <v>29</v>
      </c>
      <c r="E6657" s="8" t="s">
        <v>4790</v>
      </c>
      <c r="F6657" s="8">
        <v>9.311305666E9</v>
      </c>
    </row>
    <row r="6658" ht="15.75" customHeight="1">
      <c r="A6658" s="8" t="s">
        <v>186</v>
      </c>
      <c r="B6658" s="8" t="s">
        <v>1378</v>
      </c>
      <c r="C6658" s="8" t="s">
        <v>4550</v>
      </c>
      <c r="D6658" s="8" t="s">
        <v>29</v>
      </c>
      <c r="E6658" s="8" t="s">
        <v>19</v>
      </c>
      <c r="F6658" s="8">
        <v>8.102223801E9</v>
      </c>
    </row>
    <row r="6659" ht="15.75" customHeight="1">
      <c r="A6659" s="8" t="s">
        <v>4552</v>
      </c>
      <c r="B6659" s="8" t="s">
        <v>4553</v>
      </c>
      <c r="C6659" s="8" t="s">
        <v>4554</v>
      </c>
      <c r="D6659" s="8" t="s">
        <v>29</v>
      </c>
      <c r="E6659" s="8" t="s">
        <v>282</v>
      </c>
      <c r="F6659" s="8">
        <v>9.510965126E9</v>
      </c>
    </row>
    <row r="6660" ht="15.75" customHeight="1">
      <c r="A6660" s="8" t="s">
        <v>4559</v>
      </c>
      <c r="B6660" s="8" t="s">
        <v>4560</v>
      </c>
      <c r="C6660" s="8" t="s">
        <v>4561</v>
      </c>
      <c r="D6660" s="8" t="s">
        <v>44</v>
      </c>
      <c r="E6660" s="8" t="s">
        <v>4276</v>
      </c>
      <c r="F6660" s="8">
        <v>7.036019496E9</v>
      </c>
    </row>
    <row r="6661" ht="15.75" customHeight="1">
      <c r="A6661" s="8" t="s">
        <v>4359</v>
      </c>
      <c r="B6661" s="8" t="s">
        <v>4576</v>
      </c>
      <c r="C6661" s="8" t="s">
        <v>4577</v>
      </c>
      <c r="D6661" s="8" t="s">
        <v>9</v>
      </c>
      <c r="E6661" s="8" t="s">
        <v>4546</v>
      </c>
      <c r="F6661" s="8">
        <v>8.604596323E9</v>
      </c>
    </row>
    <row r="6662" ht="15.75" customHeight="1">
      <c r="A6662" s="8" t="s">
        <v>3857</v>
      </c>
      <c r="B6662" s="8" t="s">
        <v>4522</v>
      </c>
      <c r="C6662" s="8" t="s">
        <v>4523</v>
      </c>
      <c r="D6662" s="8" t="s">
        <v>26</v>
      </c>
      <c r="E6662" s="8" t="s">
        <v>1102</v>
      </c>
      <c r="F6662" s="8">
        <v>9.971079052E9</v>
      </c>
    </row>
    <row r="6663" ht="15.75" customHeight="1">
      <c r="A6663" s="8" t="s">
        <v>3062</v>
      </c>
      <c r="B6663" s="8" t="s">
        <v>3207</v>
      </c>
      <c r="C6663" s="8" t="s">
        <v>4555</v>
      </c>
      <c r="D6663" s="8" t="s">
        <v>9</v>
      </c>
      <c r="E6663" s="8" t="s">
        <v>4358</v>
      </c>
      <c r="F6663" s="8">
        <v>7.987349835E9</v>
      </c>
    </row>
    <row r="6664" ht="15.75" customHeight="1">
      <c r="A6664" s="8" t="s">
        <v>4556</v>
      </c>
      <c r="B6664" s="8" t="s">
        <v>4557</v>
      </c>
      <c r="C6664" s="8" t="s">
        <v>4558</v>
      </c>
      <c r="D6664" s="8" t="s">
        <v>9</v>
      </c>
      <c r="E6664" s="8" t="s">
        <v>494</v>
      </c>
      <c r="F6664" s="8">
        <v>9.831330112E9</v>
      </c>
    </row>
    <row r="6665" ht="15.75" customHeight="1">
      <c r="A6665" s="8" t="s">
        <v>1441</v>
      </c>
      <c r="B6665" s="8" t="s">
        <v>68</v>
      </c>
      <c r="C6665" s="8" t="s">
        <v>4368</v>
      </c>
      <c r="D6665" s="8" t="s">
        <v>29</v>
      </c>
      <c r="E6665" s="8" t="s">
        <v>4625</v>
      </c>
      <c r="F6665" s="8">
        <v>8.295700948E9</v>
      </c>
    </row>
    <row r="6666" ht="15.75" customHeight="1">
      <c r="A6666" s="8" t="s">
        <v>2033</v>
      </c>
      <c r="B6666" s="8" t="s">
        <v>50</v>
      </c>
      <c r="C6666" s="8" t="s">
        <v>5089</v>
      </c>
      <c r="D6666" s="8" t="s">
        <v>44</v>
      </c>
      <c r="E6666" s="8" t="s">
        <v>2025</v>
      </c>
      <c r="F6666" s="8">
        <v>7.042744103E9</v>
      </c>
    </row>
    <row r="6667" ht="15.75" customHeight="1">
      <c r="A6667" s="8" t="s">
        <v>1333</v>
      </c>
      <c r="B6667" s="8" t="s">
        <v>4948</v>
      </c>
      <c r="C6667" s="8" t="s">
        <v>4949</v>
      </c>
      <c r="D6667" s="8" t="s">
        <v>9</v>
      </c>
      <c r="E6667" s="8" t="s">
        <v>4358</v>
      </c>
      <c r="F6667" s="8">
        <v>8.827001473E9</v>
      </c>
    </row>
    <row r="6668" ht="15.75" customHeight="1">
      <c r="A6668" s="8" t="s">
        <v>4495</v>
      </c>
      <c r="B6668" s="8" t="s">
        <v>4496</v>
      </c>
      <c r="C6668" s="8" t="s">
        <v>4497</v>
      </c>
      <c r="D6668" s="8" t="s">
        <v>9</v>
      </c>
      <c r="E6668" s="8" t="s">
        <v>4498</v>
      </c>
      <c r="F6668" s="8">
        <v>8.68804597E9</v>
      </c>
    </row>
    <row r="6669" ht="15.75" customHeight="1">
      <c r="A6669" s="8" t="s">
        <v>2377</v>
      </c>
      <c r="B6669" s="8" t="s">
        <v>65</v>
      </c>
      <c r="C6669" s="8" t="s">
        <v>4783</v>
      </c>
      <c r="D6669" s="8" t="s">
        <v>9</v>
      </c>
      <c r="E6669" s="8" t="s">
        <v>494</v>
      </c>
      <c r="F6669" s="8">
        <v>7.683057987E9</v>
      </c>
    </row>
    <row r="6670" ht="15.75" customHeight="1">
      <c r="A6670" s="8" t="s">
        <v>4722</v>
      </c>
      <c r="B6670" s="8" t="s">
        <v>3780</v>
      </c>
      <c r="C6670" s="8" t="s">
        <v>4635</v>
      </c>
      <c r="D6670" s="8" t="s">
        <v>44</v>
      </c>
      <c r="E6670" s="8" t="s">
        <v>4636</v>
      </c>
      <c r="F6670" s="8">
        <v>9.937586404E9</v>
      </c>
    </row>
    <row r="6671" ht="15.75" customHeight="1">
      <c r="A6671" s="8" t="s">
        <v>4787</v>
      </c>
      <c r="B6671" s="8" t="s">
        <v>131</v>
      </c>
      <c r="C6671" s="8" t="s">
        <v>4700</v>
      </c>
      <c r="D6671" s="8" t="s">
        <v>14</v>
      </c>
      <c r="E6671" s="8" t="s">
        <v>4015</v>
      </c>
      <c r="F6671" s="8">
        <v>9.350004339E9</v>
      </c>
    </row>
    <row r="6672" ht="15.75" customHeight="1">
      <c r="A6672" s="8" t="s">
        <v>4701</v>
      </c>
      <c r="B6672" s="8" t="s">
        <v>4702</v>
      </c>
      <c r="C6672" s="8" t="s">
        <v>4703</v>
      </c>
      <c r="D6672" s="8" t="s">
        <v>26</v>
      </c>
      <c r="E6672" s="8" t="s">
        <v>4704</v>
      </c>
      <c r="F6672" s="8">
        <v>9.811888432E9</v>
      </c>
    </row>
    <row r="6673" ht="15.75" customHeight="1">
      <c r="A6673" s="8" t="s">
        <v>4678</v>
      </c>
      <c r="B6673" s="8" t="s">
        <v>4679</v>
      </c>
      <c r="C6673" s="8" t="s">
        <v>4561</v>
      </c>
      <c r="D6673" s="8" t="s">
        <v>44</v>
      </c>
      <c r="E6673" s="8" t="s">
        <v>4276</v>
      </c>
      <c r="F6673" s="8">
        <v>9.866700715E9</v>
      </c>
    </row>
    <row r="6674" ht="15.75" customHeight="1">
      <c r="A6674" s="8" t="s">
        <v>144</v>
      </c>
      <c r="B6674" s="8" t="s">
        <v>4770</v>
      </c>
      <c r="C6674" s="8" t="s">
        <v>4357</v>
      </c>
      <c r="D6674" s="8" t="s">
        <v>26</v>
      </c>
      <c r="E6674" s="8" t="s">
        <v>4358</v>
      </c>
      <c r="F6674" s="8">
        <v>6.232517676E9</v>
      </c>
    </row>
    <row r="6675" ht="15.75" customHeight="1">
      <c r="A6675" s="8" t="s">
        <v>5093</v>
      </c>
      <c r="B6675" s="8" t="s">
        <v>212</v>
      </c>
      <c r="C6675" s="8" t="s">
        <v>4738</v>
      </c>
      <c r="D6675" s="8" t="s">
        <v>14</v>
      </c>
      <c r="E6675" s="8" t="s">
        <v>4015</v>
      </c>
      <c r="F6675" s="8">
        <v>7.017233145E9</v>
      </c>
    </row>
    <row r="6676" ht="15.75" customHeight="1">
      <c r="A6676" s="8" t="s">
        <v>491</v>
      </c>
      <c r="B6676" s="8" t="s">
        <v>5105</v>
      </c>
      <c r="C6676" s="8" t="s">
        <v>5106</v>
      </c>
      <c r="D6676" s="8" t="s">
        <v>29</v>
      </c>
      <c r="E6676" s="8" t="s">
        <v>4779</v>
      </c>
      <c r="F6676" s="8">
        <v>7.389087004E9</v>
      </c>
    </row>
    <row r="6677" ht="15.75" customHeight="1">
      <c r="A6677" s="8" t="s">
        <v>5294</v>
      </c>
      <c r="B6677" s="8" t="s">
        <v>5295</v>
      </c>
      <c r="C6677" s="8" t="s">
        <v>5296</v>
      </c>
      <c r="D6677" s="8" t="s">
        <v>44</v>
      </c>
      <c r="E6677" s="8" t="s">
        <v>5297</v>
      </c>
      <c r="F6677" s="8">
        <v>9.650521766E9</v>
      </c>
    </row>
    <row r="6678" ht="15.75" customHeight="1">
      <c r="A6678" s="8" t="s">
        <v>125</v>
      </c>
      <c r="B6678" s="8" t="s">
        <v>63</v>
      </c>
      <c r="C6678" s="8" t="s">
        <v>5576</v>
      </c>
      <c r="D6678" s="8" t="s">
        <v>44</v>
      </c>
      <c r="E6678" s="8" t="s">
        <v>5380</v>
      </c>
      <c r="F6678" s="8">
        <v>8.757869233E9</v>
      </c>
    </row>
    <row r="6679" ht="15.75" customHeight="1">
      <c r="A6679" s="8" t="s">
        <v>4716</v>
      </c>
      <c r="B6679" s="8" t="s">
        <v>4717</v>
      </c>
      <c r="C6679" s="8" t="s">
        <v>4483</v>
      </c>
      <c r="D6679" s="8" t="s">
        <v>26</v>
      </c>
      <c r="E6679" s="8" t="s">
        <v>494</v>
      </c>
      <c r="F6679" s="8">
        <v>9.871198034E9</v>
      </c>
    </row>
    <row r="6680" ht="15.75" customHeight="1">
      <c r="A6680" s="8" t="s">
        <v>1193</v>
      </c>
      <c r="B6680" s="8" t="s">
        <v>4566</v>
      </c>
      <c r="C6680" s="8" t="s">
        <v>4565</v>
      </c>
      <c r="D6680" s="8" t="s">
        <v>56</v>
      </c>
      <c r="E6680" s="8" t="s">
        <v>15</v>
      </c>
      <c r="F6680" s="8">
        <v>7.249391027E9</v>
      </c>
    </row>
    <row r="6681" ht="15.75" customHeight="1">
      <c r="A6681" s="8" t="s">
        <v>272</v>
      </c>
      <c r="B6681" s="8" t="s">
        <v>1663</v>
      </c>
      <c r="C6681" s="8" t="s">
        <v>4586</v>
      </c>
      <c r="D6681" s="8" t="s">
        <v>9</v>
      </c>
      <c r="E6681" s="8" t="s">
        <v>4587</v>
      </c>
      <c r="F6681" s="8">
        <v>9.109920024E9</v>
      </c>
    </row>
    <row r="6682" ht="15.75" customHeight="1">
      <c r="A6682" s="8" t="s">
        <v>4610</v>
      </c>
      <c r="B6682" s="8" t="s">
        <v>4611</v>
      </c>
      <c r="C6682" s="8" t="s">
        <v>4612</v>
      </c>
      <c r="D6682" s="8" t="s">
        <v>44</v>
      </c>
      <c r="E6682" s="8" t="s">
        <v>193</v>
      </c>
      <c r="F6682" s="8">
        <v>9.004299365E9</v>
      </c>
    </row>
    <row r="6683" ht="15.75" customHeight="1">
      <c r="A6683" s="8" t="s">
        <v>4614</v>
      </c>
      <c r="B6683" s="8" t="s">
        <v>4615</v>
      </c>
      <c r="C6683" s="8" t="s">
        <v>4526</v>
      </c>
      <c r="D6683" s="8" t="s">
        <v>26</v>
      </c>
      <c r="E6683" s="8" t="s">
        <v>3105</v>
      </c>
      <c r="F6683" s="8">
        <v>9.90153756E9</v>
      </c>
    </row>
    <row r="6684" ht="15.75" customHeight="1">
      <c r="A6684" s="8" t="s">
        <v>4616</v>
      </c>
      <c r="B6684" s="8" t="s">
        <v>4617</v>
      </c>
      <c r="C6684" s="8" t="s">
        <v>4526</v>
      </c>
      <c r="D6684" s="8" t="s">
        <v>9</v>
      </c>
      <c r="E6684" s="8" t="s">
        <v>4604</v>
      </c>
      <c r="F6684" s="8">
        <v>9.90153756E9</v>
      </c>
    </row>
    <row r="6685" ht="15.75" customHeight="1">
      <c r="A6685" s="8" t="s">
        <v>4671</v>
      </c>
      <c r="B6685" s="8" t="s">
        <v>2342</v>
      </c>
      <c r="C6685" s="8" t="s">
        <v>4586</v>
      </c>
      <c r="D6685" s="8" t="s">
        <v>9</v>
      </c>
      <c r="E6685" s="8" t="s">
        <v>4587</v>
      </c>
      <c r="F6685" s="8">
        <v>9.302247166E9</v>
      </c>
    </row>
    <row r="6686" ht="15.75" customHeight="1">
      <c r="A6686" s="8" t="s">
        <v>923</v>
      </c>
      <c r="B6686" s="8" t="s">
        <v>4696</v>
      </c>
      <c r="C6686" s="8" t="s">
        <v>4697</v>
      </c>
      <c r="D6686" s="8" t="s">
        <v>26</v>
      </c>
      <c r="E6686" s="8" t="s">
        <v>494</v>
      </c>
      <c r="F6686" s="8">
        <v>9.896178704E9</v>
      </c>
    </row>
    <row r="6687" ht="15.75" customHeight="1">
      <c r="A6687" s="8" t="s">
        <v>4505</v>
      </c>
      <c r="B6687" s="8" t="s">
        <v>3527</v>
      </c>
      <c r="C6687" s="8" t="s">
        <v>4588</v>
      </c>
      <c r="D6687" s="8" t="s">
        <v>9</v>
      </c>
      <c r="E6687" s="8" t="s">
        <v>1102</v>
      </c>
      <c r="F6687" s="8">
        <v>9.718687465E9</v>
      </c>
    </row>
    <row r="6688" ht="15.75" customHeight="1">
      <c r="A6688" s="8" t="s">
        <v>182</v>
      </c>
      <c r="B6688" s="8" t="s">
        <v>4626</v>
      </c>
      <c r="C6688" s="8" t="s">
        <v>4627</v>
      </c>
      <c r="D6688" s="8" t="s">
        <v>14</v>
      </c>
      <c r="E6688" s="8" t="s">
        <v>15</v>
      </c>
      <c r="F6688" s="8" t="s">
        <v>4628</v>
      </c>
    </row>
    <row r="6689" ht="15.75" customHeight="1">
      <c r="A6689" s="8" t="s">
        <v>446</v>
      </c>
      <c r="B6689" s="8" t="s">
        <v>5013</v>
      </c>
      <c r="C6689" s="8" t="s">
        <v>4845</v>
      </c>
      <c r="D6689" s="8" t="s">
        <v>44</v>
      </c>
      <c r="E6689" s="8" t="s">
        <v>4015</v>
      </c>
      <c r="F6689" s="8">
        <v>9.971103338E9</v>
      </c>
    </row>
    <row r="6690" ht="15.75" customHeight="1">
      <c r="A6690" s="8" t="s">
        <v>5205</v>
      </c>
      <c r="B6690" s="8" t="s">
        <v>5206</v>
      </c>
      <c r="C6690" s="8" t="s">
        <v>5207</v>
      </c>
      <c r="D6690" s="8" t="s">
        <v>14</v>
      </c>
      <c r="E6690" s="8" t="s">
        <v>4276</v>
      </c>
      <c r="F6690" s="8">
        <v>8.0084855E9</v>
      </c>
    </row>
    <row r="6691" ht="15.75" customHeight="1">
      <c r="A6691" s="8" t="s">
        <v>1752</v>
      </c>
      <c r="B6691" s="8" t="s">
        <v>4991</v>
      </c>
      <c r="C6691" s="8" t="s">
        <v>4992</v>
      </c>
      <c r="D6691" s="8" t="s">
        <v>56</v>
      </c>
      <c r="E6691" s="8" t="s">
        <v>4358</v>
      </c>
      <c r="F6691" s="8">
        <v>6.260192896E9</v>
      </c>
    </row>
    <row r="6692" ht="15.75" customHeight="1">
      <c r="A6692" s="8" t="s">
        <v>4593</v>
      </c>
      <c r="B6692" s="8" t="s">
        <v>4650</v>
      </c>
      <c r="C6692" s="8" t="s">
        <v>4651</v>
      </c>
      <c r="D6692" s="8" t="s">
        <v>56</v>
      </c>
      <c r="E6692" s="8" t="s">
        <v>4652</v>
      </c>
      <c r="F6692" s="8">
        <v>7.300705051E9</v>
      </c>
    </row>
    <row r="6693" ht="15.75" customHeight="1">
      <c r="A6693" s="8" t="s">
        <v>4518</v>
      </c>
      <c r="B6693" s="8" t="s">
        <v>4519</v>
      </c>
      <c r="C6693" s="8" t="s">
        <v>4520</v>
      </c>
      <c r="D6693" s="8" t="s">
        <v>9</v>
      </c>
      <c r="E6693" s="8" t="s">
        <v>4521</v>
      </c>
      <c r="F6693" s="8">
        <v>7.082603924E9</v>
      </c>
    </row>
    <row r="6694" ht="15.75" customHeight="1">
      <c r="A6694" s="8" t="s">
        <v>4653</v>
      </c>
      <c r="B6694" s="8" t="s">
        <v>4654</v>
      </c>
      <c r="C6694" s="8" t="s">
        <v>4655</v>
      </c>
      <c r="D6694" s="8" t="s">
        <v>9</v>
      </c>
      <c r="E6694" s="8" t="s">
        <v>4656</v>
      </c>
      <c r="F6694" s="8">
        <v>9.564375364E9</v>
      </c>
    </row>
    <row r="6695" ht="15.75" customHeight="1">
      <c r="A6695" s="8" t="s">
        <v>1092</v>
      </c>
      <c r="B6695" s="8" t="s">
        <v>4600</v>
      </c>
      <c r="C6695" s="8" t="s">
        <v>4420</v>
      </c>
      <c r="D6695" s="8" t="s">
        <v>9</v>
      </c>
      <c r="E6695" s="8" t="s">
        <v>4416</v>
      </c>
      <c r="F6695" s="8">
        <v>6.398782437E9</v>
      </c>
    </row>
    <row r="6696" ht="15.75" customHeight="1">
      <c r="A6696" s="8" t="s">
        <v>4713</v>
      </c>
      <c r="B6696" s="8" t="s">
        <v>108</v>
      </c>
      <c r="C6696" s="8" t="s">
        <v>4714</v>
      </c>
      <c r="D6696" s="8" t="s">
        <v>1108</v>
      </c>
      <c r="E6696" s="8" t="s">
        <v>15</v>
      </c>
      <c r="F6696" s="8">
        <v>9.860470202E9</v>
      </c>
    </row>
    <row r="6697" ht="15.75" customHeight="1">
      <c r="A6697" s="8" t="s">
        <v>5274</v>
      </c>
      <c r="B6697" s="8" t="s">
        <v>251</v>
      </c>
      <c r="C6697" s="8" t="s">
        <v>5275</v>
      </c>
      <c r="D6697" s="8" t="s">
        <v>56</v>
      </c>
      <c r="E6697" s="8" t="s">
        <v>5247</v>
      </c>
      <c r="F6697" s="8">
        <v>8.168941182E9</v>
      </c>
    </row>
    <row r="6698" ht="15.75" customHeight="1">
      <c r="A6698" s="8" t="s">
        <v>5245</v>
      </c>
      <c r="B6698" s="8" t="s">
        <v>5246</v>
      </c>
      <c r="C6698" s="8" t="s">
        <v>4709</v>
      </c>
      <c r="D6698" s="8" t="s">
        <v>9</v>
      </c>
      <c r="E6698" s="8" t="s">
        <v>5247</v>
      </c>
      <c r="F6698" s="8">
        <v>7.082090869E9</v>
      </c>
    </row>
    <row r="6699" ht="15.75" customHeight="1">
      <c r="A6699" s="8" t="s">
        <v>2494</v>
      </c>
      <c r="B6699" s="8" t="s">
        <v>5076</v>
      </c>
      <c r="C6699" s="8" t="s">
        <v>5077</v>
      </c>
      <c r="D6699" s="8" t="s">
        <v>9</v>
      </c>
      <c r="E6699" s="8" t="s">
        <v>4779</v>
      </c>
      <c r="F6699" s="8">
        <v>7.999645396E9</v>
      </c>
    </row>
    <row r="6700" ht="15.75" customHeight="1">
      <c r="A6700" s="8" t="s">
        <v>141</v>
      </c>
      <c r="B6700" s="8" t="s">
        <v>1999</v>
      </c>
      <c r="C6700" s="8" t="s">
        <v>5130</v>
      </c>
      <c r="D6700" s="8" t="s">
        <v>29</v>
      </c>
      <c r="E6700" s="8" t="s">
        <v>4779</v>
      </c>
      <c r="F6700" s="8">
        <v>9.171275881E9</v>
      </c>
    </row>
    <row r="6701" ht="15.75" customHeight="1">
      <c r="A6701" s="8" t="s">
        <v>5260</v>
      </c>
      <c r="B6701" s="8" t="s">
        <v>65</v>
      </c>
      <c r="C6701" s="8" t="s">
        <v>5261</v>
      </c>
      <c r="D6701" s="8" t="s">
        <v>1108</v>
      </c>
      <c r="E6701" s="8" t="s">
        <v>494</v>
      </c>
      <c r="F6701" s="8">
        <v>9.818222088E9</v>
      </c>
    </row>
    <row r="6702" ht="15.75" customHeight="1">
      <c r="A6702" s="8" t="s">
        <v>5258</v>
      </c>
      <c r="B6702" s="8" t="s">
        <v>5238</v>
      </c>
      <c r="C6702" s="8" t="s">
        <v>5259</v>
      </c>
      <c r="D6702" s="8" t="s">
        <v>26</v>
      </c>
      <c r="E6702" s="8" t="s">
        <v>434</v>
      </c>
      <c r="F6702" s="8">
        <v>8.369841312E9</v>
      </c>
    </row>
    <row r="6703" ht="15.75" customHeight="1">
      <c r="A6703" s="8" t="s">
        <v>2003</v>
      </c>
      <c r="B6703" s="8" t="s">
        <v>4229</v>
      </c>
      <c r="C6703" s="8" t="s">
        <v>5014</v>
      </c>
      <c r="D6703" s="8" t="s">
        <v>29</v>
      </c>
      <c r="E6703" s="8" t="s">
        <v>4769</v>
      </c>
      <c r="F6703" s="8">
        <v>8.708638153E9</v>
      </c>
    </row>
    <row r="6704" ht="15.75" customHeight="1">
      <c r="A6704" s="8" t="s">
        <v>163</v>
      </c>
      <c r="B6704" s="8" t="s">
        <v>5262</v>
      </c>
      <c r="C6704" s="8" t="s">
        <v>4360</v>
      </c>
      <c r="D6704" s="8" t="s">
        <v>29</v>
      </c>
      <c r="E6704" s="8" t="s">
        <v>494</v>
      </c>
      <c r="F6704" s="8">
        <v>9.560843812E9</v>
      </c>
    </row>
    <row r="6705" ht="15.75" customHeight="1">
      <c r="A6705" s="8" t="s">
        <v>1213</v>
      </c>
      <c r="B6705" s="8" t="s">
        <v>5235</v>
      </c>
      <c r="C6705" s="8" t="s">
        <v>5236</v>
      </c>
      <c r="D6705" s="8" t="s">
        <v>9</v>
      </c>
      <c r="E6705" s="8" t="s">
        <v>5237</v>
      </c>
      <c r="F6705" s="8">
        <v>6.309468669E9</v>
      </c>
    </row>
    <row r="6706" ht="15.75" customHeight="1">
      <c r="A6706" s="8" t="s">
        <v>5771</v>
      </c>
      <c r="B6706" s="8" t="s">
        <v>2612</v>
      </c>
      <c r="C6706" s="8" t="s">
        <v>5772</v>
      </c>
      <c r="D6706" s="8" t="s">
        <v>56</v>
      </c>
      <c r="E6706" s="8" t="s">
        <v>434</v>
      </c>
      <c r="F6706" s="8">
        <v>7.021667634E9</v>
      </c>
    </row>
    <row r="6707" ht="15.75" customHeight="1">
      <c r="A6707" s="8" t="s">
        <v>4584</v>
      </c>
      <c r="B6707" s="8" t="s">
        <v>508</v>
      </c>
      <c r="C6707" s="8" t="s">
        <v>4585</v>
      </c>
      <c r="D6707" s="8" t="s">
        <v>9</v>
      </c>
      <c r="E6707" s="8" t="s">
        <v>3870</v>
      </c>
      <c r="F6707" s="8">
        <v>6.387060691E9</v>
      </c>
    </row>
    <row r="6708" ht="15.75" customHeight="1">
      <c r="A6708" s="8" t="s">
        <v>2633</v>
      </c>
      <c r="B6708" s="8" t="s">
        <v>63</v>
      </c>
      <c r="C6708" s="8" t="s">
        <v>4547</v>
      </c>
      <c r="D6708" s="8" t="s">
        <v>29</v>
      </c>
      <c r="E6708" s="8" t="s">
        <v>4015</v>
      </c>
      <c r="F6708" s="8">
        <f>+918595680612</f>
        <v>918595680612</v>
      </c>
    </row>
    <row r="6709" ht="15.75" customHeight="1">
      <c r="A6709" s="8" t="s">
        <v>4572</v>
      </c>
      <c r="B6709" s="8" t="s">
        <v>4573</v>
      </c>
      <c r="C6709" s="8" t="s">
        <v>4574</v>
      </c>
      <c r="D6709" s="8" t="s">
        <v>9</v>
      </c>
      <c r="E6709" s="8" t="s">
        <v>4575</v>
      </c>
      <c r="F6709" s="8">
        <v>9.337444306E9</v>
      </c>
    </row>
    <row r="6710" ht="15.75" customHeight="1">
      <c r="A6710" s="8" t="s">
        <v>3469</v>
      </c>
      <c r="B6710" s="8" t="s">
        <v>4708</v>
      </c>
      <c r="C6710" s="8" t="s">
        <v>4783</v>
      </c>
      <c r="D6710" s="8" t="s">
        <v>56</v>
      </c>
      <c r="E6710" s="8" t="s">
        <v>494</v>
      </c>
      <c r="F6710" s="8">
        <v>9.650479687E9</v>
      </c>
    </row>
    <row r="6711" ht="15.75" customHeight="1">
      <c r="A6711" s="8" t="s">
        <v>1193</v>
      </c>
      <c r="B6711" s="8" t="s">
        <v>65</v>
      </c>
      <c r="C6711" s="8" t="s">
        <v>4783</v>
      </c>
      <c r="D6711" s="8" t="s">
        <v>56</v>
      </c>
      <c r="E6711" s="8" t="s">
        <v>494</v>
      </c>
      <c r="F6711" s="8">
        <v>9.811115955E9</v>
      </c>
    </row>
    <row r="6712" ht="15.75" customHeight="1">
      <c r="A6712" s="8" t="s">
        <v>4791</v>
      </c>
      <c r="B6712" s="8" t="s">
        <v>520</v>
      </c>
      <c r="C6712" s="8" t="s">
        <v>4792</v>
      </c>
      <c r="D6712" s="8" t="s">
        <v>9</v>
      </c>
      <c r="E6712" s="8" t="s">
        <v>4793</v>
      </c>
      <c r="F6712" s="8">
        <v>9.34032388E9</v>
      </c>
    </row>
    <row r="6713" ht="15.75" customHeight="1">
      <c r="A6713" s="8" t="s">
        <v>4836</v>
      </c>
      <c r="B6713" s="8" t="s">
        <v>4837</v>
      </c>
      <c r="C6713" s="8" t="s">
        <v>4838</v>
      </c>
      <c r="D6713" s="8" t="s">
        <v>44</v>
      </c>
      <c r="E6713" s="8" t="s">
        <v>4839</v>
      </c>
      <c r="F6713" s="8">
        <f>+919873604942</f>
        <v>919873604942</v>
      </c>
    </row>
    <row r="6714" ht="15.75" customHeight="1">
      <c r="A6714" s="8" t="s">
        <v>4871</v>
      </c>
      <c r="B6714" s="8" t="s">
        <v>4872</v>
      </c>
      <c r="C6714" s="8" t="s">
        <v>4873</v>
      </c>
      <c r="D6714" s="8" t="s">
        <v>56</v>
      </c>
      <c r="E6714" s="8" t="s">
        <v>4874</v>
      </c>
      <c r="F6714" s="8">
        <v>9.416479613E9</v>
      </c>
    </row>
    <row r="6715" ht="15.75" customHeight="1">
      <c r="A6715" s="8" t="s">
        <v>4875</v>
      </c>
      <c r="B6715" s="8" t="s">
        <v>2678</v>
      </c>
      <c r="C6715" s="8" t="s">
        <v>4876</v>
      </c>
      <c r="D6715" s="8" t="s">
        <v>29</v>
      </c>
      <c r="E6715" s="8" t="s">
        <v>4877</v>
      </c>
      <c r="F6715" s="8">
        <f>+917062142441</f>
        <v>917062142441</v>
      </c>
    </row>
    <row r="6716" ht="15.75" customHeight="1">
      <c r="A6716" s="8" t="s">
        <v>4974</v>
      </c>
      <c r="B6716" s="8" t="s">
        <v>4975</v>
      </c>
      <c r="C6716" s="8" t="s">
        <v>4976</v>
      </c>
      <c r="D6716" s="8" t="s">
        <v>14</v>
      </c>
      <c r="E6716" s="8" t="s">
        <v>494</v>
      </c>
      <c r="F6716" s="8">
        <v>9.910298944E9</v>
      </c>
    </row>
    <row r="6717" ht="15.75" customHeight="1">
      <c r="A6717" s="8" t="s">
        <v>528</v>
      </c>
      <c r="B6717" s="8" t="s">
        <v>4987</v>
      </c>
      <c r="C6717" s="8" t="s">
        <v>4483</v>
      </c>
      <c r="D6717" s="8" t="s">
        <v>9</v>
      </c>
      <c r="E6717" s="8" t="s">
        <v>1102</v>
      </c>
      <c r="F6717" s="8">
        <f>+919717666530</f>
        <v>919717666530</v>
      </c>
    </row>
    <row r="6718" ht="15.75" customHeight="1">
      <c r="A6718" s="8" t="s">
        <v>5004</v>
      </c>
      <c r="B6718" s="8" t="s">
        <v>75</v>
      </c>
      <c r="C6718" s="8" t="s">
        <v>5005</v>
      </c>
      <c r="D6718" s="8" t="s">
        <v>56</v>
      </c>
      <c r="E6718" s="8" t="s">
        <v>4015</v>
      </c>
      <c r="F6718" s="8" t="str">
        <f>+91 99108 81447</f>
        <v>#ERROR!</v>
      </c>
    </row>
    <row r="6719" ht="15.75" customHeight="1">
      <c r="A6719" s="8" t="s">
        <v>5033</v>
      </c>
      <c r="B6719" s="8" t="s">
        <v>5033</v>
      </c>
      <c r="C6719" s="8" t="s">
        <v>5033</v>
      </c>
      <c r="D6719" s="8" t="s">
        <v>102</v>
      </c>
      <c r="E6719" s="8" t="s">
        <v>5033</v>
      </c>
      <c r="F6719" s="8">
        <v>1.212211451E9</v>
      </c>
    </row>
    <row r="6720" ht="15.75" customHeight="1">
      <c r="A6720" s="8" t="s">
        <v>5061</v>
      </c>
      <c r="B6720" s="8" t="s">
        <v>5062</v>
      </c>
      <c r="C6720" s="8" t="s">
        <v>5063</v>
      </c>
      <c r="D6720" s="8" t="s">
        <v>14</v>
      </c>
      <c r="E6720" s="8" t="s">
        <v>195</v>
      </c>
      <c r="F6720" s="8">
        <v>1.23456789E8</v>
      </c>
    </row>
    <row r="6721" ht="15.75" customHeight="1">
      <c r="A6721" s="8" t="s">
        <v>5079</v>
      </c>
      <c r="B6721" s="8" t="s">
        <v>1093</v>
      </c>
      <c r="C6721" s="8" t="s">
        <v>3322</v>
      </c>
      <c r="D6721" s="8" t="s">
        <v>56</v>
      </c>
      <c r="E6721" s="8" t="s">
        <v>434</v>
      </c>
      <c r="F6721" s="8" t="str">
        <f>+65 82490305</f>
        <v>#ERROR!</v>
      </c>
    </row>
    <row r="6722" ht="15.75" customHeight="1">
      <c r="A6722" s="8" t="s">
        <v>6920</v>
      </c>
      <c r="B6722" s="8" t="s">
        <v>6921</v>
      </c>
      <c r="C6722" s="8" t="s">
        <v>6922</v>
      </c>
      <c r="D6722" s="8" t="s">
        <v>44</v>
      </c>
      <c r="E6722" s="8" t="s">
        <v>15</v>
      </c>
      <c r="F6722" s="8">
        <v>9.922940024E9</v>
      </c>
    </row>
    <row r="6723" ht="15.75" customHeight="1">
      <c r="A6723" s="8" t="s">
        <v>5143</v>
      </c>
      <c r="B6723" s="8" t="s">
        <v>68</v>
      </c>
      <c r="C6723" s="8" t="s">
        <v>4845</v>
      </c>
      <c r="D6723" s="8" t="s">
        <v>56</v>
      </c>
      <c r="E6723" s="8" t="s">
        <v>4015</v>
      </c>
      <c r="F6723" s="8">
        <f>+919267902454</f>
        <v>919267902454</v>
      </c>
    </row>
    <row r="6724" ht="15.75" customHeight="1">
      <c r="A6724" s="8" t="s">
        <v>5164</v>
      </c>
      <c r="B6724" s="8" t="s">
        <v>4840</v>
      </c>
      <c r="C6724" s="8" t="s">
        <v>5165</v>
      </c>
      <c r="D6724" s="8" t="s">
        <v>9</v>
      </c>
      <c r="E6724" s="8" t="s">
        <v>4571</v>
      </c>
      <c r="F6724" s="8">
        <f>+919414076329</f>
        <v>919414076329</v>
      </c>
    </row>
    <row r="6725" ht="15.75" customHeight="1">
      <c r="A6725" s="8" t="s">
        <v>1838</v>
      </c>
      <c r="B6725" s="8" t="s">
        <v>63</v>
      </c>
      <c r="C6725" s="8" t="s">
        <v>5137</v>
      </c>
      <c r="D6725" s="8" t="s">
        <v>26</v>
      </c>
      <c r="E6725" s="8" t="s">
        <v>23</v>
      </c>
      <c r="F6725" s="8">
        <v>6.205359255E9</v>
      </c>
    </row>
    <row r="6726" ht="15.75" customHeight="1">
      <c r="A6726" s="8" t="s">
        <v>3389</v>
      </c>
      <c r="B6726" s="8" t="s">
        <v>5180</v>
      </c>
      <c r="C6726" s="8" t="s">
        <v>5002</v>
      </c>
      <c r="D6726" s="8" t="s">
        <v>56</v>
      </c>
      <c r="E6726" s="8" t="s">
        <v>4015</v>
      </c>
      <c r="F6726" s="8">
        <f>+917982617220</f>
        <v>917982617220</v>
      </c>
    </row>
    <row r="6727" ht="15.75" customHeight="1">
      <c r="A6727" s="8" t="s">
        <v>299</v>
      </c>
      <c r="B6727" s="8" t="s">
        <v>5183</v>
      </c>
      <c r="C6727" s="8" t="s">
        <v>5184</v>
      </c>
      <c r="D6727" s="8" t="s">
        <v>56</v>
      </c>
      <c r="E6727" s="8" t="s">
        <v>1102</v>
      </c>
      <c r="F6727" s="8" t="str">
        <f>+91 8447-775523</f>
        <v>#ERROR!</v>
      </c>
    </row>
    <row r="6728" ht="15.75" customHeight="1">
      <c r="A6728" s="8" t="s">
        <v>4411</v>
      </c>
      <c r="B6728" s="8" t="s">
        <v>4411</v>
      </c>
      <c r="C6728" s="8" t="s">
        <v>5185</v>
      </c>
      <c r="D6728" s="8" t="s">
        <v>102</v>
      </c>
      <c r="E6728" s="8" t="s">
        <v>5186</v>
      </c>
      <c r="F6728" s="8">
        <v>2.222222222E9</v>
      </c>
    </row>
    <row r="6729" ht="15.75" customHeight="1">
      <c r="A6729" s="8" t="s">
        <v>6923</v>
      </c>
      <c r="B6729" s="8" t="s">
        <v>50</v>
      </c>
      <c r="C6729" s="8" t="s">
        <v>6924</v>
      </c>
      <c r="D6729" s="8" t="s">
        <v>44</v>
      </c>
      <c r="E6729" s="8" t="s">
        <v>6925</v>
      </c>
      <c r="F6729" s="8">
        <v>9.850432339E9</v>
      </c>
    </row>
    <row r="6730" ht="15.75" customHeight="1">
      <c r="A6730" s="8" t="s">
        <v>5220</v>
      </c>
      <c r="B6730" s="8" t="s">
        <v>5221</v>
      </c>
      <c r="C6730" s="8" t="s">
        <v>576</v>
      </c>
      <c r="D6730" s="8" t="s">
        <v>14</v>
      </c>
      <c r="E6730" s="8" t="s">
        <v>4015</v>
      </c>
      <c r="F6730" s="8">
        <f>+919711000381</f>
        <v>919711000381</v>
      </c>
    </row>
    <row r="6731" ht="15.75" customHeight="1">
      <c r="A6731" s="8" t="s">
        <v>5278</v>
      </c>
      <c r="B6731" s="8" t="s">
        <v>5279</v>
      </c>
      <c r="C6731" s="8" t="s">
        <v>5280</v>
      </c>
      <c r="D6731" s="8" t="s">
        <v>44</v>
      </c>
      <c r="E6731" s="8" t="s">
        <v>5281</v>
      </c>
      <c r="F6731" s="8">
        <f>+919307066865</f>
        <v>919307066865</v>
      </c>
    </row>
    <row r="6732" ht="15.75" customHeight="1">
      <c r="A6732" s="8" t="s">
        <v>1092</v>
      </c>
      <c r="B6732" s="8" t="s">
        <v>1867</v>
      </c>
      <c r="C6732" s="8" t="s">
        <v>5330</v>
      </c>
      <c r="D6732" s="8" t="s">
        <v>29</v>
      </c>
      <c r="E6732" s="8" t="s">
        <v>4587</v>
      </c>
      <c r="F6732" s="8">
        <f>+919770207789</f>
        <v>919770207789</v>
      </c>
    </row>
    <row r="6733" ht="15.75" customHeight="1">
      <c r="A6733" s="8" t="s">
        <v>5439</v>
      </c>
      <c r="B6733" s="8" t="s">
        <v>251</v>
      </c>
      <c r="C6733" s="8" t="s">
        <v>5429</v>
      </c>
      <c r="D6733" s="8" t="s">
        <v>44</v>
      </c>
      <c r="E6733" s="8" t="s">
        <v>5440</v>
      </c>
      <c r="F6733" s="8">
        <f>+919417166898</f>
        <v>919417166898</v>
      </c>
    </row>
    <row r="6734" ht="15.75" customHeight="1">
      <c r="A6734" s="8" t="s">
        <v>5561</v>
      </c>
      <c r="B6734" s="8" t="s">
        <v>2643</v>
      </c>
      <c r="C6734" s="8" t="s">
        <v>5562</v>
      </c>
      <c r="D6734" s="8" t="s">
        <v>44</v>
      </c>
      <c r="E6734" s="8" t="s">
        <v>2115</v>
      </c>
      <c r="F6734" s="8">
        <v>9.999999999E9</v>
      </c>
    </row>
    <row r="6735" ht="15.75" customHeight="1">
      <c r="A6735" s="8" t="s">
        <v>5563</v>
      </c>
      <c r="B6735" s="8" t="s">
        <v>5006</v>
      </c>
      <c r="C6735" s="8" t="s">
        <v>5563</v>
      </c>
      <c r="D6735" s="8" t="s">
        <v>9</v>
      </c>
      <c r="E6735" s="8" t="s">
        <v>494</v>
      </c>
      <c r="F6735" s="8">
        <f>+919717426336</f>
        <v>919717426336</v>
      </c>
    </row>
    <row r="6736" ht="15.75" customHeight="1">
      <c r="A6736" s="8" t="s">
        <v>6926</v>
      </c>
      <c r="B6736" s="8" t="s">
        <v>6927</v>
      </c>
      <c r="C6736" s="8" t="s">
        <v>6928</v>
      </c>
      <c r="D6736" s="8" t="s">
        <v>26</v>
      </c>
      <c r="E6736" s="8" t="s">
        <v>15</v>
      </c>
      <c r="F6736" s="8">
        <f>+919765202915</f>
        <v>919765202915</v>
      </c>
    </row>
    <row r="6737" ht="15.75" customHeight="1">
      <c r="A6737" s="8" t="s">
        <v>5642</v>
      </c>
      <c r="B6737" s="8" t="s">
        <v>5643</v>
      </c>
      <c r="C6737" s="8" t="s">
        <v>5644</v>
      </c>
      <c r="D6737" s="8" t="s">
        <v>9</v>
      </c>
      <c r="E6737" s="8" t="s">
        <v>5645</v>
      </c>
      <c r="F6737" s="8">
        <f>+919444965814</f>
        <v>919444965814</v>
      </c>
    </row>
    <row r="6738" ht="15.75" customHeight="1">
      <c r="A6738" s="8" t="s">
        <v>33</v>
      </c>
      <c r="B6738" s="8" t="s">
        <v>91</v>
      </c>
      <c r="C6738" s="8" t="s">
        <v>6929</v>
      </c>
      <c r="D6738" s="8" t="s">
        <v>56</v>
      </c>
      <c r="E6738" s="8" t="s">
        <v>5341</v>
      </c>
      <c r="F6738" s="8">
        <v>6.299275652E9</v>
      </c>
    </row>
    <row r="6739" ht="15.75" customHeight="1">
      <c r="A6739" s="8" t="s">
        <v>33</v>
      </c>
      <c r="B6739" s="8" t="s">
        <v>33</v>
      </c>
      <c r="C6739" s="8" t="s">
        <v>4449</v>
      </c>
      <c r="D6739" s="8" t="s">
        <v>9</v>
      </c>
      <c r="E6739" s="8" t="s">
        <v>4625</v>
      </c>
      <c r="F6739" s="8">
        <v>9.306959138E9</v>
      </c>
    </row>
    <row r="6740" ht="15.75" customHeight="1">
      <c r="A6740" s="8" t="s">
        <v>5224</v>
      </c>
      <c r="B6740" s="8" t="s">
        <v>4988</v>
      </c>
      <c r="C6740" s="8" t="s">
        <v>4844</v>
      </c>
      <c r="D6740" s="8" t="s">
        <v>26</v>
      </c>
      <c r="E6740" s="8" t="s">
        <v>5225</v>
      </c>
      <c r="F6740" s="8">
        <f>+919958797400</f>
        <v>919958797400</v>
      </c>
    </row>
    <row r="6741" ht="15.75" customHeight="1">
      <c r="A6741" s="8" t="s">
        <v>5581</v>
      </c>
      <c r="B6741" s="8" t="s">
        <v>5582</v>
      </c>
      <c r="C6741" s="8" t="s">
        <v>5451</v>
      </c>
      <c r="D6741" s="8" t="s">
        <v>26</v>
      </c>
      <c r="E6741" s="8" t="s">
        <v>5452</v>
      </c>
      <c r="F6741" s="8">
        <v>9.877176317E9</v>
      </c>
    </row>
    <row r="6742" ht="15.75" customHeight="1">
      <c r="A6742" s="8" t="s">
        <v>2602</v>
      </c>
      <c r="B6742" s="8" t="s">
        <v>6195</v>
      </c>
      <c r="C6742" s="8" t="s">
        <v>6196</v>
      </c>
      <c r="D6742" s="8" t="s">
        <v>56</v>
      </c>
      <c r="E6742" s="8" t="s">
        <v>4276</v>
      </c>
      <c r="F6742" s="8">
        <v>9.949061284E9</v>
      </c>
    </row>
    <row r="6743" ht="15.75" customHeight="1">
      <c r="A6743" s="8" t="s">
        <v>6212</v>
      </c>
      <c r="B6743" s="8" t="s">
        <v>6213</v>
      </c>
      <c r="C6743" s="8" t="s">
        <v>6214</v>
      </c>
      <c r="D6743" s="8" t="s">
        <v>44</v>
      </c>
      <c r="E6743" s="8" t="s">
        <v>4276</v>
      </c>
      <c r="F6743" s="8">
        <v>9.885490474E9</v>
      </c>
    </row>
    <row r="6744" ht="15.75" customHeight="1">
      <c r="A6744" s="8" t="s">
        <v>1636</v>
      </c>
      <c r="B6744" s="8" t="s">
        <v>6224</v>
      </c>
      <c r="C6744" s="8" t="s">
        <v>6225</v>
      </c>
      <c r="D6744" s="8" t="s">
        <v>26</v>
      </c>
      <c r="E6744" s="8" t="s">
        <v>5438</v>
      </c>
      <c r="F6744" s="8">
        <v>9.381741141E9</v>
      </c>
    </row>
    <row r="6745" ht="15.75" customHeight="1">
      <c r="A6745" s="8" t="s">
        <v>3587</v>
      </c>
      <c r="B6745" s="8" t="s">
        <v>6228</v>
      </c>
      <c r="C6745" s="8" t="s">
        <v>6229</v>
      </c>
      <c r="D6745" s="8" t="s">
        <v>26</v>
      </c>
      <c r="E6745" s="8" t="s">
        <v>4276</v>
      </c>
      <c r="F6745" s="8">
        <v>7.799043293E9</v>
      </c>
    </row>
    <row r="6746" ht="15.75" customHeight="1">
      <c r="A6746" s="8" t="s">
        <v>1092</v>
      </c>
      <c r="B6746" s="8" t="s">
        <v>68</v>
      </c>
      <c r="C6746" s="8" t="s">
        <v>6232</v>
      </c>
      <c r="D6746" s="8" t="s">
        <v>56</v>
      </c>
      <c r="E6746" s="8" t="s">
        <v>2575</v>
      </c>
      <c r="F6746" s="8">
        <v>9.380260008E9</v>
      </c>
    </row>
    <row r="6747" ht="15.75" customHeight="1">
      <c r="A6747" s="8" t="s">
        <v>6247</v>
      </c>
      <c r="B6747" s="8" t="s">
        <v>6248</v>
      </c>
      <c r="C6747" s="8" t="s">
        <v>6249</v>
      </c>
      <c r="D6747" s="8" t="s">
        <v>44</v>
      </c>
      <c r="E6747" s="8" t="s">
        <v>6250</v>
      </c>
      <c r="F6747" s="8">
        <v>8.83709447E9</v>
      </c>
    </row>
    <row r="6748" ht="15.75" customHeight="1">
      <c r="A6748" s="8" t="s">
        <v>6264</v>
      </c>
      <c r="B6748" s="8" t="s">
        <v>6248</v>
      </c>
      <c r="C6748" s="8" t="s">
        <v>6249</v>
      </c>
      <c r="D6748" s="8" t="s">
        <v>44</v>
      </c>
      <c r="E6748" s="8" t="s">
        <v>6250</v>
      </c>
      <c r="F6748" s="8">
        <v>9.436992477E9</v>
      </c>
    </row>
    <row r="6749" ht="15.75" customHeight="1">
      <c r="A6749" s="8" t="s">
        <v>6328</v>
      </c>
      <c r="B6749" s="8" t="s">
        <v>6329</v>
      </c>
      <c r="C6749" s="8" t="s">
        <v>6330</v>
      </c>
      <c r="D6749" s="8" t="s">
        <v>14</v>
      </c>
      <c r="E6749" s="8" t="s">
        <v>6309</v>
      </c>
      <c r="F6749" s="8">
        <v>9.496148779E9</v>
      </c>
    </row>
    <row r="6750" ht="15.75" customHeight="1">
      <c r="A6750" s="8" t="s">
        <v>2109</v>
      </c>
      <c r="B6750" s="8" t="s">
        <v>6395</v>
      </c>
      <c r="C6750" s="8" t="s">
        <v>6396</v>
      </c>
      <c r="D6750" s="8" t="s">
        <v>29</v>
      </c>
      <c r="E6750" s="8" t="s">
        <v>6373</v>
      </c>
      <c r="F6750" s="8">
        <v>7.058040075E9</v>
      </c>
    </row>
    <row r="6751" ht="15.75" customHeight="1">
      <c r="A6751" s="8" t="s">
        <v>6409</v>
      </c>
      <c r="B6751" s="8" t="s">
        <v>3352</v>
      </c>
      <c r="C6751" s="8" t="s">
        <v>6410</v>
      </c>
      <c r="D6751" s="8" t="s">
        <v>44</v>
      </c>
      <c r="E6751" s="8" t="s">
        <v>4416</v>
      </c>
      <c r="F6751" s="8">
        <v>9.149254626E9</v>
      </c>
    </row>
    <row r="6752" ht="15.75" customHeight="1">
      <c r="A6752" s="8" t="s">
        <v>569</v>
      </c>
      <c r="B6752" s="8" t="s">
        <v>5392</v>
      </c>
      <c r="C6752" s="8" t="s">
        <v>800</v>
      </c>
      <c r="D6752" s="8" t="s">
        <v>26</v>
      </c>
      <c r="E6752" s="8" t="s">
        <v>402</v>
      </c>
      <c r="F6752" s="8">
        <v>9.924354674E9</v>
      </c>
    </row>
    <row r="6753" ht="15.75" customHeight="1">
      <c r="A6753" s="8" t="s">
        <v>5397</v>
      </c>
      <c r="B6753" s="8" t="s">
        <v>4840</v>
      </c>
      <c r="C6753" s="8" t="s">
        <v>5398</v>
      </c>
      <c r="D6753" s="8" t="s">
        <v>9</v>
      </c>
      <c r="E6753" s="8" t="s">
        <v>5399</v>
      </c>
      <c r="F6753" s="8">
        <v>7.015869169E9</v>
      </c>
    </row>
    <row r="6754" ht="15.75" customHeight="1">
      <c r="A6754" s="8" t="s">
        <v>5400</v>
      </c>
      <c r="B6754" s="8" t="s">
        <v>5401</v>
      </c>
      <c r="C6754" s="8" t="s">
        <v>5402</v>
      </c>
      <c r="D6754" s="8" t="s">
        <v>14</v>
      </c>
      <c r="E6754" s="8" t="s">
        <v>5403</v>
      </c>
      <c r="F6754" s="8">
        <v>7.075763039E9</v>
      </c>
    </row>
    <row r="6755" ht="15.75" customHeight="1">
      <c r="A6755" s="8" t="s">
        <v>5404</v>
      </c>
      <c r="B6755" s="8" t="s">
        <v>225</v>
      </c>
      <c r="C6755" s="8" t="s">
        <v>5405</v>
      </c>
      <c r="D6755" s="8" t="s">
        <v>9</v>
      </c>
      <c r="E6755" s="8" t="s">
        <v>1102</v>
      </c>
      <c r="F6755" s="8">
        <v>7.683089932E9</v>
      </c>
    </row>
    <row r="6756" ht="15.75" customHeight="1">
      <c r="A6756" s="8" t="s">
        <v>2749</v>
      </c>
      <c r="B6756" s="8" t="s">
        <v>5406</v>
      </c>
      <c r="C6756" s="8" t="s">
        <v>925</v>
      </c>
      <c r="D6756" s="8" t="s">
        <v>26</v>
      </c>
      <c r="E6756" s="8" t="s">
        <v>926</v>
      </c>
      <c r="F6756" s="8">
        <v>9.781751E9</v>
      </c>
    </row>
    <row r="6757" ht="15.75" customHeight="1">
      <c r="A6757" s="8" t="s">
        <v>4761</v>
      </c>
      <c r="B6757" s="8" t="s">
        <v>108</v>
      </c>
      <c r="C6757" s="8" t="s">
        <v>5407</v>
      </c>
      <c r="D6757" s="8" t="s">
        <v>56</v>
      </c>
      <c r="E6757" s="8" t="s">
        <v>5408</v>
      </c>
      <c r="F6757" s="8">
        <v>8.054714331E9</v>
      </c>
    </row>
    <row r="6758" ht="15.75" customHeight="1">
      <c r="A6758" s="8" t="s">
        <v>565</v>
      </c>
      <c r="B6758" s="8" t="s">
        <v>4128</v>
      </c>
      <c r="C6758" s="8" t="s">
        <v>4129</v>
      </c>
      <c r="D6758" s="8" t="s">
        <v>29</v>
      </c>
      <c r="E6758" s="8" t="s">
        <v>1102</v>
      </c>
      <c r="F6758" s="8">
        <v>9.250725729E9</v>
      </c>
    </row>
    <row r="6759" ht="15.75" customHeight="1">
      <c r="A6759" s="8" t="s">
        <v>5411</v>
      </c>
      <c r="B6759" s="8" t="s">
        <v>5412</v>
      </c>
      <c r="C6759" s="8" t="s">
        <v>5413</v>
      </c>
      <c r="D6759" s="8" t="s">
        <v>14</v>
      </c>
      <c r="E6759" s="8" t="s">
        <v>2575</v>
      </c>
      <c r="F6759" s="8">
        <v>9.965311676E9</v>
      </c>
    </row>
    <row r="6760" ht="15.75" customHeight="1">
      <c r="A6760" s="8" t="s">
        <v>3653</v>
      </c>
      <c r="B6760" s="8" t="s">
        <v>68</v>
      </c>
      <c r="C6760" s="8" t="s">
        <v>6930</v>
      </c>
      <c r="D6760" s="8" t="s">
        <v>14</v>
      </c>
      <c r="E6760" s="8" t="s">
        <v>15</v>
      </c>
      <c r="F6760" s="8">
        <v>8.668359985E9</v>
      </c>
    </row>
    <row r="6761" ht="15.75" customHeight="1">
      <c r="A6761" s="8" t="s">
        <v>5414</v>
      </c>
      <c r="B6761" s="8" t="s">
        <v>63</v>
      </c>
      <c r="C6761" s="8" t="s">
        <v>5021</v>
      </c>
      <c r="D6761" s="8" t="s">
        <v>56</v>
      </c>
      <c r="E6761" s="8" t="s">
        <v>1102</v>
      </c>
      <c r="F6761" s="8">
        <v>9.953239915E9</v>
      </c>
    </row>
    <row r="6762" ht="15.75" customHeight="1">
      <c r="A6762" s="8" t="s">
        <v>5415</v>
      </c>
      <c r="B6762" s="8" t="s">
        <v>5416</v>
      </c>
      <c r="C6762" s="8" t="s">
        <v>5417</v>
      </c>
      <c r="D6762" s="8" t="s">
        <v>9</v>
      </c>
      <c r="E6762" s="8" t="s">
        <v>4276</v>
      </c>
      <c r="F6762" s="8">
        <v>9.666099663E9</v>
      </c>
    </row>
    <row r="6763" ht="15.75" customHeight="1">
      <c r="A6763" s="8" t="s">
        <v>5418</v>
      </c>
      <c r="B6763" s="8" t="s">
        <v>5419</v>
      </c>
      <c r="C6763" s="8" t="s">
        <v>5236</v>
      </c>
      <c r="D6763" s="8" t="s">
        <v>9</v>
      </c>
      <c r="E6763" s="8" t="s">
        <v>4276</v>
      </c>
      <c r="F6763" s="8">
        <v>9.346755808E9</v>
      </c>
    </row>
    <row r="6764" ht="15.75" customHeight="1">
      <c r="A6764" s="8" t="s">
        <v>5420</v>
      </c>
      <c r="B6764" s="8" t="s">
        <v>5421</v>
      </c>
      <c r="C6764" s="8" t="s">
        <v>5016</v>
      </c>
      <c r="D6764" s="8" t="s">
        <v>56</v>
      </c>
      <c r="E6764" s="8" t="s">
        <v>4276</v>
      </c>
      <c r="F6764" s="8">
        <v>9.959610409E9</v>
      </c>
    </row>
    <row r="6765" ht="15.75" customHeight="1">
      <c r="A6765" s="8" t="s">
        <v>2109</v>
      </c>
      <c r="B6765" s="8" t="s">
        <v>251</v>
      </c>
      <c r="C6765" s="8" t="s">
        <v>5424</v>
      </c>
      <c r="D6765" s="8" t="s">
        <v>14</v>
      </c>
      <c r="E6765" s="8" t="s">
        <v>5408</v>
      </c>
      <c r="F6765" s="8">
        <v>9.855721911E9</v>
      </c>
    </row>
    <row r="6766" ht="15.75" customHeight="1">
      <c r="A6766" s="8" t="s">
        <v>5425</v>
      </c>
      <c r="B6766" s="8" t="s">
        <v>5426</v>
      </c>
      <c r="C6766" s="8" t="s">
        <v>5427</v>
      </c>
      <c r="D6766" s="8" t="s">
        <v>56</v>
      </c>
      <c r="E6766" s="8" t="s">
        <v>2575</v>
      </c>
      <c r="F6766" s="8">
        <v>8.68204618E9</v>
      </c>
    </row>
    <row r="6767" ht="15.75" customHeight="1">
      <c r="A6767" s="8" t="s">
        <v>961</v>
      </c>
      <c r="B6767" s="8" t="s">
        <v>6931</v>
      </c>
      <c r="C6767" s="8" t="s">
        <v>6932</v>
      </c>
      <c r="D6767" s="8" t="s">
        <v>44</v>
      </c>
      <c r="E6767" s="8" t="s">
        <v>15</v>
      </c>
      <c r="F6767" s="8">
        <v>9.545526117E9</v>
      </c>
    </row>
    <row r="6768" ht="15.75" customHeight="1">
      <c r="A6768" s="8" t="s">
        <v>5434</v>
      </c>
      <c r="B6768" s="8" t="s">
        <v>5435</v>
      </c>
      <c r="C6768" s="8" t="s">
        <v>5430</v>
      </c>
      <c r="D6768" s="8" t="s">
        <v>26</v>
      </c>
      <c r="E6768" s="8" t="s">
        <v>5396</v>
      </c>
      <c r="F6768" s="8">
        <v>7.90873294E9</v>
      </c>
    </row>
    <row r="6769" ht="15.75" customHeight="1">
      <c r="A6769" s="8" t="s">
        <v>6933</v>
      </c>
      <c r="B6769" s="8" t="s">
        <v>3568</v>
      </c>
      <c r="C6769" s="8" t="s">
        <v>6934</v>
      </c>
      <c r="D6769" s="8" t="s">
        <v>14</v>
      </c>
      <c r="E6769" s="8" t="s">
        <v>5408</v>
      </c>
      <c r="F6769" s="8">
        <v>9.81466656E9</v>
      </c>
    </row>
    <row r="6770" ht="15.75" customHeight="1">
      <c r="A6770" s="8" t="s">
        <v>5436</v>
      </c>
      <c r="B6770" s="8" t="s">
        <v>5437</v>
      </c>
      <c r="C6770" s="8" t="s">
        <v>5236</v>
      </c>
      <c r="D6770" s="8" t="s">
        <v>56</v>
      </c>
      <c r="E6770" s="8" t="s">
        <v>5438</v>
      </c>
      <c r="F6770" s="8">
        <v>6.309894707E9</v>
      </c>
    </row>
    <row r="6771" ht="15.75" customHeight="1">
      <c r="A6771" s="8" t="s">
        <v>4974</v>
      </c>
      <c r="B6771" s="8" t="s">
        <v>5441</v>
      </c>
      <c r="C6771" s="8" t="s">
        <v>5442</v>
      </c>
      <c r="D6771" s="8" t="s">
        <v>26</v>
      </c>
      <c r="E6771" s="8" t="s">
        <v>4276</v>
      </c>
      <c r="F6771" s="8">
        <v>6.305786043E9</v>
      </c>
    </row>
    <row r="6772" ht="15.75" customHeight="1">
      <c r="A6772" s="8" t="s">
        <v>5443</v>
      </c>
      <c r="B6772" s="8" t="s">
        <v>5444</v>
      </c>
      <c r="C6772" s="8" t="s">
        <v>5016</v>
      </c>
      <c r="D6772" s="8" t="s">
        <v>26</v>
      </c>
      <c r="E6772" s="8" t="s">
        <v>4276</v>
      </c>
      <c r="F6772" s="8">
        <v>7.093515201E9</v>
      </c>
    </row>
    <row r="6773" ht="15.75" customHeight="1">
      <c r="A6773" s="8" t="s">
        <v>1035</v>
      </c>
      <c r="B6773" s="8" t="s">
        <v>5445</v>
      </c>
      <c r="C6773" s="8" t="s">
        <v>5446</v>
      </c>
      <c r="D6773" s="8" t="s">
        <v>26</v>
      </c>
      <c r="E6773" s="8" t="s">
        <v>5408</v>
      </c>
      <c r="F6773" s="8">
        <v>9.041187623E9</v>
      </c>
    </row>
    <row r="6774" ht="15.75" customHeight="1">
      <c r="A6774" s="8" t="s">
        <v>5447</v>
      </c>
      <c r="B6774" s="8" t="s">
        <v>5448</v>
      </c>
      <c r="C6774" s="8" t="s">
        <v>5449</v>
      </c>
      <c r="D6774" s="8" t="s">
        <v>44</v>
      </c>
      <c r="E6774" s="8" t="s">
        <v>494</v>
      </c>
      <c r="F6774" s="8">
        <v>8.448803119E9</v>
      </c>
    </row>
    <row r="6775" ht="15.75" customHeight="1">
      <c r="A6775" s="8" t="s">
        <v>2930</v>
      </c>
      <c r="B6775" s="8" t="s">
        <v>4229</v>
      </c>
      <c r="C6775" s="8" t="s">
        <v>5429</v>
      </c>
      <c r="D6775" s="8" t="s">
        <v>44</v>
      </c>
      <c r="E6775" s="8" t="s">
        <v>5408</v>
      </c>
      <c r="F6775" s="8">
        <v>9.464791647E9</v>
      </c>
    </row>
    <row r="6776" ht="15.75" customHeight="1">
      <c r="A6776" s="8" t="s">
        <v>4974</v>
      </c>
      <c r="B6776" s="8" t="s">
        <v>5453</v>
      </c>
      <c r="C6776" s="8" t="s">
        <v>5016</v>
      </c>
      <c r="D6776" s="8" t="s">
        <v>26</v>
      </c>
      <c r="E6776" s="8" t="s">
        <v>4276</v>
      </c>
      <c r="F6776" s="8">
        <v>9.885202511E9</v>
      </c>
    </row>
    <row r="6777" ht="15.75" customHeight="1">
      <c r="A6777" s="8" t="s">
        <v>5457</v>
      </c>
      <c r="B6777" s="8" t="s">
        <v>5458</v>
      </c>
      <c r="C6777" s="8" t="s">
        <v>4218</v>
      </c>
      <c r="D6777" s="8" t="s">
        <v>9</v>
      </c>
      <c r="E6777" s="8" t="s">
        <v>4007</v>
      </c>
      <c r="F6777" s="8">
        <v>8.448271994E9</v>
      </c>
    </row>
    <row r="6778" ht="15.75" customHeight="1">
      <c r="A6778" s="8" t="s">
        <v>4137</v>
      </c>
      <c r="B6778" s="8" t="s">
        <v>5460</v>
      </c>
      <c r="C6778" s="8" t="s">
        <v>5429</v>
      </c>
      <c r="D6778" s="8" t="s">
        <v>26</v>
      </c>
      <c r="E6778" s="8" t="s">
        <v>5461</v>
      </c>
      <c r="F6778" s="8">
        <v>7.657890065E9</v>
      </c>
    </row>
    <row r="6779" ht="15.75" customHeight="1">
      <c r="A6779" s="8" t="s">
        <v>762</v>
      </c>
      <c r="B6779" s="8" t="s">
        <v>50</v>
      </c>
      <c r="C6779" s="8" t="s">
        <v>133</v>
      </c>
      <c r="D6779" s="8" t="s">
        <v>56</v>
      </c>
      <c r="E6779" s="8" t="s">
        <v>6935</v>
      </c>
      <c r="F6779" s="8">
        <v>7.908686398E9</v>
      </c>
    </row>
    <row r="6780" ht="15.75" customHeight="1">
      <c r="A6780" s="8" t="s">
        <v>5464</v>
      </c>
      <c r="B6780" s="8" t="s">
        <v>5465</v>
      </c>
      <c r="C6780" s="8" t="s">
        <v>5466</v>
      </c>
      <c r="D6780" s="8" t="s">
        <v>56</v>
      </c>
      <c r="E6780" s="8" t="s">
        <v>4276</v>
      </c>
      <c r="F6780" s="8">
        <v>9.949316693E9</v>
      </c>
    </row>
    <row r="6781" ht="15.75" customHeight="1">
      <c r="A6781" s="8" t="s">
        <v>4505</v>
      </c>
      <c r="B6781" s="8" t="s">
        <v>117</v>
      </c>
      <c r="C6781" s="8" t="s">
        <v>5028</v>
      </c>
      <c r="D6781" s="8" t="s">
        <v>56</v>
      </c>
      <c r="E6781" s="8" t="s">
        <v>494</v>
      </c>
      <c r="F6781" s="8">
        <v>9.811765341E9</v>
      </c>
    </row>
    <row r="6782" ht="15.75" customHeight="1">
      <c r="A6782" s="8" t="s">
        <v>5467</v>
      </c>
      <c r="B6782" s="8" t="s">
        <v>49</v>
      </c>
      <c r="C6782" s="8" t="s">
        <v>5072</v>
      </c>
      <c r="D6782" s="8" t="s">
        <v>56</v>
      </c>
      <c r="E6782" s="8" t="s">
        <v>4276</v>
      </c>
      <c r="F6782" s="8">
        <v>9.100880303E9</v>
      </c>
    </row>
    <row r="6783" ht="15.75" customHeight="1">
      <c r="A6783" s="8" t="s">
        <v>5468</v>
      </c>
      <c r="B6783" s="8" t="s">
        <v>3078</v>
      </c>
      <c r="C6783" s="8" t="s">
        <v>5469</v>
      </c>
      <c r="D6783" s="8" t="s">
        <v>56</v>
      </c>
      <c r="E6783" s="8" t="s">
        <v>2575</v>
      </c>
      <c r="F6783" s="8">
        <v>9.786028729E9</v>
      </c>
    </row>
    <row r="6784" ht="15.75" customHeight="1">
      <c r="A6784" s="8" t="s">
        <v>871</v>
      </c>
      <c r="B6784" s="8" t="s">
        <v>1791</v>
      </c>
      <c r="C6784" s="8" t="s">
        <v>3322</v>
      </c>
      <c r="D6784" s="8" t="s">
        <v>56</v>
      </c>
      <c r="E6784" s="8" t="s">
        <v>434</v>
      </c>
      <c r="F6784" s="8">
        <v>8.291365536E9</v>
      </c>
    </row>
    <row r="6785" ht="15.75" customHeight="1">
      <c r="A6785" s="8" t="s">
        <v>5472</v>
      </c>
      <c r="B6785" s="8" t="s">
        <v>2017</v>
      </c>
      <c r="C6785" s="8" t="s">
        <v>2708</v>
      </c>
      <c r="D6785" s="8" t="s">
        <v>56</v>
      </c>
      <c r="E6785" s="8" t="s">
        <v>434</v>
      </c>
      <c r="F6785" s="8">
        <v>9.326160511E9</v>
      </c>
    </row>
    <row r="6786" ht="15.75" customHeight="1">
      <c r="A6786" s="8" t="s">
        <v>5473</v>
      </c>
      <c r="B6786" s="8" t="s">
        <v>3078</v>
      </c>
      <c r="C6786" s="8" t="s">
        <v>5474</v>
      </c>
      <c r="D6786" s="8" t="s">
        <v>56</v>
      </c>
      <c r="E6786" s="8" t="s">
        <v>4971</v>
      </c>
      <c r="F6786" s="8">
        <v>9.84012518E9</v>
      </c>
    </row>
    <row r="6787" ht="15.75" customHeight="1">
      <c r="A6787" s="8" t="s">
        <v>35</v>
      </c>
      <c r="B6787" s="8" t="s">
        <v>5475</v>
      </c>
      <c r="C6787" s="8" t="s">
        <v>5469</v>
      </c>
      <c r="D6787" s="8" t="s">
        <v>9</v>
      </c>
      <c r="E6787" s="8" t="s">
        <v>2575</v>
      </c>
      <c r="F6787" s="8">
        <v>9.488078769E9</v>
      </c>
    </row>
    <row r="6788" ht="15.75" customHeight="1">
      <c r="A6788" s="8" t="s">
        <v>5478</v>
      </c>
      <c r="B6788" s="8" t="s">
        <v>5479</v>
      </c>
      <c r="C6788" s="8" t="s">
        <v>5236</v>
      </c>
      <c r="D6788" s="8" t="s">
        <v>56</v>
      </c>
      <c r="E6788" s="8" t="s">
        <v>4276</v>
      </c>
      <c r="F6788" s="8">
        <v>9.052550121E9</v>
      </c>
    </row>
    <row r="6789" ht="15.75" customHeight="1">
      <c r="A6789" s="8" t="s">
        <v>4216</v>
      </c>
      <c r="B6789" s="8" t="s">
        <v>4217</v>
      </c>
      <c r="C6789" s="8" t="s">
        <v>4218</v>
      </c>
      <c r="D6789" s="8" t="s">
        <v>9</v>
      </c>
      <c r="E6789" s="8" t="s">
        <v>4769</v>
      </c>
      <c r="F6789" s="8">
        <v>9.810300843E9</v>
      </c>
    </row>
    <row r="6790" ht="15.75" customHeight="1">
      <c r="A6790" s="8" t="s">
        <v>5485</v>
      </c>
      <c r="B6790" s="8" t="s">
        <v>4522</v>
      </c>
      <c r="C6790" s="8" t="s">
        <v>5021</v>
      </c>
      <c r="D6790" s="8" t="s">
        <v>56</v>
      </c>
      <c r="E6790" s="8" t="s">
        <v>494</v>
      </c>
      <c r="F6790" s="8">
        <v>9.582289149E9</v>
      </c>
    </row>
    <row r="6791" ht="15.75" customHeight="1">
      <c r="A6791" s="8" t="s">
        <v>5488</v>
      </c>
      <c r="B6791" s="8" t="s">
        <v>5489</v>
      </c>
      <c r="C6791" s="8" t="s">
        <v>5490</v>
      </c>
      <c r="D6791" s="8" t="s">
        <v>56</v>
      </c>
      <c r="E6791" s="8" t="s">
        <v>494</v>
      </c>
      <c r="F6791" s="8">
        <v>9.711770528E9</v>
      </c>
    </row>
    <row r="6792" ht="15.75" customHeight="1">
      <c r="A6792" s="8" t="s">
        <v>5491</v>
      </c>
      <c r="B6792" s="8" t="s">
        <v>5492</v>
      </c>
      <c r="C6792" s="8" t="s">
        <v>5493</v>
      </c>
      <c r="D6792" s="8" t="s">
        <v>9</v>
      </c>
      <c r="E6792" s="8" t="s">
        <v>2575</v>
      </c>
      <c r="F6792" s="8">
        <v>9.444796343E9</v>
      </c>
    </row>
    <row r="6793" ht="15.75" customHeight="1">
      <c r="A6793" s="8" t="s">
        <v>3358</v>
      </c>
      <c r="B6793" s="8" t="s">
        <v>5494</v>
      </c>
      <c r="C6793" s="8" t="s">
        <v>5236</v>
      </c>
      <c r="D6793" s="8" t="s">
        <v>9</v>
      </c>
      <c r="E6793" s="8" t="s">
        <v>5495</v>
      </c>
      <c r="F6793" s="8">
        <v>7.470777748E9</v>
      </c>
    </row>
    <row r="6794" ht="15.75" customHeight="1">
      <c r="A6794" s="8" t="s">
        <v>5496</v>
      </c>
      <c r="B6794" s="8" t="s">
        <v>78</v>
      </c>
      <c r="C6794" s="8" t="s">
        <v>5417</v>
      </c>
      <c r="D6794" s="8" t="s">
        <v>9</v>
      </c>
      <c r="E6794" s="8" t="s">
        <v>4276</v>
      </c>
      <c r="F6794" s="8">
        <v>9.398852282E9</v>
      </c>
    </row>
    <row r="6795" ht="15.75" customHeight="1">
      <c r="A6795" s="8" t="s">
        <v>3888</v>
      </c>
      <c r="B6795" s="8" t="s">
        <v>5497</v>
      </c>
      <c r="C6795" s="8" t="s">
        <v>5236</v>
      </c>
      <c r="D6795" s="8" t="s">
        <v>9</v>
      </c>
      <c r="E6795" s="8" t="s">
        <v>5495</v>
      </c>
      <c r="F6795" s="8">
        <v>9.030066E9</v>
      </c>
    </row>
    <row r="6796" ht="15.75" customHeight="1">
      <c r="A6796" s="8" t="s">
        <v>5501</v>
      </c>
      <c r="B6796" s="8" t="s">
        <v>68</v>
      </c>
      <c r="C6796" s="8" t="s">
        <v>5502</v>
      </c>
      <c r="D6796" s="8" t="s">
        <v>44</v>
      </c>
      <c r="E6796" s="8" t="s">
        <v>4276</v>
      </c>
      <c r="F6796" s="8">
        <v>8.008954609E9</v>
      </c>
    </row>
    <row r="6797" ht="15.75" customHeight="1">
      <c r="A6797" s="8" t="s">
        <v>5508</v>
      </c>
      <c r="B6797" s="8" t="s">
        <v>3440</v>
      </c>
      <c r="C6797" s="8" t="s">
        <v>5509</v>
      </c>
      <c r="D6797" s="8" t="s">
        <v>9</v>
      </c>
      <c r="E6797" s="8" t="s">
        <v>4276</v>
      </c>
      <c r="F6797" s="8">
        <v>9.000034545E9</v>
      </c>
    </row>
    <row r="6798" ht="15.75" customHeight="1">
      <c r="A6798" s="8" t="s">
        <v>5510</v>
      </c>
      <c r="B6798" s="8" t="s">
        <v>5511</v>
      </c>
      <c r="C6798" s="8" t="s">
        <v>5512</v>
      </c>
      <c r="D6798" s="8" t="s">
        <v>9</v>
      </c>
      <c r="E6798" s="8" t="s">
        <v>4276</v>
      </c>
      <c r="F6798" s="8">
        <v>9.34754341E9</v>
      </c>
    </row>
    <row r="6799" ht="15.75" customHeight="1">
      <c r="A6799" s="8" t="s">
        <v>5157</v>
      </c>
      <c r="B6799" s="8" t="s">
        <v>5514</v>
      </c>
      <c r="C6799" s="8" t="s">
        <v>5236</v>
      </c>
      <c r="D6799" s="8" t="s">
        <v>9</v>
      </c>
      <c r="E6799" s="8" t="s">
        <v>4455</v>
      </c>
      <c r="F6799" s="8">
        <v>8.074698484E9</v>
      </c>
    </row>
    <row r="6800" ht="15.75" customHeight="1">
      <c r="A6800" s="8" t="s">
        <v>3200</v>
      </c>
      <c r="B6800" s="8" t="s">
        <v>5515</v>
      </c>
      <c r="C6800" s="8" t="s">
        <v>4257</v>
      </c>
      <c r="D6800" s="8" t="s">
        <v>44</v>
      </c>
      <c r="E6800" s="8" t="s">
        <v>5516</v>
      </c>
      <c r="F6800" s="8">
        <v>9.820381302E9</v>
      </c>
    </row>
    <row r="6801" ht="15.75" customHeight="1">
      <c r="A6801" s="8" t="s">
        <v>40</v>
      </c>
      <c r="B6801" s="8" t="s">
        <v>5517</v>
      </c>
      <c r="C6801" s="8" t="s">
        <v>4275</v>
      </c>
      <c r="D6801" s="8" t="s">
        <v>26</v>
      </c>
      <c r="E6801" s="8" t="s">
        <v>4276</v>
      </c>
      <c r="F6801" s="8">
        <v>9.01489635E9</v>
      </c>
    </row>
    <row r="6802" ht="15.75" customHeight="1">
      <c r="A6802" s="8" t="s">
        <v>5525</v>
      </c>
      <c r="B6802" s="8" t="s">
        <v>65</v>
      </c>
      <c r="C6802" s="8" t="s">
        <v>5526</v>
      </c>
      <c r="D6802" s="8" t="s">
        <v>56</v>
      </c>
      <c r="E6802" s="8" t="s">
        <v>5527</v>
      </c>
      <c r="F6802" s="8">
        <v>7.008695799E9</v>
      </c>
    </row>
    <row r="6803" ht="15.75" customHeight="1">
      <c r="A6803" s="8" t="s">
        <v>1248</v>
      </c>
      <c r="B6803" s="8" t="s">
        <v>3352</v>
      </c>
      <c r="C6803" s="8" t="s">
        <v>5528</v>
      </c>
      <c r="D6803" s="8" t="s">
        <v>44</v>
      </c>
      <c r="E6803" s="8" t="s">
        <v>4923</v>
      </c>
      <c r="F6803" s="8">
        <v>8.054463174E9</v>
      </c>
    </row>
    <row r="6804" ht="15.75" customHeight="1">
      <c r="A6804" s="8" t="s">
        <v>2879</v>
      </c>
      <c r="B6804" s="8" t="s">
        <v>5529</v>
      </c>
      <c r="C6804" s="8" t="s">
        <v>5236</v>
      </c>
      <c r="D6804" s="8" t="s">
        <v>9</v>
      </c>
      <c r="E6804" s="8" t="s">
        <v>4276</v>
      </c>
      <c r="F6804" s="8">
        <v>8.309191898E9</v>
      </c>
    </row>
    <row r="6805" ht="15.75" customHeight="1">
      <c r="A6805" s="8" t="s">
        <v>4427</v>
      </c>
      <c r="B6805" s="8" t="s">
        <v>251</v>
      </c>
      <c r="C6805" s="8" t="s">
        <v>5519</v>
      </c>
      <c r="D6805" s="8" t="s">
        <v>9</v>
      </c>
      <c r="E6805" s="8" t="s">
        <v>1102</v>
      </c>
      <c r="F6805" s="8">
        <v>9.711422981E9</v>
      </c>
    </row>
    <row r="6806" ht="15.75" customHeight="1">
      <c r="A6806" s="8" t="s">
        <v>5534</v>
      </c>
      <c r="B6806" s="8" t="s">
        <v>5533</v>
      </c>
      <c r="C6806" s="8" t="s">
        <v>5429</v>
      </c>
      <c r="D6806" s="8" t="s">
        <v>1108</v>
      </c>
      <c r="E6806" s="8" t="s">
        <v>5408</v>
      </c>
      <c r="F6806" s="8">
        <v>9.888469658E9</v>
      </c>
    </row>
    <row r="6807" ht="15.75" customHeight="1">
      <c r="A6807" s="8" t="s">
        <v>4505</v>
      </c>
      <c r="B6807" s="8" t="s">
        <v>5020</v>
      </c>
      <c r="C6807" s="8" t="s">
        <v>5028</v>
      </c>
      <c r="D6807" s="8" t="s">
        <v>26</v>
      </c>
      <c r="E6807" s="8" t="s">
        <v>1102</v>
      </c>
      <c r="F6807" s="8">
        <v>9.212054234E9</v>
      </c>
    </row>
    <row r="6808" ht="15.75" customHeight="1">
      <c r="A6808" s="8" t="s">
        <v>5536</v>
      </c>
      <c r="B6808" s="8" t="s">
        <v>5537</v>
      </c>
      <c r="C6808" s="8" t="s">
        <v>5538</v>
      </c>
      <c r="D6808" s="8" t="s">
        <v>9</v>
      </c>
      <c r="E6808" s="8" t="s">
        <v>5539</v>
      </c>
      <c r="F6808" s="8">
        <v>7.428527503E9</v>
      </c>
    </row>
    <row r="6809" ht="15.75" customHeight="1">
      <c r="A6809" s="8" t="s">
        <v>5540</v>
      </c>
      <c r="B6809" s="8" t="s">
        <v>5541</v>
      </c>
      <c r="C6809" s="8" t="s">
        <v>5542</v>
      </c>
      <c r="D6809" s="8" t="s">
        <v>14</v>
      </c>
      <c r="E6809" s="8" t="s">
        <v>5543</v>
      </c>
      <c r="F6809" s="8">
        <v>9.791835825E9</v>
      </c>
    </row>
    <row r="6810" ht="15.75" customHeight="1">
      <c r="A6810" s="8" t="s">
        <v>5544</v>
      </c>
      <c r="B6810" s="8" t="s">
        <v>5545</v>
      </c>
      <c r="C6810" s="8" t="s">
        <v>5546</v>
      </c>
      <c r="D6810" s="8" t="s">
        <v>56</v>
      </c>
      <c r="E6810" s="8" t="s">
        <v>4276</v>
      </c>
      <c r="F6810" s="8">
        <v>9.818167227E9</v>
      </c>
    </row>
    <row r="6811" ht="15.75" customHeight="1">
      <c r="A6811" s="8" t="s">
        <v>2817</v>
      </c>
      <c r="B6811" s="8" t="s">
        <v>5547</v>
      </c>
      <c r="C6811" s="8" t="s">
        <v>5526</v>
      </c>
      <c r="D6811" s="8" t="s">
        <v>56</v>
      </c>
      <c r="E6811" s="8" t="s">
        <v>4729</v>
      </c>
      <c r="F6811" s="8">
        <v>6.371370563E9</v>
      </c>
    </row>
    <row r="6812" ht="15.75" customHeight="1">
      <c r="A6812" s="8" t="s">
        <v>5548</v>
      </c>
      <c r="B6812" s="8" t="s">
        <v>5312</v>
      </c>
      <c r="C6812" s="8" t="s">
        <v>5549</v>
      </c>
      <c r="D6812" s="8" t="s">
        <v>56</v>
      </c>
      <c r="E6812" s="8" t="s">
        <v>494</v>
      </c>
      <c r="F6812" s="8">
        <v>9.871991634E9</v>
      </c>
    </row>
    <row r="6813" ht="15.75" customHeight="1">
      <c r="A6813" s="8" t="s">
        <v>5553</v>
      </c>
      <c r="B6813" s="8" t="s">
        <v>5554</v>
      </c>
      <c r="C6813" s="8" t="s">
        <v>5555</v>
      </c>
      <c r="D6813" s="8" t="s">
        <v>26</v>
      </c>
      <c r="E6813" s="8" t="s">
        <v>5556</v>
      </c>
      <c r="F6813" s="8">
        <v>9.848922648E9</v>
      </c>
    </row>
    <row r="6814" ht="15.75" customHeight="1">
      <c r="A6814" s="8" t="s">
        <v>5557</v>
      </c>
      <c r="B6814" s="8" t="s">
        <v>5558</v>
      </c>
      <c r="C6814" s="8" t="s">
        <v>5559</v>
      </c>
      <c r="D6814" s="8" t="s">
        <v>56</v>
      </c>
      <c r="E6814" s="8" t="s">
        <v>4276</v>
      </c>
      <c r="F6814" s="8">
        <v>9.940640801E9</v>
      </c>
    </row>
    <row r="6815" ht="15.75" customHeight="1">
      <c r="A6815" s="8" t="s">
        <v>5560</v>
      </c>
      <c r="B6815" s="8" t="s">
        <v>1265</v>
      </c>
      <c r="C6815" s="8" t="s">
        <v>5546</v>
      </c>
      <c r="D6815" s="8" t="s">
        <v>56</v>
      </c>
      <c r="E6815" s="8" t="s">
        <v>4276</v>
      </c>
      <c r="F6815" s="8">
        <v>7.337335951E9</v>
      </c>
    </row>
    <row r="6816" ht="15.75" customHeight="1">
      <c r="A6816" s="8" t="s">
        <v>299</v>
      </c>
      <c r="B6816" s="8" t="s">
        <v>4840</v>
      </c>
      <c r="C6816" s="8" t="s">
        <v>5028</v>
      </c>
      <c r="D6816" s="8" t="s">
        <v>9</v>
      </c>
      <c r="E6816" s="8" t="s">
        <v>494</v>
      </c>
      <c r="F6816" s="8">
        <v>9.667736242E9</v>
      </c>
    </row>
    <row r="6817" ht="15.75" customHeight="1">
      <c r="A6817" s="8" t="s">
        <v>5564</v>
      </c>
      <c r="B6817" s="8" t="s">
        <v>5565</v>
      </c>
      <c r="C6817" s="8" t="s">
        <v>5566</v>
      </c>
      <c r="D6817" s="8" t="s">
        <v>56</v>
      </c>
      <c r="E6817" s="8" t="s">
        <v>494</v>
      </c>
      <c r="F6817" s="8">
        <v>7.98290422E9</v>
      </c>
    </row>
    <row r="6818" ht="15.75" customHeight="1">
      <c r="A6818" s="8" t="s">
        <v>3805</v>
      </c>
      <c r="B6818" s="8" t="s">
        <v>5569</v>
      </c>
      <c r="C6818" s="8" t="s">
        <v>5570</v>
      </c>
      <c r="D6818" s="8" t="s">
        <v>44</v>
      </c>
      <c r="E6818" s="8" t="s">
        <v>494</v>
      </c>
      <c r="F6818" s="8">
        <v>9.711664545E9</v>
      </c>
    </row>
    <row r="6819" ht="15.75" customHeight="1">
      <c r="A6819" s="8" t="s">
        <v>5571</v>
      </c>
      <c r="B6819" s="8" t="s">
        <v>5572</v>
      </c>
      <c r="C6819" s="8" t="s">
        <v>5573</v>
      </c>
      <c r="D6819" s="8" t="s">
        <v>56</v>
      </c>
      <c r="E6819" s="8" t="s">
        <v>2575</v>
      </c>
      <c r="F6819" s="8">
        <v>9.789611681E9</v>
      </c>
    </row>
    <row r="6820" ht="15.75" customHeight="1">
      <c r="A6820" s="8" t="s">
        <v>5574</v>
      </c>
      <c r="B6820" s="8" t="s">
        <v>675</v>
      </c>
      <c r="C6820" s="8" t="s">
        <v>4257</v>
      </c>
      <c r="D6820" s="8" t="s">
        <v>44</v>
      </c>
      <c r="E6820" s="8" t="s">
        <v>5575</v>
      </c>
      <c r="F6820" s="8">
        <v>8.369409011E9</v>
      </c>
    </row>
    <row r="6821" ht="15.75" customHeight="1">
      <c r="A6821" s="8" t="s">
        <v>5577</v>
      </c>
      <c r="B6821" s="8" t="s">
        <v>2678</v>
      </c>
      <c r="C6821" s="8" t="s">
        <v>5578</v>
      </c>
      <c r="D6821" s="8" t="s">
        <v>102</v>
      </c>
      <c r="E6821" s="8" t="s">
        <v>494</v>
      </c>
      <c r="F6821" s="8">
        <v>6.375600667E9</v>
      </c>
    </row>
    <row r="6822" ht="15.75" customHeight="1">
      <c r="A6822" s="8" t="s">
        <v>5579</v>
      </c>
      <c r="B6822" s="8" t="s">
        <v>1378</v>
      </c>
      <c r="C6822" s="8" t="s">
        <v>5580</v>
      </c>
      <c r="D6822" s="8" t="s">
        <v>29</v>
      </c>
      <c r="E6822" s="8" t="s">
        <v>1095</v>
      </c>
      <c r="F6822" s="8">
        <v>7.428290427E9</v>
      </c>
    </row>
    <row r="6823" ht="15.75" customHeight="1">
      <c r="A6823" s="8" t="s">
        <v>5583</v>
      </c>
      <c r="B6823" s="8" t="s">
        <v>924</v>
      </c>
      <c r="C6823" s="8" t="s">
        <v>5584</v>
      </c>
      <c r="D6823" s="8" t="s">
        <v>26</v>
      </c>
      <c r="E6823" s="8" t="s">
        <v>5585</v>
      </c>
      <c r="F6823" s="8">
        <v>8.076654688E9</v>
      </c>
    </row>
    <row r="6824" ht="15.75" customHeight="1">
      <c r="A6824" s="8" t="s">
        <v>1555</v>
      </c>
      <c r="B6824" s="8" t="s">
        <v>1090</v>
      </c>
      <c r="C6824" s="8" t="s">
        <v>5586</v>
      </c>
      <c r="D6824" s="8" t="s">
        <v>56</v>
      </c>
      <c r="E6824" s="8" t="s">
        <v>5365</v>
      </c>
      <c r="F6824" s="8">
        <v>9.735872383E9</v>
      </c>
    </row>
    <row r="6825" ht="15.75" customHeight="1">
      <c r="A6825" s="8" t="s">
        <v>144</v>
      </c>
      <c r="B6825" s="8" t="s">
        <v>4988</v>
      </c>
      <c r="C6825" s="8" t="s">
        <v>5587</v>
      </c>
      <c r="D6825" s="8" t="s">
        <v>56</v>
      </c>
      <c r="E6825" s="8" t="s">
        <v>1102</v>
      </c>
      <c r="F6825" s="8">
        <v>7.291922684E9</v>
      </c>
    </row>
    <row r="6826" ht="15.75" customHeight="1">
      <c r="A6826" s="8" t="s">
        <v>396</v>
      </c>
      <c r="B6826" s="8" t="s">
        <v>5588</v>
      </c>
      <c r="C6826" s="8" t="s">
        <v>5589</v>
      </c>
      <c r="D6826" s="8" t="s">
        <v>1108</v>
      </c>
      <c r="E6826" s="8" t="s">
        <v>494</v>
      </c>
      <c r="F6826" s="8">
        <v>9.59976203E9</v>
      </c>
    </row>
    <row r="6827" ht="15.75" customHeight="1">
      <c r="A6827" s="8" t="s">
        <v>1389</v>
      </c>
      <c r="B6827" s="8" t="s">
        <v>382</v>
      </c>
      <c r="C6827" s="8" t="s">
        <v>5405</v>
      </c>
      <c r="D6827" s="8" t="s">
        <v>56</v>
      </c>
      <c r="E6827" s="8" t="s">
        <v>494</v>
      </c>
      <c r="F6827" s="8">
        <v>8.851131858E9</v>
      </c>
    </row>
    <row r="6828" ht="15.75" customHeight="1">
      <c r="A6828" s="8" t="s">
        <v>5590</v>
      </c>
      <c r="B6828" s="8" t="s">
        <v>4522</v>
      </c>
      <c r="C6828" s="8" t="s">
        <v>5028</v>
      </c>
      <c r="D6828" s="8" t="s">
        <v>26</v>
      </c>
      <c r="E6828" s="8" t="s">
        <v>1102</v>
      </c>
      <c r="F6828" s="8">
        <v>9.91019994E9</v>
      </c>
    </row>
    <row r="6829" ht="15.75" customHeight="1">
      <c r="A6829" s="8" t="s">
        <v>6936</v>
      </c>
      <c r="B6829" s="8" t="s">
        <v>6937</v>
      </c>
      <c r="C6829" s="8" t="s">
        <v>6938</v>
      </c>
      <c r="D6829" s="8" t="s">
        <v>44</v>
      </c>
      <c r="E6829" s="8" t="s">
        <v>15</v>
      </c>
      <c r="F6829" s="8">
        <v>9.623336685E9</v>
      </c>
    </row>
    <row r="6830" ht="15.75" customHeight="1">
      <c r="A6830" s="8" t="s">
        <v>5593</v>
      </c>
      <c r="B6830" s="8" t="s">
        <v>5020</v>
      </c>
      <c r="C6830" s="8" t="s">
        <v>5570</v>
      </c>
      <c r="D6830" s="8" t="s">
        <v>26</v>
      </c>
      <c r="E6830" s="8" t="s">
        <v>494</v>
      </c>
      <c r="F6830" s="8">
        <v>7.701882234E9</v>
      </c>
    </row>
    <row r="6831" ht="15.75" customHeight="1">
      <c r="A6831" s="8" t="s">
        <v>1788</v>
      </c>
      <c r="B6831" s="8" t="s">
        <v>251</v>
      </c>
      <c r="C6831" s="8" t="s">
        <v>5596</v>
      </c>
      <c r="D6831" s="8" t="s">
        <v>56</v>
      </c>
      <c r="E6831" s="8" t="s">
        <v>494</v>
      </c>
      <c r="F6831" s="8">
        <v>8.800614348E9</v>
      </c>
    </row>
    <row r="6832" ht="15.75" customHeight="1">
      <c r="A6832" s="8" t="s">
        <v>3336</v>
      </c>
      <c r="B6832" s="8" t="s">
        <v>5597</v>
      </c>
      <c r="C6832" s="8" t="s">
        <v>5598</v>
      </c>
      <c r="D6832" s="8" t="s">
        <v>9</v>
      </c>
      <c r="E6832" s="8" t="s">
        <v>1102</v>
      </c>
      <c r="F6832" s="8">
        <v>7.678683479E9</v>
      </c>
    </row>
    <row r="6833" ht="15.75" customHeight="1">
      <c r="A6833" s="8" t="s">
        <v>5599</v>
      </c>
      <c r="B6833" s="8" t="s">
        <v>5600</v>
      </c>
      <c r="C6833" s="8" t="s">
        <v>5362</v>
      </c>
      <c r="D6833" s="8" t="s">
        <v>9</v>
      </c>
      <c r="E6833" s="8" t="s">
        <v>4007</v>
      </c>
      <c r="F6833" s="8">
        <v>9.910681239E9</v>
      </c>
    </row>
    <row r="6834" ht="15.75" customHeight="1">
      <c r="A6834" s="8" t="s">
        <v>144</v>
      </c>
      <c r="B6834" s="8" t="s">
        <v>65</v>
      </c>
      <c r="C6834" s="8" t="s">
        <v>5604</v>
      </c>
      <c r="D6834" s="8" t="s">
        <v>26</v>
      </c>
      <c r="E6834" s="8" t="s">
        <v>5605</v>
      </c>
      <c r="F6834" s="8">
        <v>8.882405844E9</v>
      </c>
    </row>
    <row r="6835" ht="15.75" customHeight="1">
      <c r="A6835" s="8" t="s">
        <v>4815</v>
      </c>
      <c r="B6835" s="8" t="s">
        <v>68</v>
      </c>
      <c r="C6835" s="8" t="s">
        <v>4483</v>
      </c>
      <c r="D6835" s="8" t="s">
        <v>56</v>
      </c>
      <c r="E6835" s="8" t="s">
        <v>494</v>
      </c>
      <c r="F6835" s="8">
        <v>7.678647689E9</v>
      </c>
    </row>
    <row r="6836" ht="15.75" customHeight="1">
      <c r="A6836" s="8" t="s">
        <v>163</v>
      </c>
      <c r="B6836" s="8" t="s">
        <v>5105</v>
      </c>
      <c r="C6836" s="8" t="s">
        <v>5610</v>
      </c>
      <c r="D6836" s="8" t="s">
        <v>44</v>
      </c>
      <c r="E6836" s="8" t="s">
        <v>4587</v>
      </c>
      <c r="F6836" s="8">
        <v>9.009450527E9</v>
      </c>
    </row>
    <row r="6837" ht="15.75" customHeight="1">
      <c r="A6837" s="8" t="s">
        <v>5611</v>
      </c>
      <c r="B6837" s="8" t="s">
        <v>68</v>
      </c>
      <c r="C6837" s="8" t="s">
        <v>5610</v>
      </c>
      <c r="D6837" s="8" t="s">
        <v>44</v>
      </c>
      <c r="E6837" s="8" t="s">
        <v>4587</v>
      </c>
      <c r="F6837" s="8">
        <v>6.266866847E9</v>
      </c>
    </row>
    <row r="6838" ht="15.75" customHeight="1">
      <c r="A6838" s="8" t="s">
        <v>2565</v>
      </c>
      <c r="B6838" s="8" t="s">
        <v>63</v>
      </c>
      <c r="C6838" s="8" t="s">
        <v>4483</v>
      </c>
      <c r="D6838" s="8" t="s">
        <v>56</v>
      </c>
      <c r="E6838" s="8" t="s">
        <v>1102</v>
      </c>
      <c r="F6838" s="8">
        <v>9.871198293E9</v>
      </c>
    </row>
    <row r="6839" ht="15.75" customHeight="1">
      <c r="A6839" s="8" t="s">
        <v>1698</v>
      </c>
      <c r="B6839" s="8" t="s">
        <v>2678</v>
      </c>
      <c r="C6839" s="8" t="s">
        <v>5612</v>
      </c>
      <c r="D6839" s="8" t="s">
        <v>26</v>
      </c>
      <c r="E6839" s="8" t="s">
        <v>1102</v>
      </c>
      <c r="F6839" s="8">
        <v>9.315020272E9</v>
      </c>
    </row>
    <row r="6840" ht="15.75" customHeight="1">
      <c r="A6840" s="8" t="s">
        <v>33</v>
      </c>
      <c r="B6840" s="8" t="s">
        <v>1045</v>
      </c>
      <c r="C6840" s="8" t="s">
        <v>5613</v>
      </c>
      <c r="D6840" s="8" t="s">
        <v>9</v>
      </c>
      <c r="E6840" s="8" t="s">
        <v>494</v>
      </c>
      <c r="F6840" s="8">
        <v>9.354884977E9</v>
      </c>
    </row>
    <row r="6841" ht="15.75" customHeight="1">
      <c r="A6841" s="8" t="s">
        <v>2051</v>
      </c>
      <c r="B6841" s="8" t="s">
        <v>65</v>
      </c>
      <c r="C6841" s="8" t="s">
        <v>5616</v>
      </c>
      <c r="D6841" s="8" t="s">
        <v>102</v>
      </c>
      <c r="E6841" s="8" t="s">
        <v>494</v>
      </c>
      <c r="F6841" s="8">
        <v>8.851146891E9</v>
      </c>
    </row>
    <row r="6842" ht="15.75" customHeight="1">
      <c r="A6842" s="8" t="s">
        <v>463</v>
      </c>
      <c r="B6842" s="8" t="s">
        <v>65</v>
      </c>
      <c r="C6842" s="8" t="s">
        <v>5620</v>
      </c>
      <c r="D6842" s="8" t="s">
        <v>26</v>
      </c>
      <c r="E6842" s="8" t="s">
        <v>494</v>
      </c>
      <c r="F6842" s="8">
        <v>8.8028183E9</v>
      </c>
    </row>
    <row r="6843" ht="15.75" customHeight="1">
      <c r="A6843" s="8" t="s">
        <v>5621</v>
      </c>
      <c r="B6843" s="8" t="s">
        <v>5622</v>
      </c>
      <c r="C6843" s="8" t="s">
        <v>4783</v>
      </c>
      <c r="D6843" s="8" t="s">
        <v>29</v>
      </c>
      <c r="E6843" s="8" t="s">
        <v>494</v>
      </c>
      <c r="F6843" s="8">
        <v>7.838546966E9</v>
      </c>
    </row>
    <row r="6844" ht="15.75" customHeight="1">
      <c r="A6844" s="8" t="s">
        <v>2672</v>
      </c>
      <c r="B6844" s="8" t="s">
        <v>312</v>
      </c>
      <c r="C6844" s="8" t="s">
        <v>5623</v>
      </c>
      <c r="D6844" s="8" t="s">
        <v>56</v>
      </c>
      <c r="E6844" s="8" t="s">
        <v>5365</v>
      </c>
      <c r="F6844" s="8">
        <v>8.972058519E9</v>
      </c>
    </row>
    <row r="6845" ht="15.75" customHeight="1">
      <c r="A6845" s="8" t="s">
        <v>50</v>
      </c>
      <c r="B6845" s="8" t="s">
        <v>189</v>
      </c>
      <c r="C6845" s="8" t="s">
        <v>1316</v>
      </c>
      <c r="D6845" s="8" t="s">
        <v>56</v>
      </c>
      <c r="E6845" s="8" t="s">
        <v>5365</v>
      </c>
      <c r="F6845" s="8">
        <v>9.064677356E9</v>
      </c>
    </row>
    <row r="6846" ht="15.75" customHeight="1">
      <c r="A6846" s="8" t="s">
        <v>5626</v>
      </c>
      <c r="B6846" s="8" t="s">
        <v>2643</v>
      </c>
      <c r="C6846" s="8" t="s">
        <v>5627</v>
      </c>
      <c r="D6846" s="8" t="s">
        <v>9</v>
      </c>
      <c r="E6846" s="8" t="s">
        <v>5285</v>
      </c>
      <c r="F6846" s="8">
        <v>8.682861155E9</v>
      </c>
    </row>
    <row r="6847" ht="15.75" customHeight="1">
      <c r="A6847" s="8" t="s">
        <v>5628</v>
      </c>
      <c r="B6847" s="8" t="s">
        <v>5629</v>
      </c>
      <c r="C6847" s="8" t="s">
        <v>5630</v>
      </c>
      <c r="D6847" s="8" t="s">
        <v>26</v>
      </c>
      <c r="E6847" s="8" t="s">
        <v>4595</v>
      </c>
      <c r="F6847" s="8">
        <v>8.867383558E9</v>
      </c>
    </row>
    <row r="6848" ht="15.75" customHeight="1">
      <c r="A6848" s="8" t="s">
        <v>1537</v>
      </c>
      <c r="B6848" s="8" t="s">
        <v>5633</v>
      </c>
      <c r="C6848" s="8" t="s">
        <v>5634</v>
      </c>
      <c r="D6848" s="8" t="s">
        <v>56</v>
      </c>
      <c r="E6848" s="8" t="s">
        <v>5635</v>
      </c>
      <c r="F6848" s="8">
        <v>9.311413345E9</v>
      </c>
    </row>
    <row r="6849" ht="15.75" customHeight="1">
      <c r="A6849" s="8" t="s">
        <v>5636</v>
      </c>
      <c r="B6849" s="8" t="s">
        <v>5637</v>
      </c>
      <c r="C6849" s="8" t="s">
        <v>5638</v>
      </c>
      <c r="D6849" s="8" t="s">
        <v>44</v>
      </c>
      <c r="E6849" s="8" t="s">
        <v>5639</v>
      </c>
      <c r="F6849" s="8">
        <v>9.302400803E9</v>
      </c>
    </row>
    <row r="6850" ht="15.75" customHeight="1">
      <c r="A6850" s="8" t="s">
        <v>5640</v>
      </c>
      <c r="B6850" s="8" t="s">
        <v>1630</v>
      </c>
      <c r="C6850" s="8" t="s">
        <v>5641</v>
      </c>
      <c r="D6850" s="8" t="s">
        <v>44</v>
      </c>
      <c r="E6850" s="8" t="s">
        <v>2025</v>
      </c>
      <c r="F6850" s="8">
        <v>9.911339591E9</v>
      </c>
    </row>
    <row r="6851" ht="15.75" customHeight="1">
      <c r="A6851" s="8" t="s">
        <v>6939</v>
      </c>
      <c r="B6851" s="8" t="s">
        <v>117</v>
      </c>
      <c r="C6851" s="8" t="s">
        <v>6940</v>
      </c>
      <c r="D6851" s="8" t="s">
        <v>1108</v>
      </c>
      <c r="E6851" s="8" t="s">
        <v>15</v>
      </c>
      <c r="F6851" s="8">
        <v>7.757854926E9</v>
      </c>
    </row>
    <row r="6852" ht="15.75" customHeight="1">
      <c r="A6852" s="8" t="s">
        <v>748</v>
      </c>
      <c r="B6852" s="8" t="s">
        <v>5646</v>
      </c>
      <c r="C6852" s="8" t="s">
        <v>5647</v>
      </c>
      <c r="D6852" s="8" t="s">
        <v>29</v>
      </c>
      <c r="E6852" s="8" t="s">
        <v>5648</v>
      </c>
      <c r="F6852" s="8">
        <v>9.884683011E9</v>
      </c>
    </row>
    <row r="6853" ht="15.75" customHeight="1">
      <c r="A6853" s="8" t="s">
        <v>5649</v>
      </c>
      <c r="B6853" s="8" t="s">
        <v>5650</v>
      </c>
      <c r="C6853" s="8" t="s">
        <v>5028</v>
      </c>
      <c r="D6853" s="8" t="s">
        <v>14</v>
      </c>
      <c r="E6853" s="8" t="s">
        <v>494</v>
      </c>
      <c r="F6853" s="8">
        <v>9.350232534E9</v>
      </c>
    </row>
    <row r="6854" ht="15.75" customHeight="1">
      <c r="A6854" s="8" t="s">
        <v>5651</v>
      </c>
      <c r="B6854" s="8" t="s">
        <v>108</v>
      </c>
      <c r="C6854" s="8" t="s">
        <v>5652</v>
      </c>
      <c r="D6854" s="8" t="s">
        <v>14</v>
      </c>
      <c r="E6854" s="8" t="s">
        <v>494</v>
      </c>
      <c r="F6854" s="8">
        <v>9.667750656E9</v>
      </c>
    </row>
    <row r="6855" ht="15.75" customHeight="1">
      <c r="A6855" s="8" t="s">
        <v>5653</v>
      </c>
      <c r="B6855" s="8" t="s">
        <v>5654</v>
      </c>
      <c r="C6855" s="8" t="s">
        <v>5655</v>
      </c>
      <c r="D6855" s="8" t="s">
        <v>1108</v>
      </c>
      <c r="E6855" s="8" t="s">
        <v>5109</v>
      </c>
      <c r="F6855" s="8">
        <v>9.871300157E9</v>
      </c>
    </row>
    <row r="6856" ht="15.75" customHeight="1">
      <c r="A6856" s="8" t="s">
        <v>5656</v>
      </c>
      <c r="B6856" s="8" t="s">
        <v>5657</v>
      </c>
      <c r="C6856" s="8" t="s">
        <v>5658</v>
      </c>
      <c r="D6856" s="8" t="s">
        <v>26</v>
      </c>
      <c r="E6856" s="8" t="s">
        <v>5648</v>
      </c>
      <c r="F6856" s="8">
        <v>9.345485348E9</v>
      </c>
    </row>
    <row r="6857" ht="15.75" customHeight="1">
      <c r="A6857" s="8" t="s">
        <v>3389</v>
      </c>
      <c r="B6857" s="8" t="s">
        <v>5183</v>
      </c>
      <c r="C6857" s="8" t="s">
        <v>5659</v>
      </c>
      <c r="D6857" s="8" t="s">
        <v>14</v>
      </c>
      <c r="E6857" s="8" t="s">
        <v>494</v>
      </c>
      <c r="F6857" s="8">
        <v>9.958398844E9</v>
      </c>
    </row>
    <row r="6858" ht="15.75" customHeight="1">
      <c r="A6858" s="8" t="s">
        <v>5660</v>
      </c>
      <c r="B6858" s="8" t="s">
        <v>5661</v>
      </c>
      <c r="C6858" s="8" t="s">
        <v>5584</v>
      </c>
      <c r="D6858" s="8" t="s">
        <v>14</v>
      </c>
      <c r="E6858" s="8" t="s">
        <v>5662</v>
      </c>
      <c r="F6858" s="8">
        <v>9.354444444E9</v>
      </c>
    </row>
    <row r="6859" ht="15.75" customHeight="1">
      <c r="A6859" s="8" t="s">
        <v>4846</v>
      </c>
      <c r="B6859" s="8" t="s">
        <v>5663</v>
      </c>
      <c r="C6859" s="8" t="s">
        <v>5126</v>
      </c>
      <c r="D6859" s="8" t="s">
        <v>14</v>
      </c>
      <c r="E6859" s="8" t="s">
        <v>2025</v>
      </c>
      <c r="F6859" s="8">
        <v>9.319616868E9</v>
      </c>
    </row>
    <row r="6860" ht="15.75" customHeight="1">
      <c r="A6860" s="8" t="s">
        <v>5640</v>
      </c>
      <c r="B6860" s="8" t="s">
        <v>5664</v>
      </c>
      <c r="C6860" s="8" t="s">
        <v>5665</v>
      </c>
      <c r="D6860" s="8" t="s">
        <v>14</v>
      </c>
      <c r="E6860" s="8" t="s">
        <v>5666</v>
      </c>
      <c r="F6860" s="8">
        <v>9.818260682E9</v>
      </c>
    </row>
    <row r="6861" ht="15.75" customHeight="1">
      <c r="A6861" s="8" t="s">
        <v>3531</v>
      </c>
      <c r="B6861" s="8" t="s">
        <v>654</v>
      </c>
      <c r="C6861" s="8" t="s">
        <v>5667</v>
      </c>
      <c r="D6861" s="8" t="s">
        <v>44</v>
      </c>
      <c r="E6861" s="8" t="s">
        <v>5380</v>
      </c>
      <c r="F6861" s="8">
        <v>7.488316211E9</v>
      </c>
    </row>
    <row r="6862" ht="15.75" customHeight="1">
      <c r="A6862" s="8" t="s">
        <v>5668</v>
      </c>
      <c r="B6862" s="8" t="s">
        <v>5669</v>
      </c>
      <c r="C6862" s="8" t="s">
        <v>5670</v>
      </c>
      <c r="D6862" s="8" t="s">
        <v>14</v>
      </c>
      <c r="E6862" s="8" t="s">
        <v>4276</v>
      </c>
      <c r="F6862" s="8">
        <v>7.799320786E9</v>
      </c>
    </row>
    <row r="6863" ht="15.75" customHeight="1">
      <c r="A6863" s="8" t="s">
        <v>5671</v>
      </c>
      <c r="B6863" s="8" t="s">
        <v>3547</v>
      </c>
      <c r="C6863" s="8" t="s">
        <v>5672</v>
      </c>
      <c r="D6863" s="8" t="s">
        <v>1108</v>
      </c>
      <c r="E6863" s="8" t="s">
        <v>2025</v>
      </c>
      <c r="F6863" s="8">
        <v>9.953636121E9</v>
      </c>
    </row>
    <row r="6864" ht="15.75" customHeight="1">
      <c r="A6864" s="8" t="s">
        <v>1700</v>
      </c>
      <c r="B6864" s="8" t="s">
        <v>65</v>
      </c>
      <c r="C6864" s="8" t="s">
        <v>5673</v>
      </c>
      <c r="D6864" s="8" t="s">
        <v>1108</v>
      </c>
      <c r="E6864" s="8" t="s">
        <v>5211</v>
      </c>
      <c r="F6864" s="8">
        <v>8.285832425E9</v>
      </c>
    </row>
    <row r="6865" ht="15.75" customHeight="1">
      <c r="A6865" s="8" t="s">
        <v>5674</v>
      </c>
      <c r="B6865" s="8" t="s">
        <v>212</v>
      </c>
      <c r="C6865" s="8" t="s">
        <v>5675</v>
      </c>
      <c r="D6865" s="8" t="s">
        <v>44</v>
      </c>
      <c r="E6865" s="8" t="s">
        <v>5676</v>
      </c>
      <c r="F6865" s="8">
        <v>8.904312881E9</v>
      </c>
    </row>
    <row r="6866" ht="15.75" customHeight="1">
      <c r="A6866" s="8" t="s">
        <v>5678</v>
      </c>
      <c r="B6866" s="8" t="s">
        <v>5679</v>
      </c>
      <c r="C6866" s="8" t="s">
        <v>5680</v>
      </c>
      <c r="D6866" s="8" t="s">
        <v>9</v>
      </c>
      <c r="E6866" s="8" t="s">
        <v>5109</v>
      </c>
      <c r="F6866" s="8">
        <v>9.958219603E9</v>
      </c>
    </row>
    <row r="6867" ht="15.75" customHeight="1">
      <c r="A6867" s="8" t="s">
        <v>5682</v>
      </c>
      <c r="B6867" s="8" t="s">
        <v>108</v>
      </c>
      <c r="C6867" s="8" t="s">
        <v>3790</v>
      </c>
      <c r="D6867" s="8" t="s">
        <v>9</v>
      </c>
      <c r="E6867" s="8" t="s">
        <v>5242</v>
      </c>
      <c r="F6867" s="8">
        <v>7.01702563E9</v>
      </c>
    </row>
    <row r="6868" ht="15.75" customHeight="1">
      <c r="A6868" s="8" t="s">
        <v>146</v>
      </c>
      <c r="B6868" s="8" t="s">
        <v>108</v>
      </c>
      <c r="C6868" s="8" t="s">
        <v>4218</v>
      </c>
      <c r="D6868" s="8" t="s">
        <v>9</v>
      </c>
      <c r="E6868" s="8" t="s">
        <v>494</v>
      </c>
      <c r="F6868" s="8">
        <v>8.447085934E9</v>
      </c>
    </row>
    <row r="6869" ht="15.75" customHeight="1">
      <c r="A6869" s="8" t="s">
        <v>3200</v>
      </c>
      <c r="B6869" s="8" t="s">
        <v>1587</v>
      </c>
      <c r="C6869" s="8" t="s">
        <v>5683</v>
      </c>
      <c r="D6869" s="8" t="s">
        <v>26</v>
      </c>
      <c r="E6869" s="8" t="s">
        <v>5684</v>
      </c>
      <c r="F6869" s="8">
        <v>9.602483256E9</v>
      </c>
    </row>
    <row r="6870" ht="15.75" customHeight="1">
      <c r="A6870" s="8" t="s">
        <v>1394</v>
      </c>
      <c r="B6870" s="8" t="s">
        <v>1290</v>
      </c>
      <c r="C6870" s="8" t="s">
        <v>4483</v>
      </c>
      <c r="D6870" s="8" t="s">
        <v>9</v>
      </c>
      <c r="E6870" s="8" t="s">
        <v>2025</v>
      </c>
      <c r="F6870" s="8">
        <v>8.826479659E9</v>
      </c>
    </row>
    <row r="6871" ht="15.75" customHeight="1">
      <c r="A6871" s="8" t="s">
        <v>5685</v>
      </c>
      <c r="B6871" s="8" t="s">
        <v>119</v>
      </c>
      <c r="C6871" s="8" t="s">
        <v>5686</v>
      </c>
      <c r="D6871" s="8" t="s">
        <v>29</v>
      </c>
      <c r="E6871" s="8" t="s">
        <v>15</v>
      </c>
      <c r="F6871" s="8">
        <v>8.788335829E9</v>
      </c>
    </row>
    <row r="6872" ht="15.75" customHeight="1">
      <c r="A6872" s="8" t="s">
        <v>51</v>
      </c>
      <c r="B6872" s="8" t="s">
        <v>1172</v>
      </c>
      <c r="C6872" s="8" t="s">
        <v>5687</v>
      </c>
      <c r="D6872" s="8" t="s">
        <v>29</v>
      </c>
      <c r="E6872" s="8" t="s">
        <v>5688</v>
      </c>
      <c r="F6872" s="8">
        <v>9.593624782E9</v>
      </c>
    </row>
    <row r="6873" ht="15.75" customHeight="1">
      <c r="A6873" s="8" t="s">
        <v>5689</v>
      </c>
      <c r="B6873" s="8" t="s">
        <v>5690</v>
      </c>
      <c r="C6873" s="8" t="s">
        <v>5691</v>
      </c>
      <c r="D6873" s="8" t="s">
        <v>9</v>
      </c>
      <c r="E6873" s="8" t="s">
        <v>1102</v>
      </c>
      <c r="F6873" s="8">
        <f>+919315165197</f>
        <v>919315165197</v>
      </c>
    </row>
    <row r="6874" ht="15.75" customHeight="1">
      <c r="A6874" s="8" t="s">
        <v>5692</v>
      </c>
      <c r="B6874" s="8" t="s">
        <v>5693</v>
      </c>
      <c r="C6874" s="8" t="s">
        <v>5694</v>
      </c>
      <c r="D6874" s="8" t="s">
        <v>56</v>
      </c>
      <c r="E6874" s="8" t="s">
        <v>5695</v>
      </c>
      <c r="F6874" s="8">
        <v>7.676866693E9</v>
      </c>
    </row>
    <row r="6875" ht="15.75" customHeight="1">
      <c r="A6875" s="8" t="s">
        <v>5696</v>
      </c>
      <c r="B6875" s="8" t="s">
        <v>1658</v>
      </c>
      <c r="C6875" s="8" t="s">
        <v>5697</v>
      </c>
      <c r="D6875" s="8" t="s">
        <v>44</v>
      </c>
      <c r="E6875" s="8" t="s">
        <v>2025</v>
      </c>
      <c r="F6875" s="8">
        <v>8.383861596E9</v>
      </c>
    </row>
    <row r="6876" ht="15.75" customHeight="1">
      <c r="A6876" s="8" t="s">
        <v>5503</v>
      </c>
      <c r="B6876" s="8" t="s">
        <v>5504</v>
      </c>
      <c r="C6876" s="8" t="s">
        <v>5699</v>
      </c>
      <c r="D6876" s="8" t="s">
        <v>9</v>
      </c>
      <c r="E6876" s="8" t="s">
        <v>5242</v>
      </c>
      <c r="F6876" s="8">
        <v>9.956059333E9</v>
      </c>
    </row>
    <row r="6877" ht="15.75" customHeight="1">
      <c r="A6877" s="8" t="s">
        <v>1889</v>
      </c>
      <c r="B6877" s="8" t="s">
        <v>1407</v>
      </c>
      <c r="C6877" s="8" t="s">
        <v>5505</v>
      </c>
      <c r="D6877" s="8" t="s">
        <v>9</v>
      </c>
      <c r="E6877" s="8" t="s">
        <v>5242</v>
      </c>
      <c r="F6877" s="8">
        <v>7.017920223E9</v>
      </c>
    </row>
    <row r="6878" ht="15.75" customHeight="1">
      <c r="A6878" s="8" t="s">
        <v>1435</v>
      </c>
      <c r="B6878" s="8" t="s">
        <v>5700</v>
      </c>
      <c r="C6878" s="8" t="s">
        <v>5701</v>
      </c>
      <c r="D6878" s="8" t="s">
        <v>9</v>
      </c>
      <c r="E6878" s="8" t="s">
        <v>5702</v>
      </c>
      <c r="F6878" s="8">
        <v>8.70830656E9</v>
      </c>
    </row>
    <row r="6879" ht="15.75" customHeight="1">
      <c r="A6879" s="8" t="s">
        <v>3575</v>
      </c>
      <c r="B6879" s="8" t="s">
        <v>1265</v>
      </c>
      <c r="C6879" s="8" t="s">
        <v>5704</v>
      </c>
      <c r="D6879" s="8" t="s">
        <v>44</v>
      </c>
      <c r="E6879" s="8" t="s">
        <v>5666</v>
      </c>
      <c r="F6879" s="8">
        <v>9.891436263E9</v>
      </c>
    </row>
    <row r="6880" ht="15.75" customHeight="1">
      <c r="A6880" s="8" t="s">
        <v>5705</v>
      </c>
      <c r="B6880" s="8" t="s">
        <v>5706</v>
      </c>
      <c r="C6880" s="8" t="s">
        <v>5707</v>
      </c>
      <c r="D6880" s="8" t="s">
        <v>29</v>
      </c>
      <c r="E6880" s="8" t="s">
        <v>5708</v>
      </c>
      <c r="F6880" s="8">
        <v>7.001569636E9</v>
      </c>
    </row>
    <row r="6881" ht="15.75" customHeight="1">
      <c r="A6881" s="8" t="s">
        <v>5709</v>
      </c>
      <c r="B6881" s="8" t="s">
        <v>50</v>
      </c>
      <c r="C6881" s="8" t="s">
        <v>5710</v>
      </c>
      <c r="D6881" s="8" t="s">
        <v>29</v>
      </c>
      <c r="E6881" s="8" t="s">
        <v>5711</v>
      </c>
      <c r="F6881" s="8">
        <f>+97431559707</f>
        <v>97431559707</v>
      </c>
    </row>
    <row r="6882" ht="15.75" customHeight="1">
      <c r="A6882" s="8" t="s">
        <v>298</v>
      </c>
      <c r="B6882" s="8" t="s">
        <v>5712</v>
      </c>
      <c r="C6882" s="8" t="s">
        <v>5713</v>
      </c>
      <c r="D6882" s="8" t="s">
        <v>102</v>
      </c>
      <c r="E6882" s="8" t="s">
        <v>5714</v>
      </c>
      <c r="F6882" s="8">
        <v>8.708879754E9</v>
      </c>
    </row>
    <row r="6883" ht="15.75" customHeight="1">
      <c r="A6883" s="8" t="s">
        <v>5715</v>
      </c>
      <c r="B6883" s="8" t="s">
        <v>5716</v>
      </c>
      <c r="C6883" s="8" t="s">
        <v>5717</v>
      </c>
      <c r="D6883" s="8" t="s">
        <v>29</v>
      </c>
      <c r="E6883" s="8" t="s">
        <v>5718</v>
      </c>
      <c r="F6883" s="8" t="str">
        <f>+968 79556398</f>
        <v>#ERROR!</v>
      </c>
    </row>
    <row r="6884" ht="15.75" customHeight="1">
      <c r="A6884" s="8" t="s">
        <v>5719</v>
      </c>
      <c r="B6884" s="8" t="s">
        <v>153</v>
      </c>
      <c r="C6884" s="8" t="s">
        <v>5720</v>
      </c>
      <c r="D6884" s="8" t="s">
        <v>56</v>
      </c>
      <c r="E6884" s="8" t="s">
        <v>5721</v>
      </c>
      <c r="F6884" s="8">
        <v>9.643849009E9</v>
      </c>
    </row>
    <row r="6885" ht="15.75" customHeight="1">
      <c r="A6885" s="8" t="s">
        <v>1842</v>
      </c>
      <c r="B6885" s="8" t="s">
        <v>606</v>
      </c>
      <c r="C6885" s="8" t="s">
        <v>5201</v>
      </c>
      <c r="D6885" s="8" t="s">
        <v>26</v>
      </c>
      <c r="E6885" s="8" t="s">
        <v>5722</v>
      </c>
      <c r="F6885" s="8">
        <v>9.711627734E9</v>
      </c>
    </row>
    <row r="6886" ht="15.75" customHeight="1">
      <c r="A6886" s="8" t="s">
        <v>5723</v>
      </c>
      <c r="B6886" s="8" t="s">
        <v>4696</v>
      </c>
      <c r="C6886" s="8" t="s">
        <v>412</v>
      </c>
      <c r="D6886" s="8" t="s">
        <v>29</v>
      </c>
      <c r="E6886" s="8" t="s">
        <v>4587</v>
      </c>
      <c r="F6886" s="8">
        <v>7.000312527E9</v>
      </c>
    </row>
    <row r="6887" ht="15.75" customHeight="1">
      <c r="A6887" s="8" t="s">
        <v>5724</v>
      </c>
      <c r="B6887" s="8" t="s">
        <v>4401</v>
      </c>
      <c r="C6887" s="8" t="s">
        <v>5725</v>
      </c>
      <c r="D6887" s="8" t="s">
        <v>14</v>
      </c>
      <c r="E6887" s="8" t="s">
        <v>5666</v>
      </c>
      <c r="F6887" s="8">
        <v>9.718237381E9</v>
      </c>
    </row>
    <row r="6888" ht="15.75" customHeight="1">
      <c r="A6888" s="8" t="s">
        <v>5726</v>
      </c>
      <c r="B6888" s="8" t="s">
        <v>5727</v>
      </c>
      <c r="C6888" s="8" t="s">
        <v>4594</v>
      </c>
      <c r="D6888" s="8" t="s">
        <v>26</v>
      </c>
      <c r="E6888" s="8" t="s">
        <v>4385</v>
      </c>
      <c r="F6888" s="8">
        <v>6.36119613E9</v>
      </c>
    </row>
    <row r="6889" ht="15.75" customHeight="1">
      <c r="A6889" s="8" t="s">
        <v>5728</v>
      </c>
      <c r="B6889" s="8" t="s">
        <v>63</v>
      </c>
      <c r="C6889" s="8" t="s">
        <v>5729</v>
      </c>
      <c r="D6889" s="8" t="s">
        <v>9</v>
      </c>
      <c r="E6889" s="8" t="s">
        <v>5452</v>
      </c>
      <c r="F6889" s="8">
        <v>8.360983545E9</v>
      </c>
    </row>
    <row r="6890" ht="15.75" customHeight="1">
      <c r="A6890" s="8" t="s">
        <v>3302</v>
      </c>
      <c r="B6890" s="8" t="s">
        <v>5313</v>
      </c>
      <c r="C6890" s="8" t="s">
        <v>5730</v>
      </c>
      <c r="D6890" s="8" t="s">
        <v>9</v>
      </c>
      <c r="E6890" s="8" t="s">
        <v>494</v>
      </c>
      <c r="F6890" s="8">
        <v>9.35482323E9</v>
      </c>
    </row>
    <row r="6891" ht="15.75" customHeight="1">
      <c r="A6891" s="8" t="s">
        <v>5731</v>
      </c>
      <c r="B6891" s="8" t="s">
        <v>1702</v>
      </c>
      <c r="C6891" s="8" t="s">
        <v>5732</v>
      </c>
      <c r="D6891" s="8" t="s">
        <v>14</v>
      </c>
      <c r="E6891" s="8" t="s">
        <v>5733</v>
      </c>
      <c r="F6891" s="8">
        <v>7.827026383E9</v>
      </c>
    </row>
    <row r="6892" ht="15.75" customHeight="1">
      <c r="A6892" s="8" t="s">
        <v>5734</v>
      </c>
      <c r="B6892" s="8" t="s">
        <v>5735</v>
      </c>
      <c r="C6892" s="8" t="s">
        <v>5736</v>
      </c>
      <c r="D6892" s="8" t="s">
        <v>44</v>
      </c>
      <c r="E6892" s="8" t="s">
        <v>5737</v>
      </c>
      <c r="F6892" s="8">
        <v>9.31983698E9</v>
      </c>
    </row>
    <row r="6893" ht="15.75" customHeight="1">
      <c r="A6893" s="8" t="s">
        <v>5738</v>
      </c>
      <c r="B6893" s="8" t="s">
        <v>4921</v>
      </c>
      <c r="C6893" s="8" t="s">
        <v>5739</v>
      </c>
      <c r="D6893" s="8" t="s">
        <v>1108</v>
      </c>
      <c r="E6893" s="8" t="s">
        <v>5740</v>
      </c>
      <c r="F6893" s="8">
        <v>9.599560927E9</v>
      </c>
    </row>
    <row r="6894" ht="15.75" customHeight="1">
      <c r="A6894" s="8" t="s">
        <v>5741</v>
      </c>
      <c r="B6894" s="8" t="s">
        <v>654</v>
      </c>
      <c r="C6894" s="8" t="s">
        <v>5742</v>
      </c>
      <c r="D6894" s="8" t="s">
        <v>44</v>
      </c>
      <c r="E6894" s="8" t="s">
        <v>5743</v>
      </c>
      <c r="F6894" s="8">
        <v>9.871287914E9</v>
      </c>
    </row>
    <row r="6895" ht="15.75" customHeight="1">
      <c r="A6895" s="8" t="s">
        <v>80</v>
      </c>
      <c r="B6895" s="8" t="s">
        <v>5744</v>
      </c>
      <c r="C6895" s="8" t="s">
        <v>5745</v>
      </c>
      <c r="D6895" s="8" t="s">
        <v>44</v>
      </c>
      <c r="E6895" s="8" t="s">
        <v>5708</v>
      </c>
      <c r="F6895" s="8">
        <v>8.597386838E9</v>
      </c>
    </row>
    <row r="6896" ht="15.75" customHeight="1">
      <c r="A6896" s="8" t="s">
        <v>1590</v>
      </c>
      <c r="B6896" s="8" t="s">
        <v>50</v>
      </c>
      <c r="C6896" s="8" t="s">
        <v>5749</v>
      </c>
      <c r="D6896" s="8" t="s">
        <v>26</v>
      </c>
      <c r="E6896" s="8" t="s">
        <v>5750</v>
      </c>
      <c r="F6896" s="8">
        <v>7.988756869E9</v>
      </c>
    </row>
    <row r="6897" ht="15.75" customHeight="1">
      <c r="A6897" s="8" t="s">
        <v>5751</v>
      </c>
      <c r="B6897" s="8" t="s">
        <v>65</v>
      </c>
      <c r="C6897" s="8" t="s">
        <v>5752</v>
      </c>
      <c r="D6897" s="8" t="s">
        <v>102</v>
      </c>
      <c r="E6897" s="8" t="s">
        <v>5684</v>
      </c>
      <c r="F6897" s="8" t="s">
        <v>5753</v>
      </c>
    </row>
    <row r="6898" ht="15.75" customHeight="1">
      <c r="A6898" s="8" t="s">
        <v>121</v>
      </c>
      <c r="B6898" s="8" t="s">
        <v>5754</v>
      </c>
      <c r="C6898" s="8" t="s">
        <v>5755</v>
      </c>
      <c r="D6898" s="8" t="s">
        <v>56</v>
      </c>
      <c r="E6898" s="8" t="s">
        <v>2579</v>
      </c>
      <c r="F6898" s="8">
        <v>8.05965475E9</v>
      </c>
    </row>
    <row r="6899" ht="15.75" customHeight="1">
      <c r="A6899" s="8" t="s">
        <v>5756</v>
      </c>
      <c r="B6899" s="8" t="s">
        <v>5757</v>
      </c>
      <c r="C6899" s="8" t="s">
        <v>5758</v>
      </c>
      <c r="D6899" s="8" t="s">
        <v>56</v>
      </c>
      <c r="E6899" s="8" t="s">
        <v>5759</v>
      </c>
      <c r="F6899" s="8">
        <v>9.220774094E9</v>
      </c>
    </row>
    <row r="6900" ht="15.75" customHeight="1">
      <c r="A6900" s="8" t="s">
        <v>5760</v>
      </c>
      <c r="B6900" s="8" t="s">
        <v>3547</v>
      </c>
      <c r="C6900" s="8" t="s">
        <v>5761</v>
      </c>
      <c r="D6900" s="8" t="s">
        <v>29</v>
      </c>
      <c r="E6900" s="8" t="s">
        <v>5762</v>
      </c>
      <c r="F6900" s="8">
        <v>9.877412074E9</v>
      </c>
    </row>
    <row r="6901" ht="15.75" customHeight="1">
      <c r="A6901" s="8" t="s">
        <v>5763</v>
      </c>
      <c r="B6901" s="8" t="s">
        <v>5764</v>
      </c>
      <c r="C6901" s="8" t="s">
        <v>5761</v>
      </c>
      <c r="D6901" s="8" t="s">
        <v>29</v>
      </c>
      <c r="E6901" s="8" t="s">
        <v>5762</v>
      </c>
      <c r="F6901" s="8">
        <v>8.283086881E9</v>
      </c>
    </row>
    <row r="6902" ht="15.75" customHeight="1">
      <c r="A6902" s="8" t="s">
        <v>2331</v>
      </c>
      <c r="B6902" s="8" t="s">
        <v>4401</v>
      </c>
      <c r="C6902" s="8" t="s">
        <v>5773</v>
      </c>
      <c r="D6902" s="8" t="s">
        <v>9</v>
      </c>
      <c r="E6902" s="8" t="s">
        <v>4656</v>
      </c>
      <c r="F6902" s="8">
        <v>7.602322283E9</v>
      </c>
    </row>
    <row r="6903" ht="15.75" customHeight="1">
      <c r="A6903" s="8" t="s">
        <v>3653</v>
      </c>
      <c r="B6903" s="8" t="s">
        <v>5774</v>
      </c>
      <c r="C6903" s="8" t="s">
        <v>5775</v>
      </c>
      <c r="D6903" s="8" t="s">
        <v>9</v>
      </c>
      <c r="E6903" s="8" t="s">
        <v>4656</v>
      </c>
      <c r="F6903" s="8">
        <v>9.800470438E9</v>
      </c>
    </row>
    <row r="6904" ht="15.75" customHeight="1">
      <c r="A6904" s="8" t="s">
        <v>94</v>
      </c>
      <c r="B6904" s="8" t="s">
        <v>5690</v>
      </c>
      <c r="C6904" s="8" t="s">
        <v>5776</v>
      </c>
      <c r="D6904" s="8" t="s">
        <v>1108</v>
      </c>
      <c r="E6904" s="8" t="s">
        <v>5777</v>
      </c>
      <c r="F6904" s="8">
        <v>9.254710727E9</v>
      </c>
    </row>
    <row r="6905" ht="15.75" customHeight="1">
      <c r="A6905" s="8" t="s">
        <v>5778</v>
      </c>
      <c r="B6905" s="8" t="s">
        <v>603</v>
      </c>
      <c r="C6905" s="8" t="s">
        <v>5779</v>
      </c>
      <c r="D6905" s="8" t="s">
        <v>9</v>
      </c>
      <c r="E6905" s="8" t="s">
        <v>5780</v>
      </c>
      <c r="F6905" s="8">
        <v>9.832295777E9</v>
      </c>
    </row>
    <row r="6906" ht="15.75" customHeight="1">
      <c r="A6906" s="8" t="s">
        <v>5781</v>
      </c>
      <c r="B6906" s="8" t="s">
        <v>5782</v>
      </c>
      <c r="C6906" s="8" t="s">
        <v>5783</v>
      </c>
      <c r="D6906" s="8" t="s">
        <v>9</v>
      </c>
      <c r="E6906" s="8" t="s">
        <v>4484</v>
      </c>
      <c r="F6906" s="8">
        <v>9.599241918E9</v>
      </c>
    </row>
    <row r="6907" ht="15.75" customHeight="1">
      <c r="A6907" s="8" t="s">
        <v>5784</v>
      </c>
      <c r="B6907" s="8" t="s">
        <v>5785</v>
      </c>
      <c r="C6907" s="8" t="s">
        <v>5623</v>
      </c>
      <c r="D6907" s="8" t="s">
        <v>9</v>
      </c>
      <c r="E6907" s="8" t="s">
        <v>4656</v>
      </c>
      <c r="F6907" s="8">
        <v>8.637862325E9</v>
      </c>
    </row>
    <row r="6908" ht="15.75" customHeight="1">
      <c r="A6908" s="8" t="s">
        <v>2709</v>
      </c>
      <c r="B6908" s="8" t="s">
        <v>5786</v>
      </c>
      <c r="C6908" s="8" t="s">
        <v>5787</v>
      </c>
      <c r="D6908" s="8" t="s">
        <v>44</v>
      </c>
      <c r="E6908" s="8" t="s">
        <v>5788</v>
      </c>
      <c r="F6908" s="8">
        <v>9.447363445E9</v>
      </c>
    </row>
    <row r="6909" ht="15.75" customHeight="1">
      <c r="A6909" s="8" t="s">
        <v>5789</v>
      </c>
      <c r="B6909" s="8" t="s">
        <v>1672</v>
      </c>
      <c r="C6909" s="8" t="s">
        <v>5790</v>
      </c>
      <c r="D6909" s="8" t="s">
        <v>29</v>
      </c>
      <c r="E6909" s="8" t="s">
        <v>4587</v>
      </c>
      <c r="F6909" s="8">
        <v>9.10939146E9</v>
      </c>
    </row>
    <row r="6910" ht="15.75" customHeight="1">
      <c r="A6910" s="8" t="s">
        <v>764</v>
      </c>
      <c r="B6910" s="8" t="s">
        <v>65</v>
      </c>
      <c r="C6910" s="8" t="s">
        <v>5014</v>
      </c>
      <c r="D6910" s="8" t="s">
        <v>9</v>
      </c>
      <c r="E6910" s="8" t="s">
        <v>5791</v>
      </c>
      <c r="F6910" s="8">
        <v>9.306365056E9</v>
      </c>
    </row>
    <row r="6911" ht="15.75" customHeight="1">
      <c r="A6911" s="8" t="s">
        <v>5792</v>
      </c>
      <c r="B6911" s="8" t="s">
        <v>5793</v>
      </c>
      <c r="C6911" s="8" t="s">
        <v>5794</v>
      </c>
      <c r="D6911" s="8" t="s">
        <v>29</v>
      </c>
      <c r="E6911" s="8" t="s">
        <v>5795</v>
      </c>
      <c r="F6911" s="8">
        <v>8.269833239E9</v>
      </c>
    </row>
    <row r="6912" ht="15.75" customHeight="1">
      <c r="A6912" s="8" t="s">
        <v>1683</v>
      </c>
      <c r="B6912" s="8" t="s">
        <v>382</v>
      </c>
      <c r="C6912" s="8" t="s">
        <v>5707</v>
      </c>
      <c r="D6912" s="8" t="s">
        <v>102</v>
      </c>
      <c r="E6912" s="8" t="s">
        <v>5688</v>
      </c>
      <c r="F6912" s="8">
        <v>7.602111774E9</v>
      </c>
    </row>
    <row r="6913" ht="15.75" customHeight="1">
      <c r="A6913" s="8" t="s">
        <v>5796</v>
      </c>
      <c r="B6913" s="8" t="s">
        <v>5797</v>
      </c>
      <c r="C6913" s="8" t="s">
        <v>5798</v>
      </c>
      <c r="D6913" s="8" t="s">
        <v>9</v>
      </c>
      <c r="E6913" s="8" t="s">
        <v>494</v>
      </c>
      <c r="F6913" s="8">
        <v>9.555641727E9</v>
      </c>
    </row>
    <row r="6914" ht="15.75" customHeight="1">
      <c r="A6914" s="8" t="s">
        <v>5799</v>
      </c>
      <c r="B6914" s="8" t="s">
        <v>5800</v>
      </c>
      <c r="C6914" s="8" t="s">
        <v>4973</v>
      </c>
      <c r="D6914" s="8" t="s">
        <v>56</v>
      </c>
      <c r="E6914" s="8" t="s">
        <v>421</v>
      </c>
      <c r="F6914" s="8">
        <v>8.675323232E9</v>
      </c>
    </row>
    <row r="6915" ht="15.75" customHeight="1">
      <c r="A6915" s="8" t="s">
        <v>40</v>
      </c>
      <c r="B6915" s="8" t="s">
        <v>5801</v>
      </c>
      <c r="C6915" s="8" t="s">
        <v>5802</v>
      </c>
      <c r="D6915" s="8" t="s">
        <v>56</v>
      </c>
      <c r="E6915" s="8" t="s">
        <v>421</v>
      </c>
      <c r="F6915" s="8">
        <v>6.385277969E9</v>
      </c>
    </row>
    <row r="6916" ht="15.75" customHeight="1">
      <c r="A6916" s="8" t="s">
        <v>5803</v>
      </c>
      <c r="B6916" s="8" t="s">
        <v>5804</v>
      </c>
      <c r="C6916" s="8" t="s">
        <v>4480</v>
      </c>
      <c r="D6916" s="8" t="s">
        <v>9</v>
      </c>
      <c r="E6916" s="8" t="s">
        <v>4481</v>
      </c>
      <c r="F6916" s="8">
        <v>8.086767779E9</v>
      </c>
    </row>
    <row r="6917" ht="15.75" customHeight="1">
      <c r="A6917" s="8" t="s">
        <v>463</v>
      </c>
      <c r="B6917" s="8" t="s">
        <v>108</v>
      </c>
      <c r="C6917" s="8" t="s">
        <v>5805</v>
      </c>
      <c r="D6917" s="8" t="s">
        <v>56</v>
      </c>
      <c r="E6917" s="8" t="s">
        <v>2025</v>
      </c>
      <c r="F6917" s="8">
        <v>9.650722255E9</v>
      </c>
    </row>
    <row r="6918" ht="15.75" customHeight="1">
      <c r="A6918" s="8" t="s">
        <v>5806</v>
      </c>
      <c r="B6918" s="8" t="s">
        <v>5807</v>
      </c>
      <c r="C6918" s="8" t="s">
        <v>5808</v>
      </c>
      <c r="D6918" s="8" t="s">
        <v>26</v>
      </c>
      <c r="E6918" s="8" t="s">
        <v>5809</v>
      </c>
      <c r="F6918" s="8">
        <v>9.894597757E9</v>
      </c>
    </row>
    <row r="6919" ht="15.75" customHeight="1">
      <c r="A6919" s="8" t="s">
        <v>5811</v>
      </c>
      <c r="B6919" s="8" t="s">
        <v>65</v>
      </c>
      <c r="C6919" s="8" t="s">
        <v>106</v>
      </c>
      <c r="D6919" s="8" t="s">
        <v>56</v>
      </c>
      <c r="E6919" s="8" t="s">
        <v>1102</v>
      </c>
      <c r="F6919" s="8">
        <v>9.212431494E9</v>
      </c>
    </row>
    <row r="6920" ht="15.75" customHeight="1">
      <c r="A6920" s="8" t="s">
        <v>5812</v>
      </c>
      <c r="B6920" s="8" t="s">
        <v>5813</v>
      </c>
      <c r="C6920" s="8" t="s">
        <v>5814</v>
      </c>
      <c r="D6920" s="8" t="s">
        <v>14</v>
      </c>
      <c r="E6920" s="8" t="s">
        <v>494</v>
      </c>
      <c r="F6920" s="8">
        <v>7.838522107E9</v>
      </c>
    </row>
    <row r="6921" ht="15.75" customHeight="1">
      <c r="A6921" s="8" t="s">
        <v>5815</v>
      </c>
      <c r="B6921" s="8" t="s">
        <v>5816</v>
      </c>
      <c r="C6921" s="8" t="s">
        <v>5817</v>
      </c>
      <c r="D6921" s="8" t="s">
        <v>9</v>
      </c>
      <c r="E6921" s="8" t="s">
        <v>5818</v>
      </c>
      <c r="F6921" s="8">
        <v>8.886935561E9</v>
      </c>
    </row>
    <row r="6922" ht="15.75" customHeight="1">
      <c r="A6922" s="8" t="s">
        <v>5819</v>
      </c>
      <c r="B6922" s="8" t="s">
        <v>606</v>
      </c>
      <c r="C6922" s="8" t="s">
        <v>5805</v>
      </c>
      <c r="D6922" s="8" t="s">
        <v>56</v>
      </c>
      <c r="E6922" s="8" t="s">
        <v>2025</v>
      </c>
      <c r="F6922" s="8">
        <v>9.999518171E9</v>
      </c>
    </row>
    <row r="6923" ht="15.75" customHeight="1">
      <c r="A6923" s="8" t="s">
        <v>5820</v>
      </c>
      <c r="B6923" s="8" t="s">
        <v>5821</v>
      </c>
      <c r="C6923" s="8" t="s">
        <v>5822</v>
      </c>
      <c r="D6923" s="8" t="s">
        <v>9</v>
      </c>
      <c r="E6923" s="8" t="s">
        <v>5823</v>
      </c>
      <c r="F6923" s="8">
        <v>8.595615715E9</v>
      </c>
    </row>
    <row r="6924" ht="15.75" customHeight="1">
      <c r="A6924" s="8" t="s">
        <v>5824</v>
      </c>
      <c r="B6924" s="8" t="s">
        <v>2436</v>
      </c>
      <c r="C6924" s="8" t="s">
        <v>5825</v>
      </c>
      <c r="D6924" s="8" t="s">
        <v>44</v>
      </c>
      <c r="E6924" s="8" t="s">
        <v>5826</v>
      </c>
      <c r="F6924" s="8">
        <v>8.714820752E9</v>
      </c>
    </row>
    <row r="6925" ht="15.75" customHeight="1">
      <c r="A6925" s="8" t="s">
        <v>141</v>
      </c>
      <c r="B6925" s="8" t="s">
        <v>5827</v>
      </c>
      <c r="C6925" s="8" t="s">
        <v>5828</v>
      </c>
      <c r="D6925" s="8" t="s">
        <v>44</v>
      </c>
      <c r="E6925" s="8" t="s">
        <v>5708</v>
      </c>
      <c r="F6925" s="8">
        <v>9.434305524E9</v>
      </c>
    </row>
    <row r="6926" ht="15.75" customHeight="1">
      <c r="A6926" s="8" t="s">
        <v>5829</v>
      </c>
      <c r="B6926" s="8" t="s">
        <v>225</v>
      </c>
      <c r="C6926" s="8" t="s">
        <v>3790</v>
      </c>
      <c r="D6926" s="8" t="s">
        <v>14</v>
      </c>
      <c r="E6926" s="8" t="s">
        <v>4587</v>
      </c>
      <c r="F6926" s="8">
        <v>9.340816942E9</v>
      </c>
    </row>
    <row r="6927" ht="15.75" customHeight="1">
      <c r="A6927" s="8" t="s">
        <v>1700</v>
      </c>
      <c r="B6927" s="8" t="s">
        <v>5830</v>
      </c>
      <c r="C6927" s="8" t="s">
        <v>412</v>
      </c>
      <c r="D6927" s="8" t="s">
        <v>9</v>
      </c>
      <c r="E6927" s="8" t="s">
        <v>4587</v>
      </c>
      <c r="F6927" s="8">
        <v>9.584344797E9</v>
      </c>
    </row>
    <row r="6928" ht="15.75" customHeight="1">
      <c r="A6928" s="8" t="s">
        <v>5831</v>
      </c>
      <c r="B6928" s="8" t="s">
        <v>5832</v>
      </c>
      <c r="C6928" s="8" t="s">
        <v>576</v>
      </c>
      <c r="D6928" s="8" t="s">
        <v>26</v>
      </c>
      <c r="E6928" s="8" t="s">
        <v>4587</v>
      </c>
      <c r="F6928" s="8">
        <v>8.349045386E9</v>
      </c>
    </row>
    <row r="6929" ht="15.75" customHeight="1">
      <c r="A6929" s="8" t="s">
        <v>5833</v>
      </c>
      <c r="B6929" s="8" t="s">
        <v>5834</v>
      </c>
      <c r="C6929" s="8" t="s">
        <v>106</v>
      </c>
      <c r="D6929" s="8" t="s">
        <v>102</v>
      </c>
      <c r="E6929" s="8" t="s">
        <v>5087</v>
      </c>
      <c r="F6929" s="8">
        <v>9.88334329E9</v>
      </c>
    </row>
    <row r="6930" ht="15.75" customHeight="1">
      <c r="A6930" s="8" t="s">
        <v>5835</v>
      </c>
      <c r="B6930" s="8" t="s">
        <v>112</v>
      </c>
      <c r="C6930" s="8" t="s">
        <v>5836</v>
      </c>
      <c r="D6930" s="8" t="s">
        <v>9</v>
      </c>
      <c r="E6930" s="8" t="s">
        <v>5837</v>
      </c>
      <c r="F6930" s="8">
        <v>8.249723837E9</v>
      </c>
    </row>
    <row r="6931" ht="15.75" customHeight="1">
      <c r="A6931" s="8" t="s">
        <v>5838</v>
      </c>
      <c r="B6931" s="8" t="s">
        <v>4982</v>
      </c>
      <c r="C6931" s="8" t="s">
        <v>5707</v>
      </c>
      <c r="D6931" s="8" t="s">
        <v>9</v>
      </c>
      <c r="E6931" s="8" t="s">
        <v>5708</v>
      </c>
      <c r="F6931" s="8">
        <v>9.83219096E9</v>
      </c>
    </row>
    <row r="6932" ht="15.75" customHeight="1">
      <c r="A6932" s="8" t="s">
        <v>5839</v>
      </c>
      <c r="B6932" s="8" t="s">
        <v>4453</v>
      </c>
      <c r="C6932" s="8" t="s">
        <v>5840</v>
      </c>
      <c r="D6932" s="8" t="s">
        <v>26</v>
      </c>
      <c r="E6932" s="8" t="s">
        <v>5841</v>
      </c>
      <c r="F6932" s="8">
        <v>8.491866841E9</v>
      </c>
    </row>
    <row r="6933" ht="15.75" customHeight="1">
      <c r="A6933" s="8" t="s">
        <v>5842</v>
      </c>
      <c r="B6933" s="8" t="s">
        <v>5843</v>
      </c>
      <c r="C6933" s="8" t="s">
        <v>5798</v>
      </c>
      <c r="D6933" s="8" t="s">
        <v>26</v>
      </c>
      <c r="E6933" s="8" t="s">
        <v>494</v>
      </c>
      <c r="F6933" s="8">
        <v>9.91018893E9</v>
      </c>
    </row>
    <row r="6934" ht="15.75" customHeight="1">
      <c r="A6934" s="8" t="s">
        <v>5189</v>
      </c>
      <c r="B6934" s="8" t="s">
        <v>5844</v>
      </c>
      <c r="C6934" s="8" t="s">
        <v>5845</v>
      </c>
      <c r="D6934" s="8" t="s">
        <v>29</v>
      </c>
      <c r="E6934" s="8" t="s">
        <v>5711</v>
      </c>
      <c r="F6934" s="8">
        <v>7.034411308E9</v>
      </c>
    </row>
    <row r="6935" ht="15.75" customHeight="1">
      <c r="A6935" s="8" t="s">
        <v>5846</v>
      </c>
      <c r="B6935" s="8" t="s">
        <v>308</v>
      </c>
      <c r="C6935" s="8" t="s">
        <v>4275</v>
      </c>
      <c r="D6935" s="8" t="s">
        <v>29</v>
      </c>
      <c r="E6935" s="8" t="s">
        <v>5847</v>
      </c>
      <c r="F6935" s="8">
        <v>7.799551418E9</v>
      </c>
    </row>
    <row r="6936" ht="15.75" customHeight="1">
      <c r="A6936" s="8" t="s">
        <v>4614</v>
      </c>
      <c r="B6936" s="8" t="s">
        <v>5848</v>
      </c>
      <c r="C6936" s="8" t="s">
        <v>5849</v>
      </c>
      <c r="D6936" s="8" t="s">
        <v>56</v>
      </c>
      <c r="E6936" s="8" t="s">
        <v>1109</v>
      </c>
      <c r="F6936" s="8">
        <v>9.488828967E9</v>
      </c>
    </row>
    <row r="6937" ht="15.75" customHeight="1">
      <c r="A6937" s="8" t="s">
        <v>4846</v>
      </c>
      <c r="B6937" s="8" t="s">
        <v>1587</v>
      </c>
      <c r="C6937" s="8" t="s">
        <v>5850</v>
      </c>
      <c r="D6937" s="8" t="s">
        <v>44</v>
      </c>
      <c r="E6937" s="8" t="s">
        <v>5851</v>
      </c>
      <c r="F6937" s="8">
        <v>6.006529554E9</v>
      </c>
    </row>
    <row r="6938" ht="15.75" customHeight="1">
      <c r="A6938" s="8" t="s">
        <v>5852</v>
      </c>
      <c r="B6938" s="8" t="s">
        <v>5853</v>
      </c>
      <c r="C6938" s="8" t="s">
        <v>5387</v>
      </c>
      <c r="D6938" s="8" t="s">
        <v>56</v>
      </c>
      <c r="E6938" s="8" t="s">
        <v>5854</v>
      </c>
      <c r="F6938" s="8">
        <v>7.78086584E9</v>
      </c>
    </row>
    <row r="6939" ht="15.75" customHeight="1">
      <c r="A6939" s="8" t="s">
        <v>5855</v>
      </c>
      <c r="B6939" s="8" t="s">
        <v>5856</v>
      </c>
      <c r="C6939" s="8" t="s">
        <v>5857</v>
      </c>
      <c r="D6939" s="8" t="s">
        <v>14</v>
      </c>
      <c r="E6939" s="8" t="s">
        <v>421</v>
      </c>
      <c r="F6939" s="8">
        <v>9.994133341E9</v>
      </c>
    </row>
    <row r="6940" ht="15.75" customHeight="1">
      <c r="A6940" s="8" t="s">
        <v>5858</v>
      </c>
      <c r="B6940" s="8" t="s">
        <v>5859</v>
      </c>
      <c r="C6940" s="8" t="s">
        <v>5808</v>
      </c>
      <c r="D6940" s="8" t="s">
        <v>26</v>
      </c>
      <c r="E6940" s="8" t="s">
        <v>5860</v>
      </c>
      <c r="F6940" s="8">
        <f>+19944295884</f>
        <v>19944295884</v>
      </c>
    </row>
    <row r="6941" ht="15.75" customHeight="1">
      <c r="A6941" s="8" t="s">
        <v>5861</v>
      </c>
      <c r="B6941" s="8" t="s">
        <v>47</v>
      </c>
      <c r="C6941" s="8" t="s">
        <v>5862</v>
      </c>
      <c r="D6941" s="8" t="s">
        <v>56</v>
      </c>
      <c r="E6941" s="8" t="s">
        <v>1102</v>
      </c>
      <c r="F6941" s="8">
        <v>9.971006718E9</v>
      </c>
    </row>
    <row r="6942" ht="15.75" customHeight="1">
      <c r="A6942" s="8" t="s">
        <v>5863</v>
      </c>
      <c r="B6942" s="8" t="s">
        <v>3872</v>
      </c>
      <c r="C6942" s="8" t="s">
        <v>5864</v>
      </c>
      <c r="D6942" s="8" t="s">
        <v>44</v>
      </c>
      <c r="E6942" s="8" t="s">
        <v>4769</v>
      </c>
      <c r="F6942" s="8">
        <v>9.643789248E9</v>
      </c>
    </row>
    <row r="6943" ht="15.75" customHeight="1">
      <c r="A6943" s="8" t="s">
        <v>1440</v>
      </c>
      <c r="B6943" s="8" t="s">
        <v>5865</v>
      </c>
      <c r="C6943" s="8" t="s">
        <v>5866</v>
      </c>
      <c r="D6943" s="8" t="s">
        <v>44</v>
      </c>
      <c r="E6943" s="8" t="s">
        <v>5867</v>
      </c>
      <c r="F6943" s="8">
        <v>8.208261839E9</v>
      </c>
    </row>
    <row r="6944" ht="15.75" customHeight="1">
      <c r="A6944" s="8" t="s">
        <v>4087</v>
      </c>
      <c r="B6944" s="8" t="s">
        <v>1090</v>
      </c>
      <c r="C6944" s="8" t="s">
        <v>3790</v>
      </c>
      <c r="D6944" s="8" t="s">
        <v>44</v>
      </c>
      <c r="E6944" s="8" t="s">
        <v>5868</v>
      </c>
      <c r="F6944" s="8">
        <f>+919760112500</f>
        <v>919760112500</v>
      </c>
    </row>
    <row r="6945" ht="15.75" customHeight="1">
      <c r="A6945" s="8" t="s">
        <v>1079</v>
      </c>
      <c r="B6945" s="8" t="s">
        <v>4342</v>
      </c>
      <c r="C6945" s="8" t="s">
        <v>5869</v>
      </c>
      <c r="D6945" s="8" t="s">
        <v>9</v>
      </c>
      <c r="E6945" s="8" t="s">
        <v>5870</v>
      </c>
      <c r="F6945" s="8">
        <v>6.296968546E9</v>
      </c>
    </row>
    <row r="6946" ht="15.75" customHeight="1">
      <c r="A6946" s="8" t="s">
        <v>5871</v>
      </c>
      <c r="B6946" s="8" t="s">
        <v>5872</v>
      </c>
      <c r="C6946" s="8" t="s">
        <v>5873</v>
      </c>
      <c r="D6946" s="8" t="s">
        <v>26</v>
      </c>
      <c r="E6946" s="8" t="s">
        <v>494</v>
      </c>
      <c r="F6946" s="8">
        <v>9.971634558E9</v>
      </c>
    </row>
    <row r="6947" ht="15.75" customHeight="1">
      <c r="A6947" s="8" t="s">
        <v>5874</v>
      </c>
      <c r="B6947" s="8" t="s">
        <v>214</v>
      </c>
      <c r="C6947" s="8" t="s">
        <v>5875</v>
      </c>
      <c r="D6947" s="8" t="s">
        <v>56</v>
      </c>
      <c r="E6947" s="8" t="s">
        <v>5867</v>
      </c>
      <c r="F6947" s="8">
        <v>9.730754563E9</v>
      </c>
    </row>
    <row r="6948" ht="15.75" customHeight="1">
      <c r="A6948" s="8" t="s">
        <v>5876</v>
      </c>
      <c r="B6948" s="8" t="s">
        <v>119</v>
      </c>
      <c r="C6948" s="8" t="s">
        <v>5877</v>
      </c>
      <c r="D6948" s="8" t="s">
        <v>26</v>
      </c>
      <c r="E6948" s="8" t="s">
        <v>5878</v>
      </c>
      <c r="F6948" s="8">
        <v>7.987515478E9</v>
      </c>
    </row>
    <row r="6949" ht="15.75" customHeight="1">
      <c r="A6949" s="8" t="s">
        <v>2605</v>
      </c>
      <c r="B6949" s="8" t="s">
        <v>483</v>
      </c>
      <c r="C6949" s="8" t="s">
        <v>5883</v>
      </c>
      <c r="D6949" s="8" t="s">
        <v>1108</v>
      </c>
      <c r="E6949" s="8" t="s">
        <v>5868</v>
      </c>
      <c r="F6949" s="8">
        <v>8.755647203E9</v>
      </c>
    </row>
    <row r="6950" ht="15.75" customHeight="1">
      <c r="A6950" s="8" t="s">
        <v>5884</v>
      </c>
      <c r="B6950" s="8" t="s">
        <v>5884</v>
      </c>
      <c r="C6950" s="8" t="s">
        <v>5885</v>
      </c>
      <c r="D6950" s="8" t="s">
        <v>1108</v>
      </c>
      <c r="E6950" s="8" t="s">
        <v>5851</v>
      </c>
      <c r="F6950" s="8">
        <v>7.298205701E9</v>
      </c>
    </row>
    <row r="6951" ht="15.75" customHeight="1">
      <c r="A6951" s="8" t="s">
        <v>5886</v>
      </c>
      <c r="B6951" s="8" t="s">
        <v>5887</v>
      </c>
      <c r="C6951" s="8" t="s">
        <v>5888</v>
      </c>
      <c r="D6951" s="8" t="s">
        <v>44</v>
      </c>
      <c r="E6951" s="8" t="s">
        <v>4865</v>
      </c>
      <c r="F6951" s="8">
        <v>7.624964194E9</v>
      </c>
    </row>
    <row r="6952" ht="15.75" customHeight="1">
      <c r="A6952" s="8" t="s">
        <v>1092</v>
      </c>
      <c r="B6952" s="8" t="s">
        <v>5889</v>
      </c>
      <c r="C6952" s="8" t="s">
        <v>5890</v>
      </c>
      <c r="D6952" s="8" t="s">
        <v>1108</v>
      </c>
      <c r="E6952" s="8" t="s">
        <v>5854</v>
      </c>
      <c r="F6952" s="8">
        <v>9.682378083E9</v>
      </c>
    </row>
    <row r="6953" ht="15.75" customHeight="1">
      <c r="A6953" s="8" t="s">
        <v>5891</v>
      </c>
      <c r="B6953" s="8" t="s">
        <v>5892</v>
      </c>
      <c r="C6953" s="8" t="s">
        <v>5893</v>
      </c>
      <c r="D6953" s="8" t="s">
        <v>56</v>
      </c>
      <c r="E6953" s="8" t="s">
        <v>5894</v>
      </c>
      <c r="F6953" s="8">
        <v>9.49658523E9</v>
      </c>
    </row>
    <row r="6954" ht="15.75" customHeight="1">
      <c r="A6954" s="8" t="s">
        <v>1611</v>
      </c>
      <c r="B6954" s="8" t="s">
        <v>5827</v>
      </c>
      <c r="C6954" s="8" t="s">
        <v>5895</v>
      </c>
      <c r="D6954" s="8" t="s">
        <v>9</v>
      </c>
      <c r="E6954" s="8" t="s">
        <v>2115</v>
      </c>
      <c r="F6954" s="8">
        <v>8.910147936E9</v>
      </c>
    </row>
    <row r="6955" ht="15.75" customHeight="1">
      <c r="A6955" s="8" t="s">
        <v>1389</v>
      </c>
      <c r="B6955" s="8" t="s">
        <v>5896</v>
      </c>
      <c r="C6955" s="8" t="s">
        <v>5897</v>
      </c>
      <c r="D6955" s="8" t="s">
        <v>9</v>
      </c>
      <c r="E6955" s="8" t="s">
        <v>5898</v>
      </c>
      <c r="F6955" s="8">
        <v>7.510122336E9</v>
      </c>
    </row>
    <row r="6956" ht="15.75" customHeight="1">
      <c r="A6956" s="8" t="s">
        <v>2112</v>
      </c>
      <c r="B6956" s="8" t="s">
        <v>418</v>
      </c>
      <c r="C6956" s="8" t="s">
        <v>5899</v>
      </c>
      <c r="D6956" s="8" t="s">
        <v>9</v>
      </c>
      <c r="E6956" s="8" t="s">
        <v>5645</v>
      </c>
      <c r="F6956" s="8">
        <v>8.015960773E9</v>
      </c>
    </row>
    <row r="6957" ht="15.75" customHeight="1">
      <c r="A6957" s="8" t="s">
        <v>5900</v>
      </c>
      <c r="B6957" s="8" t="s">
        <v>108</v>
      </c>
      <c r="C6957" s="8" t="s">
        <v>3790</v>
      </c>
      <c r="D6957" s="8" t="s">
        <v>29</v>
      </c>
      <c r="E6957" s="8" t="s">
        <v>4015</v>
      </c>
      <c r="F6957" s="8">
        <v>9.810759801E9</v>
      </c>
    </row>
    <row r="6958" ht="15.75" customHeight="1">
      <c r="A6958" s="8" t="s">
        <v>5901</v>
      </c>
      <c r="B6958" s="8" t="s">
        <v>5902</v>
      </c>
      <c r="C6958" s="8" t="s">
        <v>5903</v>
      </c>
      <c r="D6958" s="8" t="s">
        <v>44</v>
      </c>
      <c r="E6958" s="8" t="s">
        <v>5904</v>
      </c>
      <c r="F6958" s="8">
        <v>9.464565559E9</v>
      </c>
    </row>
    <row r="6959" ht="15.75" customHeight="1">
      <c r="A6959" s="8" t="s">
        <v>5905</v>
      </c>
      <c r="B6959" s="8" t="s">
        <v>1015</v>
      </c>
      <c r="C6959" s="8" t="s">
        <v>5893</v>
      </c>
      <c r="D6959" s="8" t="s">
        <v>9</v>
      </c>
      <c r="E6959" s="8" t="s">
        <v>5906</v>
      </c>
      <c r="F6959" s="8">
        <v>9.99596509E9</v>
      </c>
    </row>
    <row r="6960" ht="15.75" customHeight="1">
      <c r="A6960" s="8" t="s">
        <v>5907</v>
      </c>
      <c r="B6960" s="8" t="s">
        <v>3162</v>
      </c>
      <c r="C6960" s="8" t="s">
        <v>5908</v>
      </c>
      <c r="D6960" s="8" t="s">
        <v>56</v>
      </c>
      <c r="E6960" s="8" t="s">
        <v>5438</v>
      </c>
      <c r="F6960" s="8">
        <v>7.013139947E9</v>
      </c>
    </row>
    <row r="6961" ht="15.75" customHeight="1">
      <c r="A6961" s="8" t="s">
        <v>5909</v>
      </c>
      <c r="B6961" s="8" t="s">
        <v>5910</v>
      </c>
      <c r="C6961" s="8" t="s">
        <v>5911</v>
      </c>
      <c r="D6961" s="8" t="s">
        <v>56</v>
      </c>
      <c r="E6961" s="8" t="s">
        <v>5851</v>
      </c>
      <c r="F6961" s="8">
        <v>9.086952543E9</v>
      </c>
    </row>
    <row r="6962" ht="15.75" customHeight="1">
      <c r="A6962" s="8" t="s">
        <v>5912</v>
      </c>
      <c r="B6962" s="8" t="s">
        <v>5913</v>
      </c>
      <c r="C6962" s="8" t="s">
        <v>5914</v>
      </c>
      <c r="D6962" s="8" t="s">
        <v>1108</v>
      </c>
      <c r="E6962" s="8" t="s">
        <v>5915</v>
      </c>
      <c r="F6962" s="8">
        <v>8.082729635E9</v>
      </c>
    </row>
    <row r="6963" ht="15.75" customHeight="1">
      <c r="A6963" s="8" t="s">
        <v>3653</v>
      </c>
      <c r="B6963" s="8" t="s">
        <v>5916</v>
      </c>
      <c r="C6963" s="8" t="s">
        <v>5917</v>
      </c>
      <c r="D6963" s="8" t="s">
        <v>44</v>
      </c>
      <c r="E6963" s="8" t="s">
        <v>5702</v>
      </c>
      <c r="F6963" s="8">
        <v>7.988073813E9</v>
      </c>
    </row>
    <row r="6964" ht="15.75" customHeight="1">
      <c r="A6964" s="8" t="s">
        <v>5918</v>
      </c>
      <c r="B6964" s="8" t="s">
        <v>5547</v>
      </c>
      <c r="C6964" s="8" t="s">
        <v>5919</v>
      </c>
      <c r="D6964" s="8" t="s">
        <v>14</v>
      </c>
      <c r="E6964" s="8" t="s">
        <v>5920</v>
      </c>
      <c r="F6964" s="8">
        <v>7.678345291E9</v>
      </c>
    </row>
    <row r="6965" ht="15.75" customHeight="1">
      <c r="A6965" s="8" t="s">
        <v>4021</v>
      </c>
      <c r="B6965" s="8" t="s">
        <v>5921</v>
      </c>
      <c r="C6965" s="8" t="s">
        <v>5922</v>
      </c>
      <c r="D6965" s="8" t="s">
        <v>14</v>
      </c>
      <c r="E6965" s="8" t="s">
        <v>5923</v>
      </c>
      <c r="F6965" s="8">
        <v>8.086884588E9</v>
      </c>
    </row>
    <row r="6966" ht="15.75" customHeight="1">
      <c r="A6966" s="8" t="s">
        <v>1991</v>
      </c>
      <c r="B6966" s="8" t="s">
        <v>811</v>
      </c>
      <c r="C6966" s="8" t="s">
        <v>5924</v>
      </c>
      <c r="D6966" s="8" t="s">
        <v>14</v>
      </c>
      <c r="E6966" s="8" t="s">
        <v>5851</v>
      </c>
      <c r="F6966" s="8">
        <v>6.006584167E9</v>
      </c>
    </row>
    <row r="6967" ht="15.75" customHeight="1">
      <c r="A6967" s="8" t="s">
        <v>5925</v>
      </c>
      <c r="B6967" s="8" t="s">
        <v>5926</v>
      </c>
      <c r="C6967" s="8" t="s">
        <v>5927</v>
      </c>
      <c r="D6967" s="8" t="s">
        <v>56</v>
      </c>
      <c r="E6967" s="8" t="s">
        <v>5851</v>
      </c>
      <c r="F6967" s="8">
        <v>8.082754966E9</v>
      </c>
    </row>
    <row r="6968" ht="15.75" customHeight="1">
      <c r="A6968" s="8" t="s">
        <v>5928</v>
      </c>
      <c r="B6968" s="8" t="s">
        <v>5929</v>
      </c>
      <c r="C6968" s="8" t="s">
        <v>5930</v>
      </c>
      <c r="D6968" s="8" t="s">
        <v>1108</v>
      </c>
      <c r="E6968" s="8" t="s">
        <v>494</v>
      </c>
      <c r="F6968" s="8">
        <v>9.818703925E9</v>
      </c>
    </row>
    <row r="6969" ht="15.75" customHeight="1">
      <c r="A6969" s="8" t="s">
        <v>2899</v>
      </c>
      <c r="B6969" s="8" t="s">
        <v>508</v>
      </c>
      <c r="C6969" s="8" t="s">
        <v>5933</v>
      </c>
      <c r="D6969" s="8" t="s">
        <v>102</v>
      </c>
      <c r="E6969" s="8" t="s">
        <v>5920</v>
      </c>
      <c r="F6969" s="8">
        <v>7.471157627E9</v>
      </c>
    </row>
    <row r="6970" ht="15.75" customHeight="1">
      <c r="A6970" s="8" t="s">
        <v>3728</v>
      </c>
      <c r="B6970" s="8" t="s">
        <v>5006</v>
      </c>
      <c r="C6970" s="8" t="s">
        <v>5934</v>
      </c>
      <c r="D6970" s="8" t="s">
        <v>56</v>
      </c>
      <c r="E6970" s="8" t="s">
        <v>5906</v>
      </c>
      <c r="F6970" s="8">
        <v>9.497600646E9</v>
      </c>
    </row>
    <row r="6971" ht="15.75" customHeight="1">
      <c r="A6971" s="8" t="s">
        <v>2822</v>
      </c>
      <c r="B6971" s="8" t="s">
        <v>5935</v>
      </c>
      <c r="C6971" s="8" t="s">
        <v>5936</v>
      </c>
      <c r="D6971" s="8" t="s">
        <v>26</v>
      </c>
      <c r="E6971" s="8" t="s">
        <v>5937</v>
      </c>
      <c r="F6971" s="8">
        <v>8.805391333E9</v>
      </c>
    </row>
    <row r="6972" ht="15.75" customHeight="1">
      <c r="A6972" s="8" t="s">
        <v>511</v>
      </c>
      <c r="B6972" s="8" t="s">
        <v>508</v>
      </c>
      <c r="C6972" s="8" t="s">
        <v>5938</v>
      </c>
      <c r="D6972" s="8" t="s">
        <v>26</v>
      </c>
      <c r="E6972" s="8" t="s">
        <v>5939</v>
      </c>
      <c r="F6972" s="8">
        <v>9.493016436E9</v>
      </c>
    </row>
    <row r="6973" ht="15.75" customHeight="1">
      <c r="A6973" s="8" t="s">
        <v>1623</v>
      </c>
      <c r="B6973" s="8" t="s">
        <v>3394</v>
      </c>
      <c r="C6973" s="8" t="s">
        <v>5942</v>
      </c>
      <c r="D6973" s="8" t="s">
        <v>44</v>
      </c>
      <c r="E6973" s="8" t="s">
        <v>434</v>
      </c>
      <c r="F6973" s="8">
        <v>9.167565841E9</v>
      </c>
    </row>
    <row r="6974" ht="15.75" customHeight="1">
      <c r="A6974" s="8" t="s">
        <v>727</v>
      </c>
      <c r="B6974" s="8" t="s">
        <v>3527</v>
      </c>
      <c r="C6974" s="8" t="s">
        <v>5942</v>
      </c>
      <c r="D6974" s="8" t="s">
        <v>44</v>
      </c>
      <c r="E6974" s="8" t="s">
        <v>434</v>
      </c>
      <c r="F6974" s="8">
        <v>9.820174755E9</v>
      </c>
    </row>
    <row r="6975" ht="15.75" customHeight="1">
      <c r="A6975" s="8" t="s">
        <v>687</v>
      </c>
      <c r="B6975" s="8" t="s">
        <v>5757</v>
      </c>
      <c r="C6975" s="8" t="s">
        <v>5943</v>
      </c>
      <c r="D6975" s="8" t="s">
        <v>9</v>
      </c>
      <c r="E6975" s="8" t="s">
        <v>5609</v>
      </c>
      <c r="F6975" s="8">
        <v>9.004045629E9</v>
      </c>
    </row>
    <row r="6976" ht="15.75" customHeight="1">
      <c r="A6976" s="8" t="s">
        <v>5944</v>
      </c>
      <c r="B6976" s="8" t="s">
        <v>2864</v>
      </c>
      <c r="C6976" s="8" t="s">
        <v>5945</v>
      </c>
      <c r="D6976" s="8" t="s">
        <v>102</v>
      </c>
      <c r="E6976" s="8" t="s">
        <v>5946</v>
      </c>
      <c r="F6976" s="8">
        <v>9.847812394E9</v>
      </c>
    </row>
    <row r="6977" ht="15.75" customHeight="1">
      <c r="A6977" s="8" t="s">
        <v>893</v>
      </c>
      <c r="B6977" s="8" t="s">
        <v>5947</v>
      </c>
      <c r="C6977" s="8" t="s">
        <v>5948</v>
      </c>
      <c r="D6977" s="8" t="s">
        <v>1108</v>
      </c>
      <c r="E6977" s="8" t="s">
        <v>5949</v>
      </c>
      <c r="F6977" s="8">
        <v>7.976913081E9</v>
      </c>
    </row>
    <row r="6978" ht="15.75" customHeight="1">
      <c r="A6978" s="8" t="s">
        <v>3625</v>
      </c>
      <c r="B6978" s="8" t="s">
        <v>5142</v>
      </c>
      <c r="C6978" s="8" t="s">
        <v>5950</v>
      </c>
      <c r="D6978" s="8" t="s">
        <v>44</v>
      </c>
      <c r="E6978" s="8" t="s">
        <v>4416</v>
      </c>
      <c r="F6978" s="8">
        <v>9.045905494E9</v>
      </c>
    </row>
    <row r="6979" ht="15.75" customHeight="1">
      <c r="A6979" s="8" t="s">
        <v>5951</v>
      </c>
      <c r="B6979" s="8" t="s">
        <v>5952</v>
      </c>
      <c r="C6979" s="8" t="s">
        <v>5953</v>
      </c>
      <c r="D6979" s="8" t="s">
        <v>44</v>
      </c>
      <c r="E6979" s="8" t="s">
        <v>434</v>
      </c>
      <c r="F6979" s="8">
        <v>9.323599347E9</v>
      </c>
    </row>
    <row r="6980" ht="15.75" customHeight="1">
      <c r="A6980" s="8" t="s">
        <v>2772</v>
      </c>
      <c r="B6980" s="8" t="s">
        <v>1090</v>
      </c>
      <c r="C6980" s="8" t="s">
        <v>412</v>
      </c>
      <c r="D6980" s="8" t="s">
        <v>26</v>
      </c>
      <c r="E6980" s="8" t="s">
        <v>5242</v>
      </c>
      <c r="F6980" s="8">
        <v>9.927011415E9</v>
      </c>
    </row>
    <row r="6981" ht="15.75" customHeight="1">
      <c r="A6981" s="8" t="s">
        <v>446</v>
      </c>
      <c r="B6981" s="8" t="s">
        <v>5954</v>
      </c>
      <c r="C6981" s="8" t="s">
        <v>5955</v>
      </c>
      <c r="D6981" s="8" t="s">
        <v>44</v>
      </c>
      <c r="E6981" s="8" t="s">
        <v>5956</v>
      </c>
      <c r="F6981" s="8">
        <v>7.021523735E9</v>
      </c>
    </row>
    <row r="6982" ht="15.75" customHeight="1">
      <c r="A6982" s="8" t="s">
        <v>5957</v>
      </c>
      <c r="B6982" s="8" t="s">
        <v>5954</v>
      </c>
      <c r="C6982" s="8" t="s">
        <v>5958</v>
      </c>
      <c r="D6982" s="8" t="s">
        <v>44</v>
      </c>
      <c r="E6982" s="8" t="s">
        <v>434</v>
      </c>
      <c r="F6982" s="8">
        <v>7.97756075E9</v>
      </c>
    </row>
    <row r="6983" ht="15.75" customHeight="1">
      <c r="A6983" s="8" t="s">
        <v>1071</v>
      </c>
      <c r="B6983" s="8" t="s">
        <v>3309</v>
      </c>
      <c r="C6983" s="8" t="s">
        <v>5959</v>
      </c>
      <c r="D6983" s="8" t="s">
        <v>56</v>
      </c>
      <c r="E6983" s="8" t="s">
        <v>4720</v>
      </c>
      <c r="F6983" s="8">
        <v>8.806565004E9</v>
      </c>
    </row>
    <row r="6984" ht="15.75" customHeight="1">
      <c r="A6984" s="8" t="s">
        <v>5476</v>
      </c>
      <c r="B6984" s="8" t="s">
        <v>5960</v>
      </c>
      <c r="C6984" s="8" t="s">
        <v>5961</v>
      </c>
      <c r="D6984" s="8" t="s">
        <v>44</v>
      </c>
      <c r="E6984" s="8" t="s">
        <v>4276</v>
      </c>
      <c r="F6984" s="8">
        <v>9.000234056E9</v>
      </c>
    </row>
    <row r="6985" ht="15.75" customHeight="1">
      <c r="A6985" s="8" t="s">
        <v>3926</v>
      </c>
      <c r="B6985" s="8" t="s">
        <v>5633</v>
      </c>
      <c r="C6985" s="8" t="s">
        <v>5950</v>
      </c>
      <c r="D6985" s="8" t="s">
        <v>44</v>
      </c>
      <c r="E6985" s="8" t="s">
        <v>4416</v>
      </c>
      <c r="F6985" s="8">
        <v>8.398895567E9</v>
      </c>
    </row>
    <row r="6986" ht="15.75" customHeight="1">
      <c r="A6986" s="8" t="s">
        <v>5962</v>
      </c>
      <c r="B6986" s="8" t="s">
        <v>78</v>
      </c>
      <c r="C6986" s="8" t="s">
        <v>5963</v>
      </c>
      <c r="D6986" s="8" t="s">
        <v>44</v>
      </c>
      <c r="E6986" s="8" t="s">
        <v>4416</v>
      </c>
      <c r="F6986" s="8">
        <v>9.927001196E9</v>
      </c>
    </row>
    <row r="6987" ht="15.75" customHeight="1">
      <c r="A6987" s="8" t="s">
        <v>4413</v>
      </c>
      <c r="B6987" s="8" t="s">
        <v>606</v>
      </c>
      <c r="C6987" s="8" t="s">
        <v>5893</v>
      </c>
      <c r="D6987" s="8" t="s">
        <v>44</v>
      </c>
      <c r="E6987" s="8" t="s">
        <v>5964</v>
      </c>
      <c r="F6987" s="8">
        <v>7.01197722E9</v>
      </c>
    </row>
    <row r="6988" ht="15.75" customHeight="1">
      <c r="A6988" s="8" t="s">
        <v>5965</v>
      </c>
      <c r="B6988" s="8" t="s">
        <v>5966</v>
      </c>
      <c r="C6988" s="8" t="s">
        <v>5967</v>
      </c>
      <c r="D6988" s="8" t="s">
        <v>9</v>
      </c>
      <c r="E6988" s="8" t="s">
        <v>5968</v>
      </c>
      <c r="F6988" s="8">
        <v>8.265086562E9</v>
      </c>
    </row>
    <row r="6989" ht="15.75" customHeight="1">
      <c r="A6989" s="8" t="s">
        <v>1260</v>
      </c>
      <c r="B6989" s="8" t="s">
        <v>4921</v>
      </c>
      <c r="C6989" s="8" t="s">
        <v>5893</v>
      </c>
      <c r="D6989" s="8" t="s">
        <v>44</v>
      </c>
      <c r="E6989" s="8" t="s">
        <v>1102</v>
      </c>
      <c r="F6989" s="8">
        <v>9.312413737E9</v>
      </c>
    </row>
    <row r="6990" ht="15.75" customHeight="1">
      <c r="A6990" s="8" t="s">
        <v>205</v>
      </c>
      <c r="B6990" s="8" t="s">
        <v>722</v>
      </c>
      <c r="C6990" s="8" t="s">
        <v>160</v>
      </c>
      <c r="D6990" s="8" t="s">
        <v>44</v>
      </c>
      <c r="E6990" s="8" t="s">
        <v>4318</v>
      </c>
      <c r="F6990" s="8">
        <v>6.20505335E9</v>
      </c>
    </row>
    <row r="6991" ht="15.75" customHeight="1">
      <c r="A6991" s="8" t="s">
        <v>5636</v>
      </c>
      <c r="B6991" s="8" t="s">
        <v>108</v>
      </c>
      <c r="C6991" s="8" t="s">
        <v>5969</v>
      </c>
      <c r="D6991" s="8" t="s">
        <v>9</v>
      </c>
      <c r="E6991" s="8" t="s">
        <v>4015</v>
      </c>
      <c r="F6991" s="8">
        <v>9.911284035E9</v>
      </c>
    </row>
    <row r="6992" ht="15.75" customHeight="1">
      <c r="A6992" s="8" t="s">
        <v>5970</v>
      </c>
      <c r="B6992" s="8" t="s">
        <v>5971</v>
      </c>
      <c r="C6992" s="8" t="s">
        <v>5972</v>
      </c>
      <c r="D6992" s="8" t="s">
        <v>9</v>
      </c>
      <c r="E6992" s="8" t="s">
        <v>5973</v>
      </c>
      <c r="F6992" s="8">
        <v>4.633223101E9</v>
      </c>
    </row>
    <row r="6993" ht="15.75" customHeight="1">
      <c r="A6993" s="8" t="s">
        <v>5689</v>
      </c>
      <c r="B6993" s="8" t="s">
        <v>4229</v>
      </c>
      <c r="C6993" s="8" t="s">
        <v>3790</v>
      </c>
      <c r="D6993" s="8" t="s">
        <v>56</v>
      </c>
      <c r="E6993" s="8" t="s">
        <v>4886</v>
      </c>
      <c r="F6993" s="8">
        <f>+919999345643</f>
        <v>919999345643</v>
      </c>
    </row>
    <row r="6994" ht="15.75" customHeight="1">
      <c r="A6994" s="8" t="s">
        <v>5974</v>
      </c>
      <c r="B6994" s="8" t="s">
        <v>5975</v>
      </c>
      <c r="C6994" s="8" t="s">
        <v>5976</v>
      </c>
      <c r="D6994" s="8" t="s">
        <v>102</v>
      </c>
      <c r="E6994" s="8" t="s">
        <v>5949</v>
      </c>
      <c r="F6994" s="8">
        <v>8.905536882E9</v>
      </c>
    </row>
    <row r="6995" ht="15.75" customHeight="1">
      <c r="A6995" s="8" t="s">
        <v>5977</v>
      </c>
      <c r="B6995" s="8" t="s">
        <v>5978</v>
      </c>
      <c r="C6995" s="8" t="s">
        <v>5979</v>
      </c>
      <c r="D6995" s="8" t="s">
        <v>29</v>
      </c>
      <c r="E6995" s="8" t="s">
        <v>2115</v>
      </c>
      <c r="F6995" s="8">
        <v>9.804114784E9</v>
      </c>
    </row>
    <row r="6996" ht="15.75" customHeight="1">
      <c r="A6996" s="8" t="s">
        <v>202</v>
      </c>
      <c r="B6996" s="8" t="s">
        <v>5980</v>
      </c>
      <c r="C6996" s="8" t="s">
        <v>5981</v>
      </c>
      <c r="D6996" s="8" t="s">
        <v>56</v>
      </c>
      <c r="E6996" s="8" t="s">
        <v>5982</v>
      </c>
      <c r="F6996" s="8">
        <v>9.843223092E9</v>
      </c>
    </row>
    <row r="6997" ht="15.75" customHeight="1">
      <c r="A6997" s="8" t="s">
        <v>707</v>
      </c>
      <c r="B6997" s="8" t="s">
        <v>50</v>
      </c>
      <c r="C6997" s="8" t="s">
        <v>5983</v>
      </c>
      <c r="D6997" s="8" t="s">
        <v>26</v>
      </c>
      <c r="E6997" s="8" t="s">
        <v>4923</v>
      </c>
      <c r="F6997" s="8">
        <v>7.087087917E9</v>
      </c>
    </row>
    <row r="6998" ht="15.75" customHeight="1">
      <c r="A6998" s="8" t="s">
        <v>3325</v>
      </c>
      <c r="B6998" s="8" t="s">
        <v>3769</v>
      </c>
      <c r="C6998" s="8" t="s">
        <v>5984</v>
      </c>
      <c r="D6998" s="8" t="s">
        <v>9</v>
      </c>
      <c r="E6998" s="8" t="s">
        <v>4886</v>
      </c>
      <c r="F6998" s="8">
        <v>9.311124174E9</v>
      </c>
    </row>
    <row r="6999" ht="15.75" customHeight="1">
      <c r="A6999" s="8" t="s">
        <v>1386</v>
      </c>
      <c r="B6999" s="8" t="s">
        <v>50</v>
      </c>
      <c r="C6999" s="8" t="s">
        <v>5985</v>
      </c>
      <c r="D6999" s="8" t="s">
        <v>26</v>
      </c>
      <c r="E6999" s="8" t="s">
        <v>4923</v>
      </c>
      <c r="F6999" s="8">
        <v>7.087087917E9</v>
      </c>
    </row>
    <row r="7000" ht="15.75" customHeight="1">
      <c r="A7000" s="8" t="s">
        <v>5986</v>
      </c>
      <c r="B7000" s="8" t="s">
        <v>5987</v>
      </c>
      <c r="C7000" s="8" t="s">
        <v>5988</v>
      </c>
      <c r="D7000" s="8" t="s">
        <v>29</v>
      </c>
      <c r="E7000" s="8" t="s">
        <v>5989</v>
      </c>
      <c r="F7000" s="8">
        <v>9.431066582E9</v>
      </c>
    </row>
    <row r="7001" ht="15.75" customHeight="1">
      <c r="A7001" s="8" t="s">
        <v>4846</v>
      </c>
      <c r="B7001" s="8" t="s">
        <v>5990</v>
      </c>
      <c r="C7001" s="8" t="s">
        <v>5991</v>
      </c>
      <c r="D7001" s="8" t="s">
        <v>56</v>
      </c>
      <c r="E7001" s="8" t="s">
        <v>494</v>
      </c>
      <c r="F7001" s="8">
        <v>9.560400515E9</v>
      </c>
    </row>
    <row r="7002" ht="15.75" customHeight="1">
      <c r="A7002" s="8" t="s">
        <v>5155</v>
      </c>
      <c r="B7002" s="8" t="s">
        <v>786</v>
      </c>
      <c r="C7002" s="8" t="s">
        <v>5992</v>
      </c>
      <c r="D7002" s="8" t="s">
        <v>9</v>
      </c>
      <c r="E7002" s="8" t="s">
        <v>5993</v>
      </c>
      <c r="F7002" s="8">
        <v>9.544251258E9</v>
      </c>
    </row>
    <row r="7003" ht="15.75" customHeight="1">
      <c r="A7003" s="8" t="s">
        <v>4407</v>
      </c>
      <c r="B7003" s="8" t="s">
        <v>4408</v>
      </c>
      <c r="C7003" s="8" t="s">
        <v>4409</v>
      </c>
      <c r="D7003" s="8" t="s">
        <v>9</v>
      </c>
      <c r="E7003" s="8" t="s">
        <v>4410</v>
      </c>
      <c r="F7003" s="8">
        <v>9.433110781E9</v>
      </c>
    </row>
    <row r="7004" ht="15.75" customHeight="1">
      <c r="A7004" s="8" t="s">
        <v>5994</v>
      </c>
      <c r="B7004" s="8" t="s">
        <v>119</v>
      </c>
      <c r="C7004" s="8" t="s">
        <v>5995</v>
      </c>
      <c r="D7004" s="8" t="s">
        <v>56</v>
      </c>
      <c r="E7004" s="8" t="s">
        <v>5242</v>
      </c>
      <c r="F7004" s="8">
        <v>9.105298013E9</v>
      </c>
    </row>
    <row r="7005" ht="15.75" customHeight="1">
      <c r="A7005" s="8" t="s">
        <v>5996</v>
      </c>
      <c r="B7005" s="8" t="s">
        <v>5997</v>
      </c>
      <c r="C7005" s="8" t="s">
        <v>5998</v>
      </c>
      <c r="D7005" s="8" t="s">
        <v>26</v>
      </c>
      <c r="E7005" s="8" t="s">
        <v>5999</v>
      </c>
      <c r="F7005" s="8">
        <v>9.908516662E9</v>
      </c>
    </row>
    <row r="7006" ht="15.75" customHeight="1">
      <c r="A7006" s="8" t="s">
        <v>6000</v>
      </c>
      <c r="B7006" s="8" t="s">
        <v>5343</v>
      </c>
      <c r="C7006" s="8" t="s">
        <v>6001</v>
      </c>
      <c r="D7006" s="8" t="s">
        <v>56</v>
      </c>
      <c r="E7006" s="8" t="s">
        <v>5367</v>
      </c>
      <c r="F7006" s="8">
        <v>9.813600847E9</v>
      </c>
    </row>
    <row r="7007" ht="15.75" customHeight="1">
      <c r="A7007" s="8" t="s">
        <v>6002</v>
      </c>
      <c r="B7007" s="8" t="s">
        <v>675</v>
      </c>
      <c r="C7007" s="8" t="s">
        <v>5387</v>
      </c>
      <c r="D7007" s="8" t="s">
        <v>26</v>
      </c>
      <c r="E7007" s="8" t="s">
        <v>5841</v>
      </c>
      <c r="F7007" s="8">
        <v>6.005801411E9</v>
      </c>
    </row>
    <row r="7008" ht="15.75" customHeight="1">
      <c r="A7008" s="8" t="s">
        <v>3773</v>
      </c>
      <c r="B7008" s="8" t="s">
        <v>5706</v>
      </c>
      <c r="C7008" s="8" t="s">
        <v>6003</v>
      </c>
      <c r="D7008" s="8" t="s">
        <v>26</v>
      </c>
      <c r="E7008" s="8" t="s">
        <v>6004</v>
      </c>
      <c r="F7008" s="8">
        <v>8.225096021E9</v>
      </c>
    </row>
    <row r="7009" ht="15.75" customHeight="1">
      <c r="A7009" s="8" t="s">
        <v>6005</v>
      </c>
      <c r="B7009" s="8" t="s">
        <v>1658</v>
      </c>
      <c r="C7009" s="8" t="s">
        <v>6006</v>
      </c>
      <c r="D7009" s="8" t="s">
        <v>56</v>
      </c>
      <c r="E7009" s="8" t="s">
        <v>3870</v>
      </c>
      <c r="F7009" s="8">
        <v>7.380446056E9</v>
      </c>
    </row>
    <row r="7010" ht="15.75" customHeight="1">
      <c r="A7010" s="8" t="s">
        <v>6007</v>
      </c>
      <c r="B7010" s="8" t="s">
        <v>6008</v>
      </c>
      <c r="C7010" s="8" t="s">
        <v>6009</v>
      </c>
      <c r="D7010" s="8" t="s">
        <v>26</v>
      </c>
      <c r="E7010" s="8" t="s">
        <v>434</v>
      </c>
      <c r="F7010" s="8">
        <f>+919819788198</f>
        <v>919819788198</v>
      </c>
    </row>
    <row r="7011" ht="15.75" customHeight="1">
      <c r="A7011" s="8" t="s">
        <v>2051</v>
      </c>
      <c r="B7011" s="8" t="s">
        <v>6010</v>
      </c>
      <c r="C7011" s="8" t="s">
        <v>6011</v>
      </c>
      <c r="D7011" s="8" t="s">
        <v>9</v>
      </c>
      <c r="E7011" s="8" t="s">
        <v>1102</v>
      </c>
      <c r="F7011" s="8">
        <v>8.447149419E9</v>
      </c>
    </row>
    <row r="7012" ht="15.75" customHeight="1">
      <c r="A7012" s="8" t="s">
        <v>6012</v>
      </c>
      <c r="B7012" s="8" t="s">
        <v>6013</v>
      </c>
      <c r="C7012" s="8" t="s">
        <v>6014</v>
      </c>
      <c r="D7012" s="8" t="s">
        <v>44</v>
      </c>
      <c r="E7012" s="8" t="s">
        <v>434</v>
      </c>
      <c r="F7012" s="8">
        <v>9.820208362E9</v>
      </c>
    </row>
    <row r="7013" ht="15.75" customHeight="1">
      <c r="A7013" s="8" t="s">
        <v>6015</v>
      </c>
      <c r="B7013" s="8" t="s">
        <v>6016</v>
      </c>
      <c r="C7013" s="8" t="s">
        <v>6017</v>
      </c>
      <c r="D7013" s="8" t="s">
        <v>56</v>
      </c>
      <c r="E7013" s="8" t="s">
        <v>6018</v>
      </c>
      <c r="F7013" s="8">
        <f>+916000327684</f>
        <v>916000327684</v>
      </c>
    </row>
    <row r="7014" ht="15.75" customHeight="1">
      <c r="A7014" s="8" t="s">
        <v>6019</v>
      </c>
      <c r="B7014" s="8" t="s">
        <v>6020</v>
      </c>
      <c r="C7014" s="8" t="s">
        <v>6021</v>
      </c>
      <c r="D7014" s="8" t="s">
        <v>56</v>
      </c>
      <c r="E7014" s="8" t="s">
        <v>434</v>
      </c>
      <c r="F7014" s="8">
        <v>9.082647466E9</v>
      </c>
    </row>
    <row r="7015" ht="15.75" customHeight="1">
      <c r="A7015" s="8" t="s">
        <v>6022</v>
      </c>
      <c r="B7015" s="8" t="s">
        <v>6023</v>
      </c>
      <c r="C7015" s="8" t="s">
        <v>5998</v>
      </c>
      <c r="D7015" s="8" t="s">
        <v>102</v>
      </c>
      <c r="E7015" s="8" t="s">
        <v>5999</v>
      </c>
      <c r="F7015" s="8">
        <v>9.642796084E9</v>
      </c>
    </row>
    <row r="7016" ht="15.75" customHeight="1">
      <c r="A7016" s="8" t="s">
        <v>1248</v>
      </c>
      <c r="B7016" s="8" t="s">
        <v>6024</v>
      </c>
      <c r="C7016" s="8" t="s">
        <v>6025</v>
      </c>
      <c r="D7016" s="8" t="s">
        <v>26</v>
      </c>
      <c r="E7016" s="8" t="s">
        <v>6026</v>
      </c>
      <c r="F7016" s="8">
        <f>+918625871732</f>
        <v>918625871732</v>
      </c>
    </row>
    <row r="7017" ht="15.75" customHeight="1">
      <c r="A7017" s="8" t="s">
        <v>597</v>
      </c>
      <c r="B7017" s="8" t="s">
        <v>65</v>
      </c>
      <c r="C7017" s="8" t="s">
        <v>6025</v>
      </c>
      <c r="D7017" s="8" t="s">
        <v>26</v>
      </c>
      <c r="E7017" s="8" t="s">
        <v>6941</v>
      </c>
      <c r="F7017" s="8">
        <v>9.967327679E9</v>
      </c>
    </row>
    <row r="7018" ht="15.75" customHeight="1">
      <c r="A7018" s="8" t="s">
        <v>1230</v>
      </c>
      <c r="B7018" s="8" t="s">
        <v>6027</v>
      </c>
      <c r="C7018" s="8" t="s">
        <v>6028</v>
      </c>
      <c r="D7018" s="8" t="s">
        <v>9</v>
      </c>
      <c r="E7018" s="8" t="s">
        <v>6029</v>
      </c>
      <c r="F7018" s="8">
        <v>8.059398888E9</v>
      </c>
    </row>
    <row r="7019" ht="15.75" customHeight="1">
      <c r="A7019" s="8" t="s">
        <v>6030</v>
      </c>
      <c r="B7019" s="8" t="s">
        <v>6031</v>
      </c>
      <c r="C7019" s="8" t="s">
        <v>4218</v>
      </c>
      <c r="D7019" s="8" t="s">
        <v>9</v>
      </c>
      <c r="E7019" s="8" t="s">
        <v>1102</v>
      </c>
      <c r="F7019" s="8">
        <v>9.205033693E9</v>
      </c>
    </row>
    <row r="7020" ht="15.75" customHeight="1">
      <c r="A7020" s="8" t="s">
        <v>6032</v>
      </c>
      <c r="B7020" s="8" t="s">
        <v>3126</v>
      </c>
      <c r="C7020" s="8" t="s">
        <v>6033</v>
      </c>
      <c r="D7020" s="8" t="s">
        <v>29</v>
      </c>
      <c r="E7020" s="8" t="s">
        <v>1102</v>
      </c>
      <c r="F7020" s="8">
        <v>9.650728367E9</v>
      </c>
    </row>
    <row r="7021" ht="15.75" customHeight="1">
      <c r="A7021" s="8" t="s">
        <v>6034</v>
      </c>
      <c r="B7021" s="8" t="s">
        <v>6035</v>
      </c>
      <c r="C7021" s="8" t="s">
        <v>6036</v>
      </c>
      <c r="D7021" s="8" t="s">
        <v>56</v>
      </c>
      <c r="E7021" s="8" t="s">
        <v>6037</v>
      </c>
      <c r="F7021" s="8">
        <v>8.072797344E9</v>
      </c>
    </row>
    <row r="7022" ht="15.75" customHeight="1">
      <c r="A7022" s="8" t="s">
        <v>2582</v>
      </c>
      <c r="B7022" s="8" t="s">
        <v>519</v>
      </c>
      <c r="C7022" s="8" t="s">
        <v>6038</v>
      </c>
      <c r="D7022" s="8" t="s">
        <v>29</v>
      </c>
      <c r="E7022" s="8" t="s">
        <v>4652</v>
      </c>
      <c r="F7022" s="8">
        <v>9.219519219E9</v>
      </c>
    </row>
    <row r="7023" ht="15.75" customHeight="1">
      <c r="A7023" s="8" t="s">
        <v>146</v>
      </c>
      <c r="B7023" s="8" t="s">
        <v>603</v>
      </c>
      <c r="C7023" s="8" t="s">
        <v>6039</v>
      </c>
      <c r="D7023" s="8" t="s">
        <v>26</v>
      </c>
      <c r="E7023" s="8" t="s">
        <v>5087</v>
      </c>
      <c r="F7023" s="8">
        <v>9.80075973E9</v>
      </c>
    </row>
    <row r="7024" ht="15.75" customHeight="1">
      <c r="A7024" s="8" t="s">
        <v>111</v>
      </c>
      <c r="B7024" s="8" t="s">
        <v>603</v>
      </c>
      <c r="C7024" s="8" t="s">
        <v>6040</v>
      </c>
      <c r="D7024" s="8" t="s">
        <v>26</v>
      </c>
      <c r="E7024" s="8" t="s">
        <v>5087</v>
      </c>
      <c r="F7024" s="8">
        <v>9.80075973E9</v>
      </c>
    </row>
    <row r="7025" ht="15.75" customHeight="1">
      <c r="A7025" s="8" t="s">
        <v>6041</v>
      </c>
      <c r="B7025" s="8" t="s">
        <v>1134</v>
      </c>
      <c r="C7025" s="8" t="s">
        <v>6042</v>
      </c>
      <c r="D7025" s="8" t="s">
        <v>44</v>
      </c>
      <c r="E7025" s="8" t="s">
        <v>6043</v>
      </c>
      <c r="F7025" s="8">
        <v>9.973643839E9</v>
      </c>
    </row>
    <row r="7026" ht="15.75" customHeight="1">
      <c r="A7026" s="8" t="s">
        <v>3143</v>
      </c>
      <c r="B7026" s="8" t="s">
        <v>6044</v>
      </c>
      <c r="C7026" s="8" t="s">
        <v>6045</v>
      </c>
      <c r="D7026" s="8" t="s">
        <v>9</v>
      </c>
      <c r="E7026" s="8" t="s">
        <v>4571</v>
      </c>
      <c r="F7026" s="8">
        <v>8.890410666E9</v>
      </c>
    </row>
    <row r="7027" ht="15.75" customHeight="1">
      <c r="A7027" s="8" t="s">
        <v>1391</v>
      </c>
      <c r="B7027" s="8" t="s">
        <v>5827</v>
      </c>
      <c r="C7027" s="8" t="s">
        <v>6046</v>
      </c>
      <c r="D7027" s="8" t="s">
        <v>9</v>
      </c>
      <c r="E7027" s="8" t="s">
        <v>494</v>
      </c>
      <c r="F7027" s="8">
        <v>9.911114053E9</v>
      </c>
    </row>
    <row r="7028" ht="15.75" customHeight="1">
      <c r="A7028" s="8" t="s">
        <v>5308</v>
      </c>
      <c r="B7028" s="8" t="s">
        <v>3527</v>
      </c>
      <c r="C7028" s="8" t="s">
        <v>6047</v>
      </c>
      <c r="D7028" s="8" t="s">
        <v>44</v>
      </c>
      <c r="E7028" s="8" t="s">
        <v>434</v>
      </c>
      <c r="F7028" s="8">
        <v>9.967402744E9</v>
      </c>
    </row>
    <row r="7029" ht="15.75" customHeight="1">
      <c r="A7029" s="8" t="s">
        <v>4487</v>
      </c>
      <c r="B7029" s="8" t="s">
        <v>4488</v>
      </c>
      <c r="C7029" s="8" t="s">
        <v>6048</v>
      </c>
      <c r="D7029" s="8" t="s">
        <v>56</v>
      </c>
      <c r="E7029" s="8" t="s">
        <v>4007</v>
      </c>
      <c r="F7029" s="8">
        <v>9.911083712E9</v>
      </c>
    </row>
    <row r="7030" ht="15.75" customHeight="1">
      <c r="A7030" s="8" t="s">
        <v>1623</v>
      </c>
      <c r="B7030" s="8" t="s">
        <v>251</v>
      </c>
      <c r="C7030" s="8" t="s">
        <v>6049</v>
      </c>
      <c r="D7030" s="8" t="s">
        <v>26</v>
      </c>
      <c r="E7030" s="8" t="s">
        <v>494</v>
      </c>
      <c r="F7030" s="8">
        <v>8.368727429E9</v>
      </c>
    </row>
    <row r="7031" ht="15.75" customHeight="1">
      <c r="A7031" s="8" t="s">
        <v>1044</v>
      </c>
      <c r="B7031" s="8" t="s">
        <v>675</v>
      </c>
      <c r="C7031" s="8" t="s">
        <v>6050</v>
      </c>
      <c r="D7031" s="8" t="s">
        <v>44</v>
      </c>
      <c r="E7031" s="8" t="s">
        <v>6051</v>
      </c>
      <c r="F7031" s="8">
        <v>8.850801269E9</v>
      </c>
    </row>
    <row r="7032" ht="15.75" customHeight="1">
      <c r="A7032" s="8" t="s">
        <v>6052</v>
      </c>
      <c r="B7032" s="8" t="s">
        <v>225</v>
      </c>
      <c r="C7032" s="8" t="s">
        <v>6053</v>
      </c>
      <c r="D7032" s="8" t="s">
        <v>9</v>
      </c>
      <c r="E7032" s="8" t="s">
        <v>1102</v>
      </c>
      <c r="F7032" s="8">
        <v>9.311297982E9</v>
      </c>
    </row>
    <row r="7033" ht="15.75" customHeight="1">
      <c r="A7033" s="8" t="s">
        <v>3355</v>
      </c>
      <c r="B7033" s="8" t="s">
        <v>4840</v>
      </c>
      <c r="C7033" s="8" t="s">
        <v>6054</v>
      </c>
      <c r="D7033" s="8" t="s">
        <v>56</v>
      </c>
      <c r="E7033" s="8" t="s">
        <v>6055</v>
      </c>
      <c r="F7033" s="8">
        <v>9.991057976E9</v>
      </c>
    </row>
    <row r="7034" ht="15.75" customHeight="1">
      <c r="A7034" s="8" t="s">
        <v>24</v>
      </c>
      <c r="B7034" s="8" t="s">
        <v>47</v>
      </c>
      <c r="C7034" s="8" t="s">
        <v>6056</v>
      </c>
      <c r="D7034" s="8" t="s">
        <v>9</v>
      </c>
      <c r="E7034" s="8" t="s">
        <v>6057</v>
      </c>
      <c r="F7034" s="8">
        <f>+919518238074</f>
        <v>919518238074</v>
      </c>
    </row>
    <row r="7035" ht="15.75" customHeight="1">
      <c r="A7035" s="8" t="s">
        <v>5038</v>
      </c>
      <c r="B7035" s="8" t="s">
        <v>1658</v>
      </c>
      <c r="C7035" s="8" t="s">
        <v>6058</v>
      </c>
      <c r="D7035" s="8" t="s">
        <v>26</v>
      </c>
      <c r="E7035" s="8" t="s">
        <v>6059</v>
      </c>
      <c r="F7035" s="8">
        <v>7.88905424E9</v>
      </c>
    </row>
    <row r="7036" ht="15.75" customHeight="1">
      <c r="A7036" s="8" t="s">
        <v>396</v>
      </c>
      <c r="B7036" s="8" t="s">
        <v>108</v>
      </c>
      <c r="C7036" s="8" t="s">
        <v>6060</v>
      </c>
      <c r="D7036" s="8" t="s">
        <v>29</v>
      </c>
      <c r="E7036" s="8" t="s">
        <v>6061</v>
      </c>
      <c r="F7036" s="8">
        <v>9.548083131E9</v>
      </c>
    </row>
    <row r="7037" ht="15.75" customHeight="1">
      <c r="A7037" s="8" t="s">
        <v>764</v>
      </c>
      <c r="B7037" s="8" t="s">
        <v>47</v>
      </c>
      <c r="C7037" s="8" t="s">
        <v>6062</v>
      </c>
      <c r="D7037" s="8" t="s">
        <v>9</v>
      </c>
      <c r="E7037" s="8" t="s">
        <v>6063</v>
      </c>
      <c r="F7037" s="8">
        <v>9.467506298E9</v>
      </c>
    </row>
    <row r="7038" ht="15.75" customHeight="1">
      <c r="A7038" s="8" t="s">
        <v>1386</v>
      </c>
      <c r="B7038" s="8" t="s">
        <v>6064</v>
      </c>
      <c r="C7038" s="8" t="s">
        <v>6065</v>
      </c>
      <c r="D7038" s="8" t="s">
        <v>9</v>
      </c>
      <c r="E7038" s="8" t="s">
        <v>5777</v>
      </c>
      <c r="F7038" s="8">
        <v>8.607589551E9</v>
      </c>
    </row>
    <row r="7039" ht="15.75" customHeight="1">
      <c r="A7039" s="8" t="s">
        <v>5599</v>
      </c>
      <c r="B7039" s="8" t="s">
        <v>6066</v>
      </c>
      <c r="C7039" s="8" t="s">
        <v>6067</v>
      </c>
      <c r="D7039" s="8" t="s">
        <v>26</v>
      </c>
      <c r="E7039" s="8" t="s">
        <v>4276</v>
      </c>
      <c r="F7039" s="8">
        <v>6.305977584E9</v>
      </c>
    </row>
    <row r="7040" ht="15.75" customHeight="1">
      <c r="A7040" s="8" t="s">
        <v>6068</v>
      </c>
      <c r="B7040" s="8" t="s">
        <v>65</v>
      </c>
      <c r="C7040" s="8" t="s">
        <v>6056</v>
      </c>
      <c r="D7040" s="8" t="s">
        <v>9</v>
      </c>
      <c r="E7040" s="8" t="s">
        <v>6029</v>
      </c>
      <c r="F7040" s="8">
        <v>9.050207682E9</v>
      </c>
    </row>
    <row r="7041" ht="15.75" customHeight="1">
      <c r="A7041" s="8" t="s">
        <v>6069</v>
      </c>
      <c r="B7041" s="8" t="s">
        <v>6070</v>
      </c>
      <c r="C7041" s="8" t="s">
        <v>6045</v>
      </c>
      <c r="D7041" s="8" t="s">
        <v>9</v>
      </c>
      <c r="E7041" s="8" t="s">
        <v>4571</v>
      </c>
      <c r="F7041" s="8">
        <v>8.890410666E9</v>
      </c>
    </row>
    <row r="7042" ht="15.75" customHeight="1">
      <c r="A7042" s="8" t="s">
        <v>1435</v>
      </c>
      <c r="B7042" s="8" t="s">
        <v>6071</v>
      </c>
      <c r="C7042" s="8" t="s">
        <v>6072</v>
      </c>
      <c r="D7042" s="8" t="s">
        <v>56</v>
      </c>
      <c r="E7042" s="8" t="s">
        <v>6073</v>
      </c>
      <c r="F7042" s="8">
        <v>9.896054995E9</v>
      </c>
    </row>
    <row r="7043" ht="15.75" customHeight="1">
      <c r="A7043" s="8" t="s">
        <v>146</v>
      </c>
      <c r="B7043" s="8" t="s">
        <v>189</v>
      </c>
      <c r="C7043" s="8" t="s">
        <v>6074</v>
      </c>
      <c r="D7043" s="8" t="s">
        <v>56</v>
      </c>
      <c r="E7043" s="8" t="s">
        <v>6073</v>
      </c>
      <c r="F7043" s="8">
        <v>8.709815131E9</v>
      </c>
    </row>
    <row r="7044" ht="15.75" customHeight="1">
      <c r="A7044" s="8" t="s">
        <v>146</v>
      </c>
      <c r="B7044" s="8" t="s">
        <v>6075</v>
      </c>
      <c r="C7044" s="8" t="s">
        <v>4844</v>
      </c>
      <c r="D7044" s="8" t="s">
        <v>26</v>
      </c>
      <c r="E7044" s="8" t="s">
        <v>1102</v>
      </c>
      <c r="F7044" s="8">
        <v>9.818851259E9</v>
      </c>
    </row>
    <row r="7045" ht="15.75" customHeight="1">
      <c r="A7045" s="8" t="s">
        <v>1728</v>
      </c>
      <c r="B7045" s="8" t="s">
        <v>108</v>
      </c>
      <c r="C7045" s="8" t="s">
        <v>6076</v>
      </c>
      <c r="D7045" s="8" t="s">
        <v>9</v>
      </c>
      <c r="E7045" s="8" t="s">
        <v>1102</v>
      </c>
      <c r="F7045" s="8">
        <v>8.375059409E9</v>
      </c>
    </row>
    <row r="7046" ht="15.75" customHeight="1">
      <c r="A7046" s="8" t="s">
        <v>6077</v>
      </c>
      <c r="B7046" s="8" t="s">
        <v>6078</v>
      </c>
      <c r="C7046" s="8" t="s">
        <v>6079</v>
      </c>
      <c r="D7046" s="8" t="s">
        <v>56</v>
      </c>
      <c r="E7046" s="8" t="s">
        <v>6080</v>
      </c>
      <c r="F7046" s="8">
        <v>9.511514263E9</v>
      </c>
    </row>
    <row r="7047" ht="15.75" customHeight="1">
      <c r="A7047" s="8" t="s">
        <v>6081</v>
      </c>
      <c r="B7047" s="8" t="s">
        <v>108</v>
      </c>
      <c r="C7047" s="8" t="s">
        <v>6082</v>
      </c>
      <c r="D7047" s="8" t="s">
        <v>14</v>
      </c>
      <c r="E7047" s="8" t="s">
        <v>1095</v>
      </c>
      <c r="F7047" s="8">
        <v>9.811094382E9</v>
      </c>
    </row>
    <row r="7048" ht="15.75" customHeight="1">
      <c r="A7048" s="8" t="s">
        <v>6942</v>
      </c>
      <c r="B7048" s="8" t="s">
        <v>6943</v>
      </c>
      <c r="C7048" s="8" t="s">
        <v>6944</v>
      </c>
      <c r="D7048" s="8" t="s">
        <v>14</v>
      </c>
      <c r="E7048" s="8" t="s">
        <v>434</v>
      </c>
      <c r="F7048" s="8">
        <v>9.987476732E9</v>
      </c>
    </row>
    <row r="7049" ht="15.75" customHeight="1">
      <c r="A7049" s="8" t="s">
        <v>6083</v>
      </c>
      <c r="B7049" s="8" t="s">
        <v>6084</v>
      </c>
      <c r="C7049" s="8" t="s">
        <v>6085</v>
      </c>
      <c r="D7049" s="8" t="s">
        <v>14</v>
      </c>
      <c r="E7049" s="8" t="s">
        <v>6086</v>
      </c>
      <c r="F7049" s="8">
        <v>6.361092406E9</v>
      </c>
    </row>
    <row r="7050" ht="15.75" customHeight="1">
      <c r="A7050" s="8" t="s">
        <v>6087</v>
      </c>
      <c r="B7050" s="8" t="s">
        <v>1658</v>
      </c>
      <c r="C7050" s="8" t="s">
        <v>6088</v>
      </c>
      <c r="D7050" s="8" t="s">
        <v>14</v>
      </c>
      <c r="E7050" s="8" t="s">
        <v>3870</v>
      </c>
      <c r="F7050" s="8">
        <v>8.299352913E9</v>
      </c>
    </row>
    <row r="7051" ht="15.75" customHeight="1">
      <c r="A7051" s="8" t="s">
        <v>6089</v>
      </c>
      <c r="B7051" s="8" t="s">
        <v>6090</v>
      </c>
      <c r="C7051" s="8" t="s">
        <v>6091</v>
      </c>
      <c r="D7051" s="8" t="s">
        <v>44</v>
      </c>
      <c r="E7051" s="8" t="s">
        <v>6092</v>
      </c>
      <c r="F7051" s="8">
        <f>+919497677640</f>
        <v>919497677640</v>
      </c>
    </row>
    <row r="7052" ht="15.75" customHeight="1">
      <c r="A7052" s="8" t="s">
        <v>545</v>
      </c>
      <c r="B7052" s="8" t="s">
        <v>69</v>
      </c>
      <c r="C7052" s="8" t="s">
        <v>6093</v>
      </c>
      <c r="D7052" s="8" t="s">
        <v>26</v>
      </c>
      <c r="E7052" s="8" t="s">
        <v>6094</v>
      </c>
      <c r="F7052" s="8">
        <v>9.306848401E9</v>
      </c>
    </row>
    <row r="7053" ht="15.75" customHeight="1">
      <c r="A7053" s="8" t="s">
        <v>396</v>
      </c>
      <c r="B7053" s="8" t="s">
        <v>6095</v>
      </c>
      <c r="C7053" s="8" t="s">
        <v>6096</v>
      </c>
      <c r="D7053" s="8" t="s">
        <v>26</v>
      </c>
      <c r="E7053" s="8" t="s">
        <v>4276</v>
      </c>
      <c r="F7053" s="8">
        <v>8.008385186E9</v>
      </c>
    </row>
    <row r="7054" ht="15.75" customHeight="1">
      <c r="A7054" s="8" t="s">
        <v>2643</v>
      </c>
      <c r="B7054" s="8" t="s">
        <v>6097</v>
      </c>
      <c r="C7054" s="8" t="s">
        <v>6098</v>
      </c>
      <c r="D7054" s="8" t="s">
        <v>9</v>
      </c>
      <c r="E7054" s="8" t="s">
        <v>494</v>
      </c>
      <c r="F7054" s="8">
        <f>+919899555537</f>
        <v>919899555537</v>
      </c>
    </row>
    <row r="7055" ht="15.75" customHeight="1">
      <c r="A7055" s="8" t="s">
        <v>6087</v>
      </c>
      <c r="B7055" s="8" t="s">
        <v>1658</v>
      </c>
      <c r="C7055" s="8" t="s">
        <v>6099</v>
      </c>
      <c r="D7055" s="8" t="s">
        <v>14</v>
      </c>
      <c r="E7055" s="8" t="s">
        <v>3870</v>
      </c>
      <c r="F7055" s="8">
        <v>8.299352913E9</v>
      </c>
    </row>
    <row r="7056" ht="15.75" customHeight="1">
      <c r="A7056" s="8" t="s">
        <v>6100</v>
      </c>
      <c r="B7056" s="8" t="s">
        <v>6101</v>
      </c>
      <c r="C7056" s="8" t="s">
        <v>5961</v>
      </c>
      <c r="D7056" s="8" t="s">
        <v>9</v>
      </c>
      <c r="E7056" s="8" t="s">
        <v>4276</v>
      </c>
      <c r="F7056" s="8">
        <v>7.569506481E9</v>
      </c>
    </row>
    <row r="7057" ht="15.75" customHeight="1">
      <c r="A7057" s="8" t="s">
        <v>6102</v>
      </c>
      <c r="B7057" s="8" t="s">
        <v>5600</v>
      </c>
      <c r="C7057" s="8" t="s">
        <v>6103</v>
      </c>
      <c r="D7057" s="8" t="s">
        <v>26</v>
      </c>
      <c r="E7057" s="8" t="s">
        <v>5408</v>
      </c>
      <c r="F7057" s="8">
        <v>7.837414824E9</v>
      </c>
    </row>
    <row r="7058" ht="15.75" customHeight="1">
      <c r="A7058" s="8" t="s">
        <v>1889</v>
      </c>
      <c r="B7058" s="8" t="s">
        <v>459</v>
      </c>
      <c r="C7058" s="8" t="s">
        <v>6104</v>
      </c>
      <c r="D7058" s="8" t="s">
        <v>44</v>
      </c>
      <c r="E7058" s="8" t="s">
        <v>6105</v>
      </c>
      <c r="F7058" s="8">
        <v>9.71999632E9</v>
      </c>
    </row>
    <row r="7059" ht="15.75" customHeight="1">
      <c r="A7059" s="8" t="s">
        <v>124</v>
      </c>
      <c r="B7059" s="8" t="s">
        <v>47</v>
      </c>
      <c r="C7059" s="8" t="s">
        <v>6106</v>
      </c>
      <c r="D7059" s="8" t="s">
        <v>56</v>
      </c>
      <c r="E7059" s="8" t="s">
        <v>6107</v>
      </c>
      <c r="F7059" s="8">
        <v>7.056166826E9</v>
      </c>
    </row>
    <row r="7060" ht="15.75" customHeight="1">
      <c r="A7060" s="8" t="s">
        <v>6108</v>
      </c>
      <c r="B7060" s="8" t="s">
        <v>6109</v>
      </c>
      <c r="C7060" s="8" t="s">
        <v>6110</v>
      </c>
      <c r="D7060" s="8" t="s">
        <v>29</v>
      </c>
      <c r="E7060" s="8" t="s">
        <v>5285</v>
      </c>
      <c r="F7060" s="8">
        <v>9.443267955E9</v>
      </c>
    </row>
    <row r="7061" ht="15.75" customHeight="1">
      <c r="A7061" s="8" t="s">
        <v>6111</v>
      </c>
      <c r="B7061" s="8" t="s">
        <v>6112</v>
      </c>
      <c r="C7061" s="8" t="s">
        <v>6113</v>
      </c>
      <c r="D7061" s="8" t="s">
        <v>9</v>
      </c>
      <c r="E7061" s="8" t="s">
        <v>434</v>
      </c>
      <c r="F7061" s="8">
        <v>7.777093817E9</v>
      </c>
    </row>
    <row r="7062" ht="15.75" customHeight="1">
      <c r="A7062" s="8" t="s">
        <v>5876</v>
      </c>
      <c r="B7062" s="8" t="s">
        <v>119</v>
      </c>
      <c r="C7062" s="8" t="s">
        <v>6114</v>
      </c>
      <c r="D7062" s="8" t="s">
        <v>26</v>
      </c>
      <c r="E7062" s="8" t="s">
        <v>3453</v>
      </c>
      <c r="F7062" s="8">
        <v>9.752411419E9</v>
      </c>
    </row>
    <row r="7063" ht="15.75" customHeight="1">
      <c r="A7063" s="8" t="s">
        <v>6115</v>
      </c>
      <c r="B7063" s="8" t="s">
        <v>6116</v>
      </c>
      <c r="C7063" s="8" t="s">
        <v>6117</v>
      </c>
      <c r="D7063" s="8" t="s">
        <v>9</v>
      </c>
      <c r="E7063" s="8" t="s">
        <v>1102</v>
      </c>
      <c r="F7063" s="8">
        <v>8.377885939E9</v>
      </c>
    </row>
    <row r="7064" ht="15.75" customHeight="1">
      <c r="A7064" s="8" t="s">
        <v>6118</v>
      </c>
      <c r="B7064" s="8" t="s">
        <v>6119</v>
      </c>
      <c r="C7064" s="8" t="s">
        <v>5976</v>
      </c>
      <c r="D7064" s="8" t="s">
        <v>26</v>
      </c>
      <c r="E7064" s="8" t="s">
        <v>6120</v>
      </c>
      <c r="F7064" s="8">
        <v>8.239963032E9</v>
      </c>
    </row>
    <row r="7065" ht="15.75" customHeight="1">
      <c r="A7065" s="8" t="s">
        <v>496</v>
      </c>
      <c r="B7065" s="8" t="s">
        <v>6121</v>
      </c>
      <c r="C7065" s="8" t="s">
        <v>6122</v>
      </c>
      <c r="D7065" s="8" t="s">
        <v>29</v>
      </c>
      <c r="E7065" s="8" t="s">
        <v>6123</v>
      </c>
      <c r="F7065" s="8">
        <v>8.668970423E9</v>
      </c>
    </row>
    <row r="7066" ht="15.75" customHeight="1">
      <c r="A7066" s="8" t="s">
        <v>6124</v>
      </c>
      <c r="B7066" s="8" t="s">
        <v>6125</v>
      </c>
      <c r="C7066" s="8" t="s">
        <v>6126</v>
      </c>
      <c r="D7066" s="8" t="s">
        <v>26</v>
      </c>
      <c r="E7066" s="8" t="s">
        <v>6127</v>
      </c>
      <c r="F7066" s="8">
        <v>6.361056915E9</v>
      </c>
    </row>
    <row r="7067" ht="15.75" customHeight="1">
      <c r="A7067" s="8" t="s">
        <v>1534</v>
      </c>
      <c r="B7067" s="8" t="s">
        <v>6128</v>
      </c>
      <c r="C7067" s="8" t="s">
        <v>6122</v>
      </c>
      <c r="D7067" s="8" t="s">
        <v>26</v>
      </c>
      <c r="E7067" s="8" t="s">
        <v>6123</v>
      </c>
      <c r="F7067" s="8">
        <v>8.767086171E9</v>
      </c>
    </row>
    <row r="7068" ht="15.75" customHeight="1">
      <c r="A7068" s="8" t="s">
        <v>6129</v>
      </c>
      <c r="B7068" s="8" t="s">
        <v>800</v>
      </c>
      <c r="C7068" s="8" t="s">
        <v>6130</v>
      </c>
      <c r="D7068" s="8" t="s">
        <v>26</v>
      </c>
      <c r="E7068" s="8" t="s">
        <v>5230</v>
      </c>
      <c r="F7068" s="8">
        <v>9.886873719E9</v>
      </c>
    </row>
    <row r="7069" ht="15.75" customHeight="1">
      <c r="A7069" s="8" t="s">
        <v>6131</v>
      </c>
      <c r="B7069" s="8" t="s">
        <v>6132</v>
      </c>
      <c r="C7069" s="8" t="s">
        <v>6133</v>
      </c>
      <c r="D7069" s="8" t="s">
        <v>56</v>
      </c>
      <c r="E7069" s="8" t="s">
        <v>6134</v>
      </c>
      <c r="F7069" s="8">
        <v>9.108723586E9</v>
      </c>
    </row>
    <row r="7070" ht="15.75" customHeight="1">
      <c r="A7070" s="8" t="s">
        <v>6135</v>
      </c>
      <c r="B7070" s="8" t="s">
        <v>4054</v>
      </c>
      <c r="C7070" s="8" t="s">
        <v>6136</v>
      </c>
      <c r="D7070" s="8" t="s">
        <v>9</v>
      </c>
      <c r="E7070" s="8" t="s">
        <v>2025</v>
      </c>
      <c r="F7070" s="8">
        <v>8.595532249E9</v>
      </c>
    </row>
    <row r="7071" ht="15.75" customHeight="1">
      <c r="A7071" s="8" t="s">
        <v>189</v>
      </c>
      <c r="B7071" s="8" t="s">
        <v>5098</v>
      </c>
      <c r="C7071" s="8" t="s">
        <v>6137</v>
      </c>
      <c r="D7071" s="8" t="s">
        <v>44</v>
      </c>
      <c r="E7071" s="8" t="s">
        <v>1102</v>
      </c>
      <c r="F7071" s="8">
        <v>8.130090774E9</v>
      </c>
    </row>
    <row r="7072" ht="15.75" customHeight="1">
      <c r="A7072" s="8" t="s">
        <v>5426</v>
      </c>
      <c r="B7072" s="8" t="s">
        <v>122</v>
      </c>
      <c r="C7072" s="8" t="s">
        <v>6138</v>
      </c>
      <c r="D7072" s="8" t="s">
        <v>56</v>
      </c>
      <c r="E7072" s="8" t="s">
        <v>5408</v>
      </c>
      <c r="F7072" s="8">
        <v>8.006525352E9</v>
      </c>
    </row>
    <row r="7073" ht="15.75" customHeight="1">
      <c r="A7073" s="8" t="s">
        <v>1450</v>
      </c>
      <c r="B7073" s="8" t="s">
        <v>214</v>
      </c>
      <c r="C7073" s="8" t="s">
        <v>6945</v>
      </c>
      <c r="D7073" s="8" t="s">
        <v>102</v>
      </c>
      <c r="E7073" s="8" t="s">
        <v>434</v>
      </c>
      <c r="F7073" s="8">
        <v>9.049645177E9</v>
      </c>
    </row>
    <row r="7074" ht="15.75" customHeight="1">
      <c r="A7074" s="8" t="s">
        <v>6139</v>
      </c>
      <c r="B7074" s="8" t="s">
        <v>6140</v>
      </c>
      <c r="C7074" s="8" t="s">
        <v>6141</v>
      </c>
      <c r="D7074" s="8" t="s">
        <v>9</v>
      </c>
      <c r="E7074" s="8" t="s">
        <v>6142</v>
      </c>
      <c r="F7074" s="8">
        <v>9.73244664E9</v>
      </c>
    </row>
    <row r="7075" ht="15.75" customHeight="1">
      <c r="A7075" s="8" t="s">
        <v>2286</v>
      </c>
      <c r="B7075" s="8" t="s">
        <v>508</v>
      </c>
      <c r="C7075" s="8" t="s">
        <v>6143</v>
      </c>
      <c r="D7075" s="8" t="s">
        <v>9</v>
      </c>
      <c r="E7075" s="8" t="s">
        <v>4546</v>
      </c>
      <c r="F7075" s="8">
        <v>8.318071114E9</v>
      </c>
    </row>
    <row r="7076" ht="15.75" customHeight="1">
      <c r="A7076" s="8" t="s">
        <v>5053</v>
      </c>
      <c r="B7076" s="8" t="s">
        <v>722</v>
      </c>
      <c r="C7076" s="8" t="s">
        <v>6144</v>
      </c>
      <c r="D7076" s="8" t="s">
        <v>29</v>
      </c>
      <c r="E7076" s="8" t="s">
        <v>4867</v>
      </c>
      <c r="F7076" s="8">
        <v>7.091495434E9</v>
      </c>
    </row>
    <row r="7077" ht="15.75" customHeight="1">
      <c r="A7077" s="8" t="s">
        <v>6145</v>
      </c>
      <c r="B7077" s="8" t="s">
        <v>4229</v>
      </c>
      <c r="C7077" s="8" t="s">
        <v>6146</v>
      </c>
      <c r="D7077" s="8" t="s">
        <v>9</v>
      </c>
      <c r="E7077" s="8" t="s">
        <v>4923</v>
      </c>
      <c r="F7077" s="8">
        <v>8.69983574E9</v>
      </c>
    </row>
    <row r="7078" ht="15.75" customHeight="1">
      <c r="A7078" s="8" t="s">
        <v>6147</v>
      </c>
      <c r="B7078" s="8" t="s">
        <v>5793</v>
      </c>
      <c r="C7078" s="8" t="s">
        <v>6148</v>
      </c>
      <c r="D7078" s="8" t="s">
        <v>44</v>
      </c>
      <c r="E7078" s="8" t="s">
        <v>6149</v>
      </c>
      <c r="F7078" s="8">
        <v>6.290790106E9</v>
      </c>
    </row>
    <row r="7079" ht="15.75" customHeight="1">
      <c r="A7079" s="8" t="s">
        <v>6150</v>
      </c>
      <c r="B7079" s="8" t="s">
        <v>6151</v>
      </c>
      <c r="C7079" s="8" t="s">
        <v>6152</v>
      </c>
      <c r="D7079" s="8" t="s">
        <v>26</v>
      </c>
      <c r="E7079" s="8" t="s">
        <v>2575</v>
      </c>
      <c r="F7079" s="8">
        <v>9.840408371E9</v>
      </c>
    </row>
    <row r="7080" ht="15.75" customHeight="1">
      <c r="A7080" s="8" t="s">
        <v>6153</v>
      </c>
      <c r="B7080" s="8" t="s">
        <v>6154</v>
      </c>
      <c r="C7080" s="8" t="s">
        <v>6155</v>
      </c>
      <c r="D7080" s="8" t="s">
        <v>56</v>
      </c>
      <c r="E7080" s="8" t="s">
        <v>4941</v>
      </c>
      <c r="F7080" s="8">
        <v>8.008506548E9</v>
      </c>
    </row>
    <row r="7081" ht="15.75" customHeight="1">
      <c r="A7081" s="8" t="s">
        <v>6156</v>
      </c>
      <c r="B7081" s="8" t="s">
        <v>108</v>
      </c>
      <c r="C7081" s="8" t="s">
        <v>6157</v>
      </c>
      <c r="D7081" s="8" t="s">
        <v>9</v>
      </c>
      <c r="E7081" s="8" t="s">
        <v>1102</v>
      </c>
      <c r="F7081" s="8" t="s">
        <v>6158</v>
      </c>
    </row>
    <row r="7082" ht="15.75" customHeight="1">
      <c r="A7082" s="8" t="s">
        <v>6159</v>
      </c>
      <c r="B7082" s="8" t="s">
        <v>1265</v>
      </c>
      <c r="C7082" s="8" t="s">
        <v>4409</v>
      </c>
      <c r="D7082" s="8" t="s">
        <v>56</v>
      </c>
      <c r="E7082" s="8" t="s">
        <v>6160</v>
      </c>
      <c r="F7082" s="8">
        <v>9.0646629E9</v>
      </c>
    </row>
    <row r="7083" ht="15.75" customHeight="1">
      <c r="A7083" s="8" t="s">
        <v>6161</v>
      </c>
      <c r="B7083" s="8" t="s">
        <v>6162</v>
      </c>
      <c r="C7083" s="8" t="s">
        <v>6163</v>
      </c>
      <c r="D7083" s="8" t="s">
        <v>29</v>
      </c>
      <c r="E7083" s="8" t="s">
        <v>4583</v>
      </c>
      <c r="F7083" s="8">
        <v>6.372716938E9</v>
      </c>
    </row>
    <row r="7084" ht="15.75" customHeight="1">
      <c r="A7084" s="8" t="s">
        <v>6164</v>
      </c>
      <c r="B7084" s="8" t="s">
        <v>5460</v>
      </c>
      <c r="C7084" s="8" t="s">
        <v>6137</v>
      </c>
      <c r="D7084" s="8" t="s">
        <v>9</v>
      </c>
      <c r="E7084" s="8" t="s">
        <v>6165</v>
      </c>
      <c r="F7084" s="8">
        <v>8.527862514E9</v>
      </c>
    </row>
    <row r="7085" ht="15.75" customHeight="1">
      <c r="A7085" s="8" t="s">
        <v>6166</v>
      </c>
      <c r="B7085" s="8" t="s">
        <v>6167</v>
      </c>
      <c r="C7085" s="8" t="s">
        <v>6168</v>
      </c>
      <c r="D7085" s="8" t="s">
        <v>26</v>
      </c>
      <c r="E7085" s="8" t="s">
        <v>5204</v>
      </c>
      <c r="F7085" s="8">
        <v>9.4036314E9</v>
      </c>
    </row>
    <row r="7086" ht="15.75" customHeight="1">
      <c r="A7086" s="8" t="s">
        <v>6169</v>
      </c>
      <c r="B7086" s="8" t="s">
        <v>6170</v>
      </c>
      <c r="C7086" s="8" t="s">
        <v>6171</v>
      </c>
      <c r="D7086" s="8" t="s">
        <v>26</v>
      </c>
      <c r="E7086" s="8" t="s">
        <v>4484</v>
      </c>
      <c r="F7086" s="8">
        <v>9.8915357E9</v>
      </c>
    </row>
    <row r="7087" ht="15.75" customHeight="1">
      <c r="A7087" s="8" t="s">
        <v>4511</v>
      </c>
      <c r="B7087" s="8" t="s">
        <v>6172</v>
      </c>
      <c r="C7087" s="8" t="s">
        <v>6173</v>
      </c>
      <c r="D7087" s="8" t="s">
        <v>56</v>
      </c>
      <c r="E7087" s="8" t="s">
        <v>6174</v>
      </c>
      <c r="F7087" s="8">
        <v>7.219896561E9</v>
      </c>
    </row>
    <row r="7088" ht="15.75" customHeight="1">
      <c r="A7088" s="8" t="s">
        <v>6175</v>
      </c>
      <c r="B7088" s="8" t="s">
        <v>6176</v>
      </c>
      <c r="C7088" s="8" t="s">
        <v>6177</v>
      </c>
      <c r="D7088" s="8" t="s">
        <v>44</v>
      </c>
      <c r="E7088" s="8" t="s">
        <v>6178</v>
      </c>
      <c r="F7088" s="8">
        <v>9.930413263E9</v>
      </c>
    </row>
    <row r="7089" ht="15.75" customHeight="1">
      <c r="A7089" s="8" t="s">
        <v>535</v>
      </c>
      <c r="B7089" s="8" t="s">
        <v>6150</v>
      </c>
      <c r="C7089" s="8" t="s">
        <v>6152</v>
      </c>
      <c r="D7089" s="8" t="s">
        <v>26</v>
      </c>
      <c r="E7089" s="8" t="s">
        <v>2575</v>
      </c>
      <c r="F7089" s="8">
        <v>9.080022682E9</v>
      </c>
    </row>
    <row r="7090" ht="15.75" customHeight="1">
      <c r="A7090" s="8" t="s">
        <v>6179</v>
      </c>
      <c r="B7090" s="8" t="s">
        <v>800</v>
      </c>
      <c r="C7090" s="8" t="s">
        <v>6180</v>
      </c>
      <c r="D7090" s="8" t="s">
        <v>26</v>
      </c>
      <c r="E7090" s="8" t="s">
        <v>6181</v>
      </c>
      <c r="F7090" s="8">
        <v>8.420105137E9</v>
      </c>
    </row>
    <row r="7091" ht="15.75" customHeight="1">
      <c r="A7091" s="8" t="s">
        <v>3078</v>
      </c>
      <c r="B7091" s="8" t="s">
        <v>6182</v>
      </c>
      <c r="C7091" s="8" t="s">
        <v>6183</v>
      </c>
      <c r="D7091" s="8" t="s">
        <v>56</v>
      </c>
      <c r="E7091" s="8" t="s">
        <v>6184</v>
      </c>
      <c r="F7091" s="8">
        <v>8.870947641E9</v>
      </c>
    </row>
    <row r="7092" ht="15.75" customHeight="1">
      <c r="A7092" s="8" t="s">
        <v>477</v>
      </c>
      <c r="B7092" s="8" t="s">
        <v>55</v>
      </c>
      <c r="C7092" s="8" t="s">
        <v>6185</v>
      </c>
      <c r="D7092" s="8" t="s">
        <v>44</v>
      </c>
      <c r="E7092" s="8" t="s">
        <v>6186</v>
      </c>
      <c r="F7092" s="8">
        <v>8.287339159E9</v>
      </c>
    </row>
    <row r="7093" ht="15.75" customHeight="1">
      <c r="A7093" s="8" t="s">
        <v>6187</v>
      </c>
      <c r="B7093" s="8" t="s">
        <v>6188</v>
      </c>
      <c r="C7093" s="8" t="s">
        <v>6189</v>
      </c>
      <c r="D7093" s="8" t="s">
        <v>44</v>
      </c>
      <c r="E7093" s="8" t="s">
        <v>4276</v>
      </c>
      <c r="F7093" s="8">
        <v>9.866120731E9</v>
      </c>
    </row>
    <row r="7094" ht="15.75" customHeight="1">
      <c r="A7094" s="8" t="s">
        <v>5215</v>
      </c>
      <c r="B7094" s="8" t="s">
        <v>119</v>
      </c>
      <c r="C7094" s="8" t="s">
        <v>6190</v>
      </c>
      <c r="D7094" s="8" t="s">
        <v>56</v>
      </c>
      <c r="E7094" s="8" t="s">
        <v>6029</v>
      </c>
      <c r="F7094" s="8">
        <v>9.050370014E9</v>
      </c>
    </row>
    <row r="7095" ht="15.75" customHeight="1">
      <c r="A7095" s="8" t="s">
        <v>6191</v>
      </c>
      <c r="B7095" s="8" t="s">
        <v>6192</v>
      </c>
      <c r="C7095" s="8" t="s">
        <v>6193</v>
      </c>
      <c r="D7095" s="8" t="s">
        <v>9</v>
      </c>
      <c r="E7095" s="8" t="s">
        <v>6037</v>
      </c>
      <c r="F7095" s="8">
        <v>8.83896985E9</v>
      </c>
    </row>
    <row r="7096" ht="15.75" customHeight="1">
      <c r="A7096" s="8" t="s">
        <v>466</v>
      </c>
      <c r="B7096" s="8" t="s">
        <v>5537</v>
      </c>
      <c r="C7096" s="8" t="s">
        <v>6194</v>
      </c>
      <c r="D7096" s="8" t="s">
        <v>56</v>
      </c>
      <c r="E7096" s="8" t="s">
        <v>1102</v>
      </c>
      <c r="F7096" s="8">
        <v>7.042533515E9</v>
      </c>
    </row>
    <row r="7097" ht="15.75" customHeight="1">
      <c r="A7097" s="8" t="s">
        <v>1035</v>
      </c>
      <c r="B7097" s="8" t="s">
        <v>6195</v>
      </c>
      <c r="C7097" s="8" t="s">
        <v>6067</v>
      </c>
      <c r="D7097" s="8" t="s">
        <v>56</v>
      </c>
      <c r="E7097" s="8" t="s">
        <v>4276</v>
      </c>
      <c r="F7097" s="8">
        <v>7.337420973E9</v>
      </c>
    </row>
    <row r="7098" ht="15.75" customHeight="1">
      <c r="A7098" s="8" t="s">
        <v>6197</v>
      </c>
      <c r="B7098" s="8" t="s">
        <v>5062</v>
      </c>
      <c r="C7098" s="8" t="s">
        <v>5063</v>
      </c>
      <c r="D7098" s="8" t="s">
        <v>14</v>
      </c>
      <c r="E7098" s="8" t="s">
        <v>195</v>
      </c>
      <c r="F7098" s="8">
        <v>1.0</v>
      </c>
    </row>
    <row r="7099" ht="15.75" customHeight="1">
      <c r="A7099" s="8" t="s">
        <v>6198</v>
      </c>
      <c r="B7099" s="8" t="s">
        <v>4614</v>
      </c>
      <c r="C7099" s="8" t="s">
        <v>6199</v>
      </c>
      <c r="D7099" s="8" t="s">
        <v>44</v>
      </c>
      <c r="E7099" s="8" t="s">
        <v>6142</v>
      </c>
      <c r="F7099" s="8">
        <v>9.600816357E9</v>
      </c>
    </row>
    <row r="7100" ht="15.75" customHeight="1">
      <c r="A7100" s="8" t="s">
        <v>6200</v>
      </c>
      <c r="B7100" s="8" t="s">
        <v>6201</v>
      </c>
      <c r="C7100" s="8" t="s">
        <v>5227</v>
      </c>
      <c r="D7100" s="8" t="s">
        <v>9</v>
      </c>
      <c r="E7100" s="8" t="s">
        <v>4276</v>
      </c>
      <c r="F7100" s="8">
        <v>7.095729838E9</v>
      </c>
    </row>
    <row r="7101" ht="15.75" customHeight="1">
      <c r="A7101" s="8" t="s">
        <v>2749</v>
      </c>
      <c r="B7101" s="8" t="s">
        <v>675</v>
      </c>
      <c r="C7101" s="8" t="s">
        <v>5063</v>
      </c>
      <c r="D7101" s="8" t="s">
        <v>14</v>
      </c>
      <c r="E7101" s="8" t="s">
        <v>434</v>
      </c>
      <c r="F7101" s="8">
        <v>7.400281899E9</v>
      </c>
    </row>
    <row r="7102" ht="15.75" customHeight="1">
      <c r="A7102" s="8" t="s">
        <v>105</v>
      </c>
      <c r="B7102" s="8" t="s">
        <v>6202</v>
      </c>
      <c r="C7102" s="8" t="s">
        <v>5063</v>
      </c>
      <c r="D7102" s="8" t="s">
        <v>14</v>
      </c>
      <c r="E7102" s="8" t="s">
        <v>434</v>
      </c>
      <c r="F7102" s="8">
        <v>7.400281899E9</v>
      </c>
    </row>
    <row r="7103" ht="15.75" customHeight="1">
      <c r="A7103" s="8" t="s">
        <v>201</v>
      </c>
      <c r="B7103" s="8" t="s">
        <v>68</v>
      </c>
      <c r="C7103" s="8" t="s">
        <v>5991</v>
      </c>
      <c r="D7103" s="8" t="s">
        <v>56</v>
      </c>
      <c r="E7103" s="8" t="s">
        <v>494</v>
      </c>
      <c r="F7103" s="8">
        <v>9.811229554E9</v>
      </c>
    </row>
    <row r="7104" ht="15.75" customHeight="1">
      <c r="A7104" s="8" t="s">
        <v>2693</v>
      </c>
      <c r="B7104" s="8" t="s">
        <v>3846</v>
      </c>
      <c r="C7104" s="8" t="s">
        <v>6203</v>
      </c>
      <c r="D7104" s="8" t="s">
        <v>9</v>
      </c>
      <c r="E7104" s="8" t="s">
        <v>4015</v>
      </c>
      <c r="F7104" s="8">
        <v>9.811225751E9</v>
      </c>
    </row>
    <row r="7105" ht="15.75" customHeight="1">
      <c r="A7105" s="8" t="s">
        <v>6204</v>
      </c>
      <c r="B7105" s="8" t="s">
        <v>6205</v>
      </c>
      <c r="C7105" s="8" t="s">
        <v>6206</v>
      </c>
      <c r="D7105" s="8" t="s">
        <v>26</v>
      </c>
      <c r="E7105" s="8" t="s">
        <v>4941</v>
      </c>
      <c r="F7105" s="8">
        <v>9.701550873E9</v>
      </c>
    </row>
    <row r="7106" ht="15.75" customHeight="1">
      <c r="A7106" s="8" t="s">
        <v>1153</v>
      </c>
      <c r="B7106" s="8" t="s">
        <v>1812</v>
      </c>
      <c r="C7106" s="8" t="s">
        <v>6207</v>
      </c>
      <c r="D7106" s="8" t="s">
        <v>9</v>
      </c>
      <c r="E7106" s="8" t="s">
        <v>6208</v>
      </c>
      <c r="F7106" s="8">
        <v>9.352565404E9</v>
      </c>
    </row>
    <row r="7107" ht="15.75" customHeight="1">
      <c r="A7107" s="8" t="s">
        <v>6209</v>
      </c>
      <c r="B7107" s="8" t="s">
        <v>6210</v>
      </c>
      <c r="C7107" s="8" t="s">
        <v>4586</v>
      </c>
      <c r="D7107" s="8" t="s">
        <v>29</v>
      </c>
      <c r="E7107" s="8" t="s">
        <v>6211</v>
      </c>
      <c r="F7107" s="8">
        <v>8.349393789E9</v>
      </c>
    </row>
    <row r="7108" ht="15.75" customHeight="1">
      <c r="A7108" s="8" t="s">
        <v>800</v>
      </c>
      <c r="B7108" s="8" t="s">
        <v>1441</v>
      </c>
      <c r="C7108" s="8" t="s">
        <v>6215</v>
      </c>
      <c r="D7108" s="8" t="s">
        <v>44</v>
      </c>
      <c r="E7108" s="8" t="s">
        <v>6216</v>
      </c>
      <c r="F7108" s="8">
        <v>9.846403355E9</v>
      </c>
    </row>
    <row r="7109" ht="15.75" customHeight="1">
      <c r="A7109" s="8" t="s">
        <v>4846</v>
      </c>
      <c r="B7109" s="8" t="s">
        <v>6217</v>
      </c>
      <c r="C7109" s="8" t="s">
        <v>412</v>
      </c>
      <c r="D7109" s="8" t="s">
        <v>44</v>
      </c>
      <c r="E7109" s="8" t="s">
        <v>4867</v>
      </c>
      <c r="F7109" s="8">
        <v>9.93480059E9</v>
      </c>
    </row>
    <row r="7110" ht="15.75" customHeight="1">
      <c r="A7110" s="8" t="s">
        <v>146</v>
      </c>
      <c r="B7110" s="8" t="s">
        <v>382</v>
      </c>
      <c r="C7110" s="8" t="s">
        <v>6218</v>
      </c>
      <c r="D7110" s="8" t="s">
        <v>26</v>
      </c>
      <c r="E7110" s="8" t="s">
        <v>494</v>
      </c>
      <c r="F7110" s="8">
        <v>9.315978494E9</v>
      </c>
    </row>
    <row r="7111" ht="15.75" customHeight="1">
      <c r="A7111" s="8" t="s">
        <v>1015</v>
      </c>
      <c r="B7111" s="8" t="s">
        <v>6219</v>
      </c>
      <c r="C7111" s="8" t="s">
        <v>5063</v>
      </c>
      <c r="D7111" s="8" t="s">
        <v>14</v>
      </c>
      <c r="E7111" s="8" t="s">
        <v>434</v>
      </c>
      <c r="F7111" s="8">
        <v>7.400281899E9</v>
      </c>
    </row>
    <row r="7112" ht="15.75" customHeight="1">
      <c r="A7112" s="8" t="s">
        <v>2483</v>
      </c>
      <c r="B7112" s="8" t="s">
        <v>6220</v>
      </c>
      <c r="C7112" s="8" t="s">
        <v>6221</v>
      </c>
      <c r="D7112" s="8" t="s">
        <v>56</v>
      </c>
      <c r="E7112" s="8" t="s">
        <v>2575</v>
      </c>
      <c r="F7112" s="8">
        <v>8.056032111E9</v>
      </c>
    </row>
    <row r="7113" ht="15.75" customHeight="1">
      <c r="A7113" s="8" t="s">
        <v>6222</v>
      </c>
      <c r="B7113" s="8" t="s">
        <v>6223</v>
      </c>
      <c r="C7113" s="8" t="s">
        <v>4475</v>
      </c>
      <c r="D7113" s="8" t="s">
        <v>56</v>
      </c>
      <c r="E7113" s="8" t="s">
        <v>4276</v>
      </c>
      <c r="F7113" s="8">
        <v>8.788089664E9</v>
      </c>
    </row>
    <row r="7114" ht="15.75" customHeight="1">
      <c r="A7114" s="8" t="s">
        <v>1725</v>
      </c>
      <c r="B7114" s="8" t="s">
        <v>6226</v>
      </c>
      <c r="C7114" s="8" t="s">
        <v>6227</v>
      </c>
      <c r="D7114" s="8" t="s">
        <v>1108</v>
      </c>
      <c r="E7114" s="8" t="s">
        <v>434</v>
      </c>
      <c r="F7114" s="8">
        <v>7.799140406E9</v>
      </c>
    </row>
    <row r="7115" ht="15.75" customHeight="1">
      <c r="A7115" s="8" t="s">
        <v>6230</v>
      </c>
      <c r="B7115" s="8" t="s">
        <v>1672</v>
      </c>
      <c r="C7115" s="8" t="s">
        <v>4149</v>
      </c>
      <c r="D7115" s="8" t="s">
        <v>9</v>
      </c>
      <c r="E7115" s="8" t="s">
        <v>4150</v>
      </c>
      <c r="F7115" s="8">
        <v>7.876146101E9</v>
      </c>
    </row>
    <row r="7116" ht="15.75" customHeight="1">
      <c r="A7116" s="8" t="s">
        <v>2713</v>
      </c>
      <c r="B7116" s="8" t="s">
        <v>6097</v>
      </c>
      <c r="C7116" s="8" t="s">
        <v>6231</v>
      </c>
      <c r="D7116" s="8" t="s">
        <v>9</v>
      </c>
      <c r="E7116" s="8" t="s">
        <v>1102</v>
      </c>
      <c r="F7116" s="8">
        <v>8.383866632E9</v>
      </c>
    </row>
    <row r="7117" ht="15.75" customHeight="1">
      <c r="A7117" s="8" t="s">
        <v>6233</v>
      </c>
      <c r="B7117" s="8" t="s">
        <v>6234</v>
      </c>
      <c r="C7117" s="8" t="s">
        <v>4475</v>
      </c>
      <c r="D7117" s="8" t="s">
        <v>26</v>
      </c>
      <c r="E7117" s="8" t="s">
        <v>6235</v>
      </c>
      <c r="F7117" s="8">
        <v>7.013852185E9</v>
      </c>
    </row>
    <row r="7118" ht="15.75" customHeight="1">
      <c r="A7118" s="8" t="s">
        <v>6946</v>
      </c>
      <c r="B7118" s="8" t="s">
        <v>1646</v>
      </c>
      <c r="C7118" s="8" t="s">
        <v>6947</v>
      </c>
      <c r="D7118" s="8" t="s">
        <v>102</v>
      </c>
      <c r="E7118" s="8" t="s">
        <v>6948</v>
      </c>
      <c r="F7118" s="8">
        <v>9.730657256E9</v>
      </c>
    </row>
    <row r="7119" ht="15.75" customHeight="1">
      <c r="A7119" s="8" t="s">
        <v>33</v>
      </c>
      <c r="B7119" s="8" t="s">
        <v>2017</v>
      </c>
      <c r="C7119" s="8" t="s">
        <v>6236</v>
      </c>
      <c r="D7119" s="8" t="s">
        <v>56</v>
      </c>
      <c r="E7119" s="8" t="s">
        <v>15</v>
      </c>
      <c r="F7119" s="8">
        <v>9.545669762E9</v>
      </c>
    </row>
    <row r="7120" ht="15.75" customHeight="1">
      <c r="A7120" s="8" t="s">
        <v>4593</v>
      </c>
      <c r="B7120" s="8" t="s">
        <v>6237</v>
      </c>
      <c r="C7120" s="8" t="s">
        <v>6238</v>
      </c>
      <c r="D7120" s="8" t="s">
        <v>44</v>
      </c>
      <c r="E7120" s="8" t="s">
        <v>4276</v>
      </c>
      <c r="F7120" s="8">
        <v>9.398122957E9</v>
      </c>
    </row>
    <row r="7121" ht="15.75" customHeight="1">
      <c r="A7121" s="8" t="s">
        <v>6239</v>
      </c>
      <c r="B7121" s="8" t="s">
        <v>6240</v>
      </c>
      <c r="C7121" s="8" t="s">
        <v>6053</v>
      </c>
      <c r="D7121" s="8" t="s">
        <v>56</v>
      </c>
      <c r="E7121" s="8" t="s">
        <v>494</v>
      </c>
      <c r="F7121" s="8">
        <v>8.800654091E9</v>
      </c>
    </row>
    <row r="7122" ht="15.75" customHeight="1">
      <c r="A7122" s="8" t="s">
        <v>6241</v>
      </c>
      <c r="B7122" s="8" t="s">
        <v>6242</v>
      </c>
      <c r="C7122" s="8" t="s">
        <v>6243</v>
      </c>
      <c r="D7122" s="8" t="s">
        <v>56</v>
      </c>
      <c r="E7122" s="8" t="s">
        <v>15</v>
      </c>
      <c r="F7122" s="8">
        <v>7.71077135E9</v>
      </c>
    </row>
    <row r="7123" ht="15.75" customHeight="1">
      <c r="A7123" s="8" t="s">
        <v>6244</v>
      </c>
      <c r="B7123" s="8" t="s">
        <v>6245</v>
      </c>
      <c r="C7123" s="8" t="s">
        <v>6246</v>
      </c>
      <c r="D7123" s="8" t="s">
        <v>56</v>
      </c>
      <c r="E7123" s="8" t="s">
        <v>494</v>
      </c>
      <c r="F7123" s="8">
        <v>9.910803651E9</v>
      </c>
    </row>
    <row r="7124" ht="15.75" customHeight="1">
      <c r="A7124" s="8" t="s">
        <v>125</v>
      </c>
      <c r="B7124" s="8" t="s">
        <v>47</v>
      </c>
      <c r="C7124" s="8" t="s">
        <v>6251</v>
      </c>
      <c r="D7124" s="8" t="s">
        <v>44</v>
      </c>
      <c r="E7124" s="8" t="s">
        <v>6107</v>
      </c>
      <c r="F7124" s="8">
        <v>7.015274292E9</v>
      </c>
    </row>
    <row r="7125" ht="15.75" customHeight="1">
      <c r="A7125" s="8" t="s">
        <v>6252</v>
      </c>
      <c r="B7125" s="8" t="s">
        <v>6253</v>
      </c>
      <c r="C7125" s="8" t="s">
        <v>6189</v>
      </c>
      <c r="D7125" s="8" t="s">
        <v>56</v>
      </c>
      <c r="E7125" s="8" t="s">
        <v>4276</v>
      </c>
      <c r="F7125" s="8">
        <v>9.346727627E9</v>
      </c>
    </row>
    <row r="7126" ht="15.75" customHeight="1">
      <c r="A7126" s="8" t="s">
        <v>6254</v>
      </c>
      <c r="B7126" s="8" t="s">
        <v>6255</v>
      </c>
      <c r="C7126" s="8" t="s">
        <v>6256</v>
      </c>
      <c r="D7126" s="8" t="s">
        <v>26</v>
      </c>
      <c r="E7126" s="8" t="s">
        <v>4941</v>
      </c>
      <c r="F7126" s="8">
        <v>9.391734799E9</v>
      </c>
    </row>
    <row r="7127" ht="15.75" customHeight="1">
      <c r="A7127" s="8" t="s">
        <v>4605</v>
      </c>
      <c r="B7127" s="8" t="s">
        <v>147</v>
      </c>
      <c r="C7127" s="8" t="s">
        <v>6257</v>
      </c>
      <c r="D7127" s="8" t="s">
        <v>26</v>
      </c>
      <c r="E7127" s="8" t="s">
        <v>434</v>
      </c>
      <c r="F7127" s="8">
        <v>9.821017544E9</v>
      </c>
    </row>
    <row r="7128" ht="15.75" customHeight="1">
      <c r="A7128" s="8" t="s">
        <v>6258</v>
      </c>
      <c r="B7128" s="8" t="s">
        <v>6259</v>
      </c>
      <c r="C7128" s="8" t="s">
        <v>5559</v>
      </c>
      <c r="D7128" s="8" t="s">
        <v>26</v>
      </c>
      <c r="E7128" s="8" t="s">
        <v>4276</v>
      </c>
      <c r="F7128" s="8">
        <v>9.959227159E9</v>
      </c>
    </row>
    <row r="7129" ht="15.75" customHeight="1">
      <c r="A7129" s="8" t="s">
        <v>6260</v>
      </c>
      <c r="B7129" s="8" t="s">
        <v>6261</v>
      </c>
      <c r="C7129" s="8" t="s">
        <v>6262</v>
      </c>
      <c r="D7129" s="8" t="s">
        <v>44</v>
      </c>
      <c r="E7129" s="8" t="s">
        <v>6263</v>
      </c>
      <c r="F7129" s="8">
        <v>7.907066286E9</v>
      </c>
    </row>
    <row r="7130" ht="15.75" customHeight="1">
      <c r="A7130" s="8" t="s">
        <v>6265</v>
      </c>
      <c r="B7130" s="8" t="s">
        <v>6266</v>
      </c>
      <c r="C7130" s="8" t="s">
        <v>6053</v>
      </c>
      <c r="D7130" s="8" t="s">
        <v>56</v>
      </c>
      <c r="E7130" s="8" t="s">
        <v>1102</v>
      </c>
      <c r="F7130" s="8">
        <v>9.891115385E9</v>
      </c>
    </row>
    <row r="7131" ht="15.75" customHeight="1">
      <c r="A7131" s="8" t="s">
        <v>6267</v>
      </c>
      <c r="B7131" s="8" t="s">
        <v>603</v>
      </c>
      <c r="C7131" s="8" t="s">
        <v>6249</v>
      </c>
      <c r="D7131" s="8" t="s">
        <v>9</v>
      </c>
      <c r="E7131" s="8" t="s">
        <v>6268</v>
      </c>
      <c r="F7131" s="8">
        <v>7.005415535E9</v>
      </c>
    </row>
    <row r="7132" ht="15.75" customHeight="1">
      <c r="A7132" s="8" t="s">
        <v>201</v>
      </c>
      <c r="B7132" s="8" t="s">
        <v>6269</v>
      </c>
      <c r="C7132" s="8" t="s">
        <v>6270</v>
      </c>
      <c r="D7132" s="8" t="s">
        <v>56</v>
      </c>
      <c r="E7132" s="8" t="s">
        <v>4015</v>
      </c>
      <c r="F7132" s="8">
        <v>9.971491864E9</v>
      </c>
    </row>
    <row r="7133" ht="15.75" customHeight="1">
      <c r="A7133" s="8" t="s">
        <v>6271</v>
      </c>
      <c r="B7133" s="8" t="s">
        <v>65</v>
      </c>
      <c r="C7133" s="8" t="s">
        <v>6272</v>
      </c>
      <c r="D7133" s="8" t="s">
        <v>44</v>
      </c>
      <c r="E7133" s="8" t="s">
        <v>4015</v>
      </c>
      <c r="F7133" s="8">
        <v>9.599301953E9</v>
      </c>
    </row>
    <row r="7134" ht="15.75" customHeight="1">
      <c r="A7134" s="8" t="s">
        <v>6273</v>
      </c>
      <c r="B7134" s="8" t="s">
        <v>6274</v>
      </c>
      <c r="C7134" s="8" t="s">
        <v>4409</v>
      </c>
      <c r="D7134" s="8" t="s">
        <v>9</v>
      </c>
      <c r="E7134" s="8" t="s">
        <v>5087</v>
      </c>
      <c r="F7134" s="8">
        <v>7.294105447E9</v>
      </c>
    </row>
    <row r="7135" ht="15.75" customHeight="1">
      <c r="A7135" s="8" t="s">
        <v>4664</v>
      </c>
      <c r="B7135" s="8" t="s">
        <v>538</v>
      </c>
      <c r="C7135" s="8" t="s">
        <v>6275</v>
      </c>
      <c r="D7135" s="8" t="s">
        <v>26</v>
      </c>
      <c r="E7135" s="8" t="s">
        <v>494</v>
      </c>
      <c r="F7135" s="8">
        <v>8.130714007E9</v>
      </c>
    </row>
    <row r="7136" ht="15.75" customHeight="1">
      <c r="A7136" s="8" t="s">
        <v>557</v>
      </c>
      <c r="B7136" s="8" t="s">
        <v>50</v>
      </c>
      <c r="C7136" s="8" t="s">
        <v>6276</v>
      </c>
      <c r="D7136" s="8" t="s">
        <v>9</v>
      </c>
      <c r="E7136" s="8" t="s">
        <v>4416</v>
      </c>
      <c r="F7136" s="8">
        <v>9.528759811E9</v>
      </c>
    </row>
    <row r="7137" ht="15.75" customHeight="1">
      <c r="A7137" s="8" t="s">
        <v>6277</v>
      </c>
      <c r="B7137" s="8" t="s">
        <v>6278</v>
      </c>
      <c r="C7137" s="8" t="s">
        <v>4665</v>
      </c>
      <c r="D7137" s="8" t="s">
        <v>26</v>
      </c>
      <c r="E7137" s="8" t="s">
        <v>494</v>
      </c>
      <c r="F7137" s="8">
        <v>6.006186291E9</v>
      </c>
    </row>
    <row r="7138" ht="15.75" customHeight="1">
      <c r="A7138" s="8" t="s">
        <v>2492</v>
      </c>
      <c r="B7138" s="8" t="s">
        <v>6278</v>
      </c>
      <c r="C7138" s="8" t="s">
        <v>6279</v>
      </c>
      <c r="D7138" s="8" t="s">
        <v>26</v>
      </c>
      <c r="E7138" s="8" t="s">
        <v>5851</v>
      </c>
      <c r="F7138" s="8">
        <v>7.006270157E9</v>
      </c>
    </row>
    <row r="7139" ht="15.75" customHeight="1">
      <c r="A7139" s="8" t="s">
        <v>6280</v>
      </c>
      <c r="B7139" s="8" t="s">
        <v>1030</v>
      </c>
      <c r="C7139" s="8" t="s">
        <v>6281</v>
      </c>
      <c r="D7139" s="8" t="s">
        <v>56</v>
      </c>
      <c r="E7139" s="8" t="s">
        <v>6282</v>
      </c>
      <c r="F7139" s="8">
        <v>7.025246696E9</v>
      </c>
    </row>
    <row r="7140" ht="15.75" customHeight="1">
      <c r="A7140" s="8" t="s">
        <v>6283</v>
      </c>
      <c r="B7140" s="8" t="s">
        <v>2342</v>
      </c>
      <c r="C7140" s="8" t="s">
        <v>6284</v>
      </c>
      <c r="D7140" s="8" t="s">
        <v>44</v>
      </c>
      <c r="E7140" s="8" t="s">
        <v>4015</v>
      </c>
      <c r="F7140" s="8">
        <v>7.042207733E9</v>
      </c>
    </row>
    <row r="7141" ht="15.75" customHeight="1">
      <c r="A7141" s="8" t="s">
        <v>124</v>
      </c>
      <c r="B7141" s="8" t="s">
        <v>117</v>
      </c>
      <c r="C7141" s="8" t="s">
        <v>6285</v>
      </c>
      <c r="D7141" s="8" t="s">
        <v>26</v>
      </c>
      <c r="E7141" s="8" t="s">
        <v>6286</v>
      </c>
      <c r="F7141" s="8">
        <v>9.254849676E9</v>
      </c>
    </row>
    <row r="7142" ht="15.75" customHeight="1">
      <c r="A7142" s="8" t="s">
        <v>5682</v>
      </c>
      <c r="B7142" s="8" t="s">
        <v>47</v>
      </c>
      <c r="C7142" s="8" t="s">
        <v>6287</v>
      </c>
      <c r="D7142" s="8" t="s">
        <v>44</v>
      </c>
      <c r="E7142" s="8" t="s">
        <v>494</v>
      </c>
      <c r="F7142" s="8">
        <v>7.693079465E9</v>
      </c>
    </row>
    <row r="7143" ht="15.75" customHeight="1">
      <c r="A7143" s="8" t="s">
        <v>4215</v>
      </c>
      <c r="B7143" s="8" t="s">
        <v>3394</v>
      </c>
      <c r="C7143" s="8" t="s">
        <v>6288</v>
      </c>
      <c r="D7143" s="8" t="s">
        <v>56</v>
      </c>
      <c r="E7143" s="8" t="s">
        <v>494</v>
      </c>
      <c r="F7143" s="8">
        <v>8.929682811E9</v>
      </c>
    </row>
    <row r="7144" ht="15.75" customHeight="1">
      <c r="A7144" s="8" t="s">
        <v>6289</v>
      </c>
      <c r="B7144" s="8" t="s">
        <v>6290</v>
      </c>
      <c r="C7144" s="8" t="s">
        <v>6291</v>
      </c>
      <c r="D7144" s="8" t="s">
        <v>56</v>
      </c>
      <c r="E7144" s="8" t="s">
        <v>6059</v>
      </c>
      <c r="F7144" s="8">
        <v>9.81446922E9</v>
      </c>
    </row>
    <row r="7145" ht="15.75" customHeight="1">
      <c r="A7145" s="8" t="s">
        <v>3078</v>
      </c>
      <c r="B7145" s="8" t="s">
        <v>6292</v>
      </c>
      <c r="C7145" s="8" t="s">
        <v>6293</v>
      </c>
      <c r="D7145" s="8" t="s">
        <v>1108</v>
      </c>
      <c r="E7145" s="8" t="s">
        <v>6294</v>
      </c>
      <c r="F7145" s="8">
        <v>9.667546557E9</v>
      </c>
    </row>
    <row r="7146" ht="15.75" customHeight="1">
      <c r="A7146" s="8" t="s">
        <v>33</v>
      </c>
      <c r="B7146" s="8" t="s">
        <v>47</v>
      </c>
      <c r="C7146" s="8" t="s">
        <v>6295</v>
      </c>
      <c r="D7146" s="8" t="s">
        <v>9</v>
      </c>
      <c r="E7146" s="8" t="s">
        <v>6296</v>
      </c>
      <c r="F7146" s="8">
        <v>9.389422392E9</v>
      </c>
    </row>
    <row r="7147" ht="15.75" customHeight="1">
      <c r="A7147" s="8" t="s">
        <v>1159</v>
      </c>
      <c r="B7147" s="8" t="s">
        <v>47</v>
      </c>
      <c r="C7147" s="8" t="s">
        <v>6297</v>
      </c>
      <c r="D7147" s="8" t="s">
        <v>56</v>
      </c>
      <c r="E7147" s="8" t="s">
        <v>4416</v>
      </c>
      <c r="F7147" s="8">
        <v>9.756387424E9</v>
      </c>
    </row>
    <row r="7148" ht="15.75" customHeight="1">
      <c r="A7148" s="8" t="s">
        <v>466</v>
      </c>
      <c r="B7148" s="8" t="s">
        <v>512</v>
      </c>
      <c r="C7148" s="8" t="s">
        <v>4586</v>
      </c>
      <c r="D7148" s="8" t="s">
        <v>56</v>
      </c>
      <c r="E7148" s="8" t="s">
        <v>6211</v>
      </c>
      <c r="F7148" s="8">
        <v>9.165192124E9</v>
      </c>
    </row>
    <row r="7149" ht="15.75" customHeight="1">
      <c r="A7149" s="8" t="s">
        <v>3773</v>
      </c>
      <c r="B7149" s="8" t="s">
        <v>5706</v>
      </c>
      <c r="C7149" s="8" t="s">
        <v>6298</v>
      </c>
      <c r="D7149" s="8" t="s">
        <v>26</v>
      </c>
      <c r="E7149" s="8" t="s">
        <v>6211</v>
      </c>
      <c r="F7149" s="8">
        <v>8.225096021E9</v>
      </c>
    </row>
    <row r="7150" ht="15.75" customHeight="1">
      <c r="A7150" s="8" t="s">
        <v>5426</v>
      </c>
      <c r="B7150" s="8" t="s">
        <v>6299</v>
      </c>
      <c r="C7150" s="8" t="s">
        <v>4934</v>
      </c>
      <c r="D7150" s="8" t="s">
        <v>56</v>
      </c>
      <c r="E7150" s="8" t="s">
        <v>6211</v>
      </c>
      <c r="F7150" s="8">
        <v>7.000208176E9</v>
      </c>
    </row>
    <row r="7151" ht="15.75" customHeight="1">
      <c r="A7151" s="8" t="s">
        <v>6300</v>
      </c>
      <c r="B7151" s="8" t="s">
        <v>65</v>
      </c>
      <c r="C7151" s="8" t="s">
        <v>6301</v>
      </c>
      <c r="D7151" s="8" t="s">
        <v>44</v>
      </c>
      <c r="E7151" s="8" t="s">
        <v>6302</v>
      </c>
      <c r="F7151" s="8">
        <v>9.816726244E9</v>
      </c>
    </row>
    <row r="7152" ht="15.75" customHeight="1">
      <c r="A7152" s="8" t="s">
        <v>6303</v>
      </c>
      <c r="B7152" s="8" t="s">
        <v>6304</v>
      </c>
      <c r="C7152" s="8" t="s">
        <v>6305</v>
      </c>
      <c r="D7152" s="8" t="s">
        <v>9</v>
      </c>
      <c r="E7152" s="8" t="s">
        <v>6037</v>
      </c>
      <c r="F7152" s="8">
        <v>7.339374535E9</v>
      </c>
    </row>
    <row r="7153" ht="15.75" customHeight="1">
      <c r="A7153" s="8" t="s">
        <v>6306</v>
      </c>
      <c r="B7153" s="8" t="s">
        <v>6307</v>
      </c>
      <c r="C7153" s="8" t="s">
        <v>6308</v>
      </c>
      <c r="D7153" s="8" t="s">
        <v>14</v>
      </c>
      <c r="E7153" s="8" t="s">
        <v>6309</v>
      </c>
      <c r="F7153" s="8">
        <v>9.496472996E9</v>
      </c>
    </row>
    <row r="7154" ht="15.75" customHeight="1">
      <c r="A7154" s="8" t="s">
        <v>2997</v>
      </c>
      <c r="B7154" s="8" t="s">
        <v>6310</v>
      </c>
      <c r="C7154" s="8" t="s">
        <v>4700</v>
      </c>
      <c r="D7154" s="8" t="s">
        <v>29</v>
      </c>
      <c r="E7154" s="8" t="s">
        <v>4015</v>
      </c>
      <c r="F7154" s="8">
        <v>9.811485985E9</v>
      </c>
    </row>
    <row r="7155" ht="15.75" customHeight="1">
      <c r="A7155" s="8" t="s">
        <v>2894</v>
      </c>
      <c r="B7155" s="8" t="s">
        <v>1663</v>
      </c>
      <c r="C7155" s="8" t="s">
        <v>4006</v>
      </c>
      <c r="D7155" s="8" t="s">
        <v>26</v>
      </c>
      <c r="E7155" s="8" t="s">
        <v>2025</v>
      </c>
      <c r="F7155" s="8">
        <v>9.873706186E9</v>
      </c>
    </row>
    <row r="7156" ht="15.75" customHeight="1">
      <c r="A7156" s="8" t="s">
        <v>6311</v>
      </c>
      <c r="B7156" s="8" t="s">
        <v>6312</v>
      </c>
      <c r="C7156" s="8" t="s">
        <v>4475</v>
      </c>
      <c r="D7156" s="8" t="s">
        <v>9</v>
      </c>
      <c r="E7156" s="8" t="s">
        <v>4276</v>
      </c>
      <c r="F7156" s="8">
        <v>8.328056085E9</v>
      </c>
    </row>
    <row r="7157" ht="15.75" customHeight="1">
      <c r="A7157" s="8" t="s">
        <v>6313</v>
      </c>
      <c r="B7157" s="8" t="s">
        <v>108</v>
      </c>
      <c r="C7157" s="8" t="s">
        <v>6314</v>
      </c>
      <c r="D7157" s="8" t="s">
        <v>44</v>
      </c>
      <c r="E7157" s="8" t="s">
        <v>4416</v>
      </c>
      <c r="F7157" s="8">
        <v>1.212622633E9</v>
      </c>
    </row>
    <row r="7158" ht="15.75" customHeight="1">
      <c r="A7158" s="8" t="s">
        <v>6315</v>
      </c>
      <c r="B7158" s="8" t="s">
        <v>3872</v>
      </c>
      <c r="C7158" s="8" t="s">
        <v>6316</v>
      </c>
      <c r="D7158" s="8" t="s">
        <v>44</v>
      </c>
      <c r="E7158" s="8" t="s">
        <v>6317</v>
      </c>
      <c r="F7158" s="8">
        <f>+919713178782</f>
        <v>919713178782</v>
      </c>
    </row>
    <row r="7159" ht="15.75" customHeight="1">
      <c r="A7159" s="8" t="s">
        <v>1611</v>
      </c>
      <c r="B7159" s="8" t="s">
        <v>6318</v>
      </c>
      <c r="C7159" s="8" t="s">
        <v>6316</v>
      </c>
      <c r="D7159" s="8" t="s">
        <v>26</v>
      </c>
      <c r="E7159" s="8" t="s">
        <v>6317</v>
      </c>
      <c r="F7159" s="8">
        <f>+917974494182</f>
        <v>917974494182</v>
      </c>
    </row>
    <row r="7160" ht="15.75" customHeight="1">
      <c r="A7160" s="8" t="s">
        <v>1044</v>
      </c>
      <c r="B7160" s="8" t="s">
        <v>4008</v>
      </c>
      <c r="C7160" s="8" t="s">
        <v>4700</v>
      </c>
      <c r="D7160" s="8" t="s">
        <v>9</v>
      </c>
      <c r="E7160" s="8" t="s">
        <v>4015</v>
      </c>
      <c r="F7160" s="8">
        <f>+919667388815</f>
        <v>919667388815</v>
      </c>
    </row>
    <row r="7161" ht="15.75" customHeight="1">
      <c r="A7161" s="8" t="s">
        <v>6949</v>
      </c>
      <c r="B7161" s="8" t="s">
        <v>6950</v>
      </c>
      <c r="C7161" s="8" t="s">
        <v>6951</v>
      </c>
      <c r="D7161" s="8" t="s">
        <v>9</v>
      </c>
      <c r="E7161" s="8" t="s">
        <v>434</v>
      </c>
      <c r="F7161" s="8">
        <v>9.833200944E9</v>
      </c>
    </row>
    <row r="7162" ht="15.75" customHeight="1">
      <c r="A7162" s="8" t="s">
        <v>396</v>
      </c>
      <c r="B7162" s="8" t="s">
        <v>65</v>
      </c>
      <c r="C7162" s="8" t="s">
        <v>6319</v>
      </c>
      <c r="D7162" s="8" t="s">
        <v>44</v>
      </c>
      <c r="E7162" s="8" t="s">
        <v>2025</v>
      </c>
      <c r="F7162" s="8">
        <v>8.52702443E9</v>
      </c>
    </row>
    <row r="7163" ht="15.75" customHeight="1">
      <c r="A7163" s="8" t="s">
        <v>6320</v>
      </c>
      <c r="B7163" s="8" t="s">
        <v>6321</v>
      </c>
      <c r="C7163" s="8" t="s">
        <v>6322</v>
      </c>
      <c r="D7163" s="8" t="s">
        <v>56</v>
      </c>
      <c r="E7163" s="8" t="s">
        <v>6323</v>
      </c>
      <c r="F7163" s="8">
        <v>7.780277588E9</v>
      </c>
    </row>
    <row r="7164" ht="15.75" customHeight="1">
      <c r="A7164" s="8" t="s">
        <v>6324</v>
      </c>
      <c r="B7164" s="8" t="s">
        <v>6325</v>
      </c>
      <c r="C7164" s="8" t="s">
        <v>6326</v>
      </c>
      <c r="D7164" s="8" t="s">
        <v>26</v>
      </c>
      <c r="E7164" s="8" t="s">
        <v>3399</v>
      </c>
      <c r="F7164" s="8">
        <v>8.448765123E9</v>
      </c>
    </row>
    <row r="7165" ht="15.75" customHeight="1">
      <c r="A7165" s="8" t="s">
        <v>189</v>
      </c>
      <c r="B7165" s="8" t="s">
        <v>91</v>
      </c>
      <c r="C7165" s="8" t="s">
        <v>6327</v>
      </c>
      <c r="D7165" s="8" t="s">
        <v>14</v>
      </c>
      <c r="E7165" s="8" t="s">
        <v>494</v>
      </c>
      <c r="F7165" s="8">
        <v>8.8006238E9</v>
      </c>
    </row>
    <row r="7166" ht="15.75" customHeight="1">
      <c r="A7166" s="8" t="s">
        <v>3049</v>
      </c>
      <c r="B7166" s="8" t="s">
        <v>6331</v>
      </c>
      <c r="C7166" s="8" t="s">
        <v>330</v>
      </c>
      <c r="D7166" s="8" t="s">
        <v>26</v>
      </c>
      <c r="E7166" s="8" t="s">
        <v>4015</v>
      </c>
      <c r="F7166" s="8">
        <v>9.205368553E9</v>
      </c>
    </row>
    <row r="7167" ht="15.75" customHeight="1">
      <c r="A7167" s="8" t="s">
        <v>6332</v>
      </c>
      <c r="B7167" s="8" t="s">
        <v>6333</v>
      </c>
      <c r="C7167" s="8" t="s">
        <v>6334</v>
      </c>
      <c r="D7167" s="8" t="s">
        <v>9</v>
      </c>
      <c r="E7167" s="8" t="s">
        <v>6335</v>
      </c>
      <c r="F7167" s="8">
        <v>9.108612593E9</v>
      </c>
    </row>
    <row r="7168" ht="15.75" customHeight="1">
      <c r="A7168" s="8" t="s">
        <v>6336</v>
      </c>
      <c r="B7168" s="8" t="s">
        <v>3872</v>
      </c>
      <c r="C7168" s="8" t="s">
        <v>6337</v>
      </c>
      <c r="D7168" s="8" t="s">
        <v>26</v>
      </c>
      <c r="E7168" s="8" t="s">
        <v>3399</v>
      </c>
      <c r="F7168" s="8">
        <v>9.868264968E9</v>
      </c>
    </row>
    <row r="7169" ht="15.75" customHeight="1">
      <c r="A7169" s="8" t="s">
        <v>6338</v>
      </c>
      <c r="B7169" s="8" t="s">
        <v>6339</v>
      </c>
      <c r="C7169" s="8" t="s">
        <v>6340</v>
      </c>
      <c r="D7169" s="8" t="s">
        <v>9</v>
      </c>
      <c r="E7169" s="8" t="s">
        <v>3105</v>
      </c>
      <c r="F7169" s="8">
        <v>9.900175221E9</v>
      </c>
    </row>
    <row r="7170" ht="15.75" customHeight="1">
      <c r="A7170" s="8" t="s">
        <v>5175</v>
      </c>
      <c r="B7170" s="8" t="s">
        <v>4818</v>
      </c>
      <c r="C7170" s="8" t="s">
        <v>6341</v>
      </c>
      <c r="D7170" s="8" t="s">
        <v>29</v>
      </c>
      <c r="E7170" s="8" t="s">
        <v>6342</v>
      </c>
      <c r="F7170" s="8">
        <v>7.349422989E9</v>
      </c>
    </row>
    <row r="7171" ht="15.75" customHeight="1">
      <c r="A7171" s="8" t="s">
        <v>5066</v>
      </c>
      <c r="B7171" s="8" t="s">
        <v>108</v>
      </c>
      <c r="C7171" s="8" t="s">
        <v>5050</v>
      </c>
      <c r="D7171" s="8" t="s">
        <v>44</v>
      </c>
      <c r="E7171" s="8" t="s">
        <v>5067</v>
      </c>
      <c r="F7171" s="8">
        <v>9.930071369E9</v>
      </c>
    </row>
    <row r="7172" ht="15.75" customHeight="1">
      <c r="A7172" s="8" t="s">
        <v>4803</v>
      </c>
      <c r="B7172" s="8" t="s">
        <v>108</v>
      </c>
      <c r="C7172" s="8" t="s">
        <v>5050</v>
      </c>
      <c r="D7172" s="8" t="s">
        <v>26</v>
      </c>
      <c r="E7172" s="8" t="s">
        <v>4015</v>
      </c>
      <c r="F7172" s="8">
        <v>9.999333558E9</v>
      </c>
    </row>
    <row r="7173" ht="15.75" customHeight="1">
      <c r="A7173" s="8" t="s">
        <v>405</v>
      </c>
      <c r="B7173" s="8" t="s">
        <v>6343</v>
      </c>
      <c r="C7173" s="8" t="s">
        <v>6344</v>
      </c>
      <c r="D7173" s="8" t="s">
        <v>9</v>
      </c>
      <c r="E7173" s="8" t="s">
        <v>6345</v>
      </c>
      <c r="F7173" s="8">
        <v>9.686958421E9</v>
      </c>
    </row>
    <row r="7174" ht="15.75" customHeight="1">
      <c r="A7174" s="8" t="s">
        <v>6346</v>
      </c>
      <c r="B7174" s="8" t="s">
        <v>6347</v>
      </c>
      <c r="C7174" s="8" t="s">
        <v>6348</v>
      </c>
      <c r="D7174" s="8" t="s">
        <v>29</v>
      </c>
      <c r="E7174" s="8" t="s">
        <v>6349</v>
      </c>
      <c r="F7174" s="8">
        <v>9.38033042E9</v>
      </c>
    </row>
    <row r="7175" ht="15.75" customHeight="1">
      <c r="A7175" s="8" t="s">
        <v>6350</v>
      </c>
      <c r="B7175" s="8" t="s">
        <v>55</v>
      </c>
      <c r="C7175" s="8" t="s">
        <v>6351</v>
      </c>
      <c r="D7175" s="8" t="s">
        <v>26</v>
      </c>
      <c r="E7175" s="8" t="s">
        <v>5438</v>
      </c>
      <c r="F7175" s="8">
        <v>9.397347812E9</v>
      </c>
    </row>
    <row r="7176" ht="15.75" customHeight="1">
      <c r="A7176" s="8" t="s">
        <v>6222</v>
      </c>
      <c r="B7176" s="8" t="s">
        <v>6352</v>
      </c>
      <c r="C7176" s="8" t="s">
        <v>3322</v>
      </c>
      <c r="D7176" s="8" t="s">
        <v>44</v>
      </c>
      <c r="E7176" s="8" t="s">
        <v>15</v>
      </c>
      <c r="F7176" s="8">
        <v>9.850602219E9</v>
      </c>
    </row>
    <row r="7177" ht="15.75" customHeight="1">
      <c r="A7177" s="8" t="s">
        <v>6353</v>
      </c>
      <c r="B7177" s="8" t="s">
        <v>6354</v>
      </c>
      <c r="C7177" s="8" t="s">
        <v>6189</v>
      </c>
      <c r="D7177" s="8" t="s">
        <v>9</v>
      </c>
      <c r="E7177" s="8" t="s">
        <v>4276</v>
      </c>
      <c r="F7177" s="8">
        <v>9.977669971E9</v>
      </c>
    </row>
    <row r="7178" ht="15.75" customHeight="1">
      <c r="A7178" s="8" t="s">
        <v>446</v>
      </c>
      <c r="B7178" s="8" t="s">
        <v>6355</v>
      </c>
      <c r="C7178" s="8" t="s">
        <v>6356</v>
      </c>
      <c r="D7178" s="8" t="s">
        <v>56</v>
      </c>
      <c r="E7178" s="8" t="s">
        <v>6357</v>
      </c>
      <c r="F7178" s="8">
        <v>9.025831729E9</v>
      </c>
    </row>
    <row r="7179" ht="15.75" customHeight="1">
      <c r="A7179" s="8" t="s">
        <v>6358</v>
      </c>
      <c r="B7179" s="8" t="s">
        <v>6359</v>
      </c>
      <c r="C7179" s="8" t="s">
        <v>6360</v>
      </c>
      <c r="D7179" s="8" t="s">
        <v>44</v>
      </c>
      <c r="E7179" s="8" t="s">
        <v>4276</v>
      </c>
      <c r="F7179" s="8">
        <v>9.700199678E9</v>
      </c>
    </row>
    <row r="7180" ht="15.75" customHeight="1">
      <c r="A7180" s="8" t="s">
        <v>4215</v>
      </c>
      <c r="B7180" s="8" t="s">
        <v>6361</v>
      </c>
      <c r="C7180" s="8" t="s">
        <v>6362</v>
      </c>
      <c r="D7180" s="8" t="s">
        <v>56</v>
      </c>
      <c r="E7180" s="8" t="s">
        <v>4007</v>
      </c>
      <c r="F7180" s="8">
        <v>9.891902109E9</v>
      </c>
    </row>
    <row r="7181" ht="15.75" customHeight="1">
      <c r="A7181" s="8" t="s">
        <v>6363</v>
      </c>
      <c r="B7181" s="8" t="s">
        <v>6364</v>
      </c>
      <c r="C7181" s="8" t="s">
        <v>6365</v>
      </c>
      <c r="D7181" s="8" t="s">
        <v>26</v>
      </c>
      <c r="E7181" s="8" t="s">
        <v>4510</v>
      </c>
      <c r="F7181" s="8">
        <v>9.949905754E9</v>
      </c>
    </row>
    <row r="7182" ht="15.75" customHeight="1">
      <c r="A7182" s="8" t="s">
        <v>6366</v>
      </c>
      <c r="B7182" s="8" t="s">
        <v>4696</v>
      </c>
      <c r="C7182" s="8" t="s">
        <v>6218</v>
      </c>
      <c r="D7182" s="8" t="s">
        <v>26</v>
      </c>
      <c r="E7182" s="8" t="s">
        <v>494</v>
      </c>
      <c r="F7182" s="8">
        <v>9.560939633E9</v>
      </c>
    </row>
    <row r="7183" ht="15.75" customHeight="1">
      <c r="A7183" s="8" t="s">
        <v>4815</v>
      </c>
      <c r="B7183" s="8" t="s">
        <v>4840</v>
      </c>
      <c r="C7183" s="8" t="s">
        <v>6367</v>
      </c>
      <c r="D7183" s="8" t="s">
        <v>56</v>
      </c>
      <c r="E7183" s="8" t="s">
        <v>4007</v>
      </c>
      <c r="F7183" s="8">
        <v>7.0</v>
      </c>
    </row>
    <row r="7184" ht="15.75" customHeight="1">
      <c r="A7184" s="8" t="s">
        <v>6368</v>
      </c>
      <c r="B7184" s="8" t="s">
        <v>108</v>
      </c>
      <c r="C7184" s="8" t="s">
        <v>6369</v>
      </c>
      <c r="D7184" s="8" t="s">
        <v>9</v>
      </c>
      <c r="E7184" s="8" t="s">
        <v>6370</v>
      </c>
      <c r="F7184" s="8">
        <v>8.968530119E9</v>
      </c>
    </row>
    <row r="7185" ht="15.75" customHeight="1">
      <c r="A7185" s="8" t="s">
        <v>4215</v>
      </c>
      <c r="B7185" s="8" t="s">
        <v>6361</v>
      </c>
      <c r="C7185" s="8" t="s">
        <v>6367</v>
      </c>
      <c r="D7185" s="8" t="s">
        <v>56</v>
      </c>
      <c r="E7185" s="8" t="s">
        <v>4007</v>
      </c>
      <c r="F7185" s="8">
        <v>9.891902109E9</v>
      </c>
    </row>
    <row r="7186" ht="15.75" customHeight="1">
      <c r="A7186" s="8" t="s">
        <v>1230</v>
      </c>
      <c r="B7186" s="8" t="s">
        <v>6371</v>
      </c>
      <c r="C7186" s="8" t="s">
        <v>6372</v>
      </c>
      <c r="D7186" s="8" t="s">
        <v>9</v>
      </c>
      <c r="E7186" s="8" t="s">
        <v>6373</v>
      </c>
      <c r="F7186" s="8">
        <v>9.130248649E9</v>
      </c>
    </row>
    <row r="7187" ht="15.75" customHeight="1">
      <c r="A7187" s="8" t="s">
        <v>3229</v>
      </c>
      <c r="B7187" s="8" t="s">
        <v>108</v>
      </c>
      <c r="C7187" s="8" t="s">
        <v>6374</v>
      </c>
      <c r="D7187" s="8" t="s">
        <v>26</v>
      </c>
      <c r="E7187" s="8" t="s">
        <v>494</v>
      </c>
      <c r="F7187" s="8">
        <v>7.838884742E9</v>
      </c>
    </row>
    <row r="7188" ht="15.75" customHeight="1">
      <c r="A7188" s="8" t="s">
        <v>6375</v>
      </c>
      <c r="B7188" s="8" t="s">
        <v>4711</v>
      </c>
      <c r="C7188" s="8" t="s">
        <v>6218</v>
      </c>
      <c r="D7188" s="8" t="s">
        <v>26</v>
      </c>
      <c r="E7188" s="8" t="s">
        <v>494</v>
      </c>
      <c r="F7188" s="8">
        <v>9.310178577E9</v>
      </c>
    </row>
    <row r="7189" ht="15.75" customHeight="1">
      <c r="A7189" s="8" t="s">
        <v>6376</v>
      </c>
      <c r="B7189" s="8" t="s">
        <v>6377</v>
      </c>
      <c r="C7189" s="8" t="s">
        <v>6378</v>
      </c>
      <c r="D7189" s="8" t="s">
        <v>9</v>
      </c>
      <c r="E7189" s="8" t="s">
        <v>4212</v>
      </c>
      <c r="F7189" s="8">
        <v>9.310155599E9</v>
      </c>
    </row>
    <row r="7190" ht="15.75" customHeight="1">
      <c r="A7190" s="8" t="s">
        <v>670</v>
      </c>
      <c r="B7190" s="8" t="s">
        <v>5128</v>
      </c>
      <c r="C7190" s="8" t="s">
        <v>6369</v>
      </c>
      <c r="D7190" s="8" t="s">
        <v>26</v>
      </c>
      <c r="E7190" s="8" t="s">
        <v>6370</v>
      </c>
      <c r="F7190" s="8">
        <f>+919779123275</f>
        <v>919779123275</v>
      </c>
    </row>
    <row r="7191" ht="15.75" customHeight="1">
      <c r="A7191" s="8" t="s">
        <v>6379</v>
      </c>
      <c r="B7191" s="8" t="s">
        <v>3440</v>
      </c>
      <c r="C7191" s="8" t="s">
        <v>6380</v>
      </c>
      <c r="D7191" s="8" t="s">
        <v>26</v>
      </c>
      <c r="E7191" s="8" t="s">
        <v>4276</v>
      </c>
      <c r="F7191" s="8">
        <v>9.959099892E9</v>
      </c>
    </row>
    <row r="7192" ht="15.75" customHeight="1">
      <c r="A7192" s="8" t="s">
        <v>6381</v>
      </c>
      <c r="B7192" s="8" t="s">
        <v>3440</v>
      </c>
      <c r="C7192" s="8" t="s">
        <v>6382</v>
      </c>
      <c r="D7192" s="8" t="s">
        <v>44</v>
      </c>
      <c r="E7192" s="8" t="s">
        <v>4941</v>
      </c>
      <c r="F7192" s="8">
        <v>8.074920627E9</v>
      </c>
    </row>
    <row r="7193" ht="15.75" customHeight="1">
      <c r="A7193" s="8" t="s">
        <v>146</v>
      </c>
      <c r="B7193" s="8" t="s">
        <v>6383</v>
      </c>
      <c r="C7193" s="8" t="s">
        <v>4475</v>
      </c>
      <c r="D7193" s="8" t="s">
        <v>44</v>
      </c>
      <c r="E7193" s="8" t="s">
        <v>4276</v>
      </c>
      <c r="F7193" s="8">
        <v>8.790693661E9</v>
      </c>
    </row>
    <row r="7194" ht="15.75" customHeight="1">
      <c r="A7194" s="8" t="s">
        <v>2039</v>
      </c>
      <c r="B7194" s="8" t="s">
        <v>3440</v>
      </c>
      <c r="C7194" s="8" t="s">
        <v>5908</v>
      </c>
      <c r="D7194" s="8" t="s">
        <v>29</v>
      </c>
      <c r="E7194" s="8" t="s">
        <v>4276</v>
      </c>
      <c r="F7194" s="8">
        <v>7.675854582E9</v>
      </c>
    </row>
    <row r="7195" ht="15.75" customHeight="1">
      <c r="A7195" s="8" t="s">
        <v>4605</v>
      </c>
      <c r="B7195" s="8" t="s">
        <v>2003</v>
      </c>
      <c r="C7195" s="8" t="s">
        <v>6384</v>
      </c>
      <c r="D7195" s="8" t="s">
        <v>26</v>
      </c>
      <c r="E7195" s="8" t="s">
        <v>4276</v>
      </c>
      <c r="F7195" s="8">
        <v>9.701303895E9</v>
      </c>
    </row>
    <row r="7196" ht="15.75" customHeight="1">
      <c r="A7196" s="8" t="s">
        <v>1278</v>
      </c>
      <c r="B7196" s="8" t="s">
        <v>6385</v>
      </c>
      <c r="C7196" s="8" t="s">
        <v>6386</v>
      </c>
      <c r="D7196" s="8" t="s">
        <v>9</v>
      </c>
      <c r="E7196" s="8" t="s">
        <v>6387</v>
      </c>
      <c r="F7196" s="8">
        <v>9.064663949E9</v>
      </c>
    </row>
    <row r="7197" ht="15.75" customHeight="1">
      <c r="A7197" s="8" t="s">
        <v>6388</v>
      </c>
      <c r="B7197" s="8" t="s">
        <v>4696</v>
      </c>
      <c r="C7197" s="8" t="s">
        <v>6369</v>
      </c>
      <c r="D7197" s="8" t="s">
        <v>26</v>
      </c>
      <c r="E7197" s="8" t="s">
        <v>6370</v>
      </c>
      <c r="F7197" s="8">
        <v>9.98892678E9</v>
      </c>
    </row>
    <row r="7198" ht="15.75" customHeight="1">
      <c r="A7198" s="8" t="s">
        <v>6389</v>
      </c>
      <c r="B7198" s="8" t="s">
        <v>6390</v>
      </c>
      <c r="C7198" s="8" t="s">
        <v>6126</v>
      </c>
      <c r="D7198" s="8" t="s">
        <v>56</v>
      </c>
      <c r="E7198" s="8" t="s">
        <v>5230</v>
      </c>
      <c r="F7198" s="8">
        <v>7.619508988E9</v>
      </c>
    </row>
    <row r="7199" ht="15.75" customHeight="1">
      <c r="A7199" s="8" t="s">
        <v>6952</v>
      </c>
      <c r="B7199" s="8" t="s">
        <v>75</v>
      </c>
      <c r="C7199" s="8" t="s">
        <v>6126</v>
      </c>
      <c r="D7199" s="8" t="s">
        <v>56</v>
      </c>
      <c r="E7199" s="8" t="s">
        <v>5230</v>
      </c>
      <c r="F7199" s="8">
        <v>7.59886726E9</v>
      </c>
    </row>
    <row r="7200" ht="15.75" customHeight="1">
      <c r="A7200" s="8" t="s">
        <v>6391</v>
      </c>
      <c r="B7200" s="8" t="s">
        <v>4986</v>
      </c>
      <c r="C7200" s="8" t="s">
        <v>6392</v>
      </c>
      <c r="D7200" s="8" t="s">
        <v>44</v>
      </c>
      <c r="E7200" s="8" t="s">
        <v>4416</v>
      </c>
      <c r="F7200" s="8">
        <v>9.760623076E9</v>
      </c>
    </row>
    <row r="7201" ht="15.75" customHeight="1">
      <c r="A7201" s="8" t="s">
        <v>6393</v>
      </c>
      <c r="B7201" s="8" t="s">
        <v>6394</v>
      </c>
      <c r="C7201" s="8" t="s">
        <v>6392</v>
      </c>
      <c r="D7201" s="8" t="s">
        <v>56</v>
      </c>
      <c r="E7201" s="8" t="s">
        <v>4416</v>
      </c>
      <c r="F7201" s="8">
        <v>7.98370446E9</v>
      </c>
    </row>
    <row r="7202" ht="15.75" customHeight="1">
      <c r="A7202" s="8" t="s">
        <v>6397</v>
      </c>
      <c r="B7202" s="8" t="s">
        <v>6398</v>
      </c>
      <c r="C7202" s="8" t="s">
        <v>6399</v>
      </c>
      <c r="D7202" s="8" t="s">
        <v>56</v>
      </c>
      <c r="E7202" s="8" t="s">
        <v>6400</v>
      </c>
      <c r="F7202" s="8" t="str">
        <f>+91 86574 30229</f>
        <v>#ERROR!</v>
      </c>
    </row>
    <row r="7203" ht="15.75" customHeight="1">
      <c r="A7203" s="8" t="s">
        <v>6401</v>
      </c>
      <c r="B7203" s="8" t="s">
        <v>75</v>
      </c>
      <c r="C7203" s="8" t="s">
        <v>6402</v>
      </c>
      <c r="D7203" s="8" t="s">
        <v>14</v>
      </c>
      <c r="E7203" s="8" t="s">
        <v>6403</v>
      </c>
      <c r="F7203" s="8">
        <v>7.002937674E9</v>
      </c>
    </row>
    <row r="7204" ht="15.75" customHeight="1">
      <c r="A7204" s="8" t="s">
        <v>125</v>
      </c>
      <c r="B7204" s="8" t="s">
        <v>6404</v>
      </c>
      <c r="C7204" s="8" t="s">
        <v>6405</v>
      </c>
      <c r="D7204" s="8" t="s">
        <v>29</v>
      </c>
      <c r="E7204" s="8" t="s">
        <v>6373</v>
      </c>
      <c r="F7204" s="8">
        <v>9.373596189E9</v>
      </c>
    </row>
    <row r="7205" ht="15.75" customHeight="1">
      <c r="A7205" s="8" t="s">
        <v>416</v>
      </c>
      <c r="B7205" s="8" t="s">
        <v>5128</v>
      </c>
      <c r="C7205" s="8" t="s">
        <v>6406</v>
      </c>
      <c r="D7205" s="8" t="s">
        <v>26</v>
      </c>
      <c r="E7205" s="8" t="s">
        <v>6407</v>
      </c>
      <c r="F7205" s="8">
        <v>9.04130823E9</v>
      </c>
    </row>
    <row r="7206" ht="15.75" customHeight="1">
      <c r="A7206" s="8" t="s">
        <v>3561</v>
      </c>
      <c r="B7206" s="8" t="s">
        <v>5240</v>
      </c>
      <c r="C7206" s="8" t="s">
        <v>5908</v>
      </c>
      <c r="D7206" s="8" t="s">
        <v>56</v>
      </c>
      <c r="E7206" s="8" t="s">
        <v>5495</v>
      </c>
      <c r="F7206" s="8">
        <v>7.013738324E9</v>
      </c>
    </row>
    <row r="7207" ht="15.75" customHeight="1">
      <c r="A7207" s="8" t="s">
        <v>1407</v>
      </c>
      <c r="B7207" s="8" t="s">
        <v>4229</v>
      </c>
      <c r="C7207" s="8" t="s">
        <v>6408</v>
      </c>
      <c r="D7207" s="8" t="s">
        <v>44</v>
      </c>
      <c r="E7207" s="8" t="s">
        <v>4007</v>
      </c>
      <c r="F7207" s="8">
        <v>9.739322393E9</v>
      </c>
    </row>
    <row r="7208" ht="15.75" customHeight="1">
      <c r="A7208" s="8" t="s">
        <v>3807</v>
      </c>
      <c r="B7208" s="8" t="s">
        <v>882</v>
      </c>
      <c r="C7208" s="8" t="s">
        <v>3790</v>
      </c>
      <c r="D7208" s="8" t="s">
        <v>14</v>
      </c>
      <c r="E7208" s="8" t="s">
        <v>4867</v>
      </c>
      <c r="F7208" s="8">
        <v>9.334026299E9</v>
      </c>
    </row>
    <row r="7209" ht="15.75" customHeight="1">
      <c r="A7209" s="8" t="s">
        <v>2525</v>
      </c>
      <c r="B7209" s="8" t="s">
        <v>4614</v>
      </c>
      <c r="C7209" s="8" t="s">
        <v>4748</v>
      </c>
      <c r="D7209" s="8" t="s">
        <v>56</v>
      </c>
      <c r="E7209" s="8" t="s">
        <v>2575</v>
      </c>
      <c r="F7209" s="8">
        <v>8.60880222E8</v>
      </c>
    </row>
    <row r="7210" ht="15.75" customHeight="1">
      <c r="A7210" s="8" t="s">
        <v>1407</v>
      </c>
      <c r="B7210" s="8" t="s">
        <v>6411</v>
      </c>
      <c r="C7210" s="8" t="s">
        <v>6412</v>
      </c>
      <c r="D7210" s="8" t="s">
        <v>9</v>
      </c>
      <c r="E7210" s="8" t="s">
        <v>6413</v>
      </c>
      <c r="F7210" s="8">
        <v>7.027472121E9</v>
      </c>
    </row>
    <row r="7211" ht="15.75" customHeight="1">
      <c r="A7211" s="8" t="s">
        <v>3506</v>
      </c>
      <c r="B7211" s="8" t="s">
        <v>6414</v>
      </c>
      <c r="C7211" s="8" t="s">
        <v>6415</v>
      </c>
      <c r="D7211" s="8" t="s">
        <v>26</v>
      </c>
      <c r="E7211" s="8" t="s">
        <v>6416</v>
      </c>
      <c r="F7211" s="8">
        <v>6.398622428E9</v>
      </c>
    </row>
    <row r="7212" ht="15.75" customHeight="1">
      <c r="A7212" s="8" t="s">
        <v>1838</v>
      </c>
      <c r="B7212" s="8" t="s">
        <v>6417</v>
      </c>
      <c r="C7212" s="8" t="s">
        <v>6418</v>
      </c>
      <c r="D7212" s="8" t="s">
        <v>44</v>
      </c>
      <c r="E7212" s="8" t="s">
        <v>4276</v>
      </c>
      <c r="F7212" s="8">
        <v>9.701418737E9</v>
      </c>
    </row>
    <row r="7213" ht="15.75" customHeight="1">
      <c r="A7213" s="8" t="s">
        <v>6419</v>
      </c>
      <c r="B7213" s="8" t="s">
        <v>3440</v>
      </c>
      <c r="C7213" s="8" t="s">
        <v>6365</v>
      </c>
      <c r="D7213" s="8" t="s">
        <v>26</v>
      </c>
      <c r="E7213" s="8" t="s">
        <v>4276</v>
      </c>
      <c r="F7213" s="8">
        <v>8.00812365E9</v>
      </c>
    </row>
    <row r="7214" ht="15.75" customHeight="1">
      <c r="A7214" s="8" t="s">
        <v>6420</v>
      </c>
      <c r="B7214" s="8" t="s">
        <v>3440</v>
      </c>
      <c r="C7214" s="8" t="s">
        <v>6421</v>
      </c>
      <c r="D7214" s="8" t="s">
        <v>26</v>
      </c>
      <c r="E7214" s="8" t="s">
        <v>4276</v>
      </c>
      <c r="F7214" s="8">
        <v>8.6390061E9</v>
      </c>
    </row>
    <row r="7215" ht="15.75" customHeight="1">
      <c r="A7215" s="8" t="s">
        <v>4972</v>
      </c>
      <c r="B7215" s="8" t="s">
        <v>5006</v>
      </c>
      <c r="C7215" s="8" t="s">
        <v>5254</v>
      </c>
      <c r="D7215" s="8" t="s">
        <v>26</v>
      </c>
      <c r="E7215" s="8" t="s">
        <v>4276</v>
      </c>
      <c r="F7215" s="8">
        <v>9.666015246E9</v>
      </c>
    </row>
    <row r="7216" ht="15.75" customHeight="1">
      <c r="A7216" s="8" t="s">
        <v>2039</v>
      </c>
      <c r="B7216" s="8" t="s">
        <v>3440</v>
      </c>
      <c r="C7216" s="8" t="s">
        <v>6422</v>
      </c>
      <c r="D7216" s="8" t="s">
        <v>29</v>
      </c>
      <c r="E7216" s="8" t="s">
        <v>4276</v>
      </c>
      <c r="F7216" s="8">
        <v>7.675854582E9</v>
      </c>
    </row>
    <row r="7217" ht="15.75" customHeight="1">
      <c r="A7217" s="8" t="s">
        <v>5189</v>
      </c>
      <c r="B7217" s="8" t="s">
        <v>5741</v>
      </c>
      <c r="C7217" s="8" t="s">
        <v>6423</v>
      </c>
      <c r="D7217" s="8" t="s">
        <v>26</v>
      </c>
      <c r="E7217" s="8" t="s">
        <v>6424</v>
      </c>
      <c r="F7217" s="8">
        <v>9.447900647E9</v>
      </c>
    </row>
    <row r="7218" ht="15.75" customHeight="1">
      <c r="A7218" s="8" t="s">
        <v>6425</v>
      </c>
      <c r="B7218" s="8" t="s">
        <v>6426</v>
      </c>
      <c r="C7218" s="8" t="s">
        <v>6380</v>
      </c>
      <c r="D7218" s="8" t="s">
        <v>26</v>
      </c>
      <c r="E7218" s="8" t="s">
        <v>4276</v>
      </c>
      <c r="F7218" s="8">
        <v>8.885995945E9</v>
      </c>
    </row>
    <row r="7219" ht="15.75" customHeight="1">
      <c r="A7219" s="8" t="s">
        <v>6427</v>
      </c>
      <c r="B7219" s="8" t="s">
        <v>6428</v>
      </c>
      <c r="C7219" s="8" t="s">
        <v>6429</v>
      </c>
      <c r="D7219" s="8" t="s">
        <v>56</v>
      </c>
      <c r="E7219" s="8" t="s">
        <v>6430</v>
      </c>
      <c r="F7219" s="8">
        <v>9.95190378E9</v>
      </c>
    </row>
    <row r="7220" ht="15.75" customHeight="1">
      <c r="A7220" s="8" t="s">
        <v>920</v>
      </c>
      <c r="B7220" s="8" t="s">
        <v>251</v>
      </c>
      <c r="C7220" s="8" t="s">
        <v>4006</v>
      </c>
      <c r="D7220" s="8" t="s">
        <v>14</v>
      </c>
      <c r="E7220" s="8" t="s">
        <v>6431</v>
      </c>
      <c r="F7220" s="8">
        <v>7.303621124E9</v>
      </c>
    </row>
    <row r="7221" ht="15.75" customHeight="1">
      <c r="A7221" s="8" t="s">
        <v>1842</v>
      </c>
      <c r="B7221" s="8" t="s">
        <v>4986</v>
      </c>
      <c r="C7221" s="8" t="s">
        <v>6432</v>
      </c>
      <c r="D7221" s="8" t="s">
        <v>14</v>
      </c>
      <c r="E7221" s="8" t="s">
        <v>2025</v>
      </c>
      <c r="F7221" s="8">
        <v>9.31937683E9</v>
      </c>
    </row>
    <row r="7222" ht="15.75" customHeight="1">
      <c r="A7222" s="8" t="s">
        <v>6433</v>
      </c>
      <c r="B7222" s="8" t="s">
        <v>68</v>
      </c>
      <c r="C7222" s="8" t="s">
        <v>5028</v>
      </c>
      <c r="D7222" s="8" t="s">
        <v>9</v>
      </c>
      <c r="E7222" s="8" t="s">
        <v>1102</v>
      </c>
      <c r="F7222" s="8">
        <v>9.811554964E9</v>
      </c>
    </row>
    <row r="7223" ht="15.75" customHeight="1">
      <c r="A7223" s="8" t="s">
        <v>6434</v>
      </c>
      <c r="B7223" s="8" t="s">
        <v>4988</v>
      </c>
      <c r="C7223" s="8" t="s">
        <v>6412</v>
      </c>
      <c r="D7223" s="8" t="s">
        <v>29</v>
      </c>
      <c r="E7223" s="8" t="s">
        <v>6286</v>
      </c>
      <c r="F7223" s="8">
        <v>8.57009921E9</v>
      </c>
    </row>
    <row r="7224" ht="15.75" customHeight="1">
      <c r="A7224" s="8" t="s">
        <v>2693</v>
      </c>
      <c r="B7224" s="8" t="s">
        <v>997</v>
      </c>
      <c r="C7224" s="8" t="s">
        <v>6435</v>
      </c>
      <c r="D7224" s="8" t="s">
        <v>9</v>
      </c>
      <c r="E7224" s="8" t="s">
        <v>1102</v>
      </c>
      <c r="F7224" s="8">
        <v>9.310163674E9</v>
      </c>
    </row>
    <row r="7225" ht="15.75" customHeight="1">
      <c r="A7225" s="8" t="s">
        <v>3686</v>
      </c>
      <c r="B7225" s="8" t="s">
        <v>65</v>
      </c>
      <c r="C7225" s="8" t="s">
        <v>6436</v>
      </c>
      <c r="D7225" s="8" t="s">
        <v>44</v>
      </c>
      <c r="E7225" s="8" t="s">
        <v>4007</v>
      </c>
      <c r="F7225" s="8">
        <v>9.958350024E9</v>
      </c>
    </row>
    <row r="7226" ht="15.75" customHeight="1">
      <c r="A7226" s="8" t="s">
        <v>6437</v>
      </c>
      <c r="B7226" s="8" t="s">
        <v>6438</v>
      </c>
      <c r="C7226" s="8" t="s">
        <v>6439</v>
      </c>
      <c r="D7226" s="8" t="s">
        <v>9</v>
      </c>
      <c r="E7226" s="8" t="s">
        <v>2575</v>
      </c>
      <c r="F7226" s="8">
        <v>6.382192346E9</v>
      </c>
    </row>
    <row r="7227" ht="15.75" customHeight="1">
      <c r="A7227" s="8" t="s">
        <v>6440</v>
      </c>
      <c r="B7227" s="8" t="s">
        <v>4229</v>
      </c>
      <c r="C7227" s="8" t="s">
        <v>6285</v>
      </c>
      <c r="D7227" s="8" t="s">
        <v>26</v>
      </c>
      <c r="E7227" s="8" t="s">
        <v>6286</v>
      </c>
      <c r="F7227" s="8">
        <v>9.467780306E9</v>
      </c>
    </row>
    <row r="7228" ht="15.75" customHeight="1">
      <c r="A7228" s="8" t="s">
        <v>6441</v>
      </c>
      <c r="B7228" s="8" t="s">
        <v>4229</v>
      </c>
      <c r="C7228" s="8" t="s">
        <v>6442</v>
      </c>
      <c r="D7228" s="8" t="s">
        <v>56</v>
      </c>
      <c r="E7228" s="8" t="s">
        <v>4484</v>
      </c>
      <c r="F7228" s="8">
        <v>7.011918864E9</v>
      </c>
    </row>
    <row r="7229" ht="15.75" customHeight="1">
      <c r="A7229" s="8" t="s">
        <v>996</v>
      </c>
      <c r="B7229" s="8" t="s">
        <v>65</v>
      </c>
      <c r="C7229" s="8" t="s">
        <v>6045</v>
      </c>
      <c r="D7229" s="8" t="s">
        <v>44</v>
      </c>
      <c r="E7229" s="8" t="s">
        <v>4571</v>
      </c>
      <c r="F7229" s="8">
        <v>9.460390787E9</v>
      </c>
    </row>
    <row r="7230" ht="15.75" customHeight="1">
      <c r="A7230" s="8" t="s">
        <v>6443</v>
      </c>
      <c r="B7230" s="8" t="s">
        <v>4613</v>
      </c>
      <c r="C7230" s="8" t="s">
        <v>6444</v>
      </c>
      <c r="D7230" s="8" t="s">
        <v>26</v>
      </c>
      <c r="E7230" s="8" t="s">
        <v>494</v>
      </c>
      <c r="F7230" s="8">
        <v>9.711724535E9</v>
      </c>
    </row>
    <row r="7231" ht="15.75" customHeight="1">
      <c r="A7231" s="8" t="s">
        <v>6445</v>
      </c>
      <c r="B7231" s="8" t="s">
        <v>6446</v>
      </c>
      <c r="C7231" s="8" t="s">
        <v>6447</v>
      </c>
      <c r="D7231" s="8" t="s">
        <v>44</v>
      </c>
      <c r="E7231" s="8" t="s">
        <v>4814</v>
      </c>
      <c r="F7231" s="8">
        <v>9.990000112E9</v>
      </c>
    </row>
    <row r="7232" ht="15.75" customHeight="1">
      <c r="A7232" s="8" t="s">
        <v>5731</v>
      </c>
      <c r="B7232" s="8" t="s">
        <v>65</v>
      </c>
      <c r="C7232" s="8" t="s">
        <v>6448</v>
      </c>
      <c r="D7232" s="8" t="s">
        <v>56</v>
      </c>
      <c r="E7232" s="8" t="s">
        <v>2025</v>
      </c>
      <c r="F7232" s="8">
        <v>9.717175834E9</v>
      </c>
    </row>
    <row r="7233" ht="15.75" customHeight="1">
      <c r="A7233" s="8" t="s">
        <v>6449</v>
      </c>
      <c r="B7233" s="8" t="s">
        <v>6450</v>
      </c>
      <c r="C7233" s="8" t="s">
        <v>6451</v>
      </c>
      <c r="D7233" s="8" t="s">
        <v>56</v>
      </c>
      <c r="E7233" s="8" t="s">
        <v>494</v>
      </c>
      <c r="F7233" s="8">
        <v>9.811135575E9</v>
      </c>
    </row>
    <row r="7234" ht="15.75" customHeight="1">
      <c r="A7234" s="8" t="s">
        <v>601</v>
      </c>
      <c r="B7234" s="8" t="s">
        <v>75</v>
      </c>
      <c r="C7234" s="8" t="s">
        <v>6452</v>
      </c>
      <c r="D7234" s="8" t="s">
        <v>56</v>
      </c>
      <c r="E7234" s="8" t="s">
        <v>4212</v>
      </c>
      <c r="F7234" s="8">
        <v>9.582422865E9</v>
      </c>
    </row>
    <row r="7235" ht="15.75" customHeight="1">
      <c r="A7235" s="8" t="s">
        <v>6453</v>
      </c>
      <c r="B7235" s="8" t="s">
        <v>6454</v>
      </c>
      <c r="C7235" s="8" t="s">
        <v>6067</v>
      </c>
      <c r="D7235" s="8" t="s">
        <v>44</v>
      </c>
      <c r="E7235" s="8" t="s">
        <v>4276</v>
      </c>
      <c r="F7235" s="8">
        <v>9.000001925E9</v>
      </c>
    </row>
    <row r="7236" ht="15.75" customHeight="1">
      <c r="A7236" s="8" t="s">
        <v>6455</v>
      </c>
      <c r="B7236" s="8" t="s">
        <v>108</v>
      </c>
      <c r="C7236" s="8" t="s">
        <v>6456</v>
      </c>
      <c r="D7236" s="8" t="s">
        <v>56</v>
      </c>
      <c r="E7236" s="8" t="s">
        <v>2025</v>
      </c>
      <c r="F7236" s="8">
        <v>9.953756609E9</v>
      </c>
    </row>
    <row r="7237" ht="15.75" customHeight="1">
      <c r="A7237" s="8" t="s">
        <v>6457</v>
      </c>
      <c r="B7237" s="8" t="s">
        <v>459</v>
      </c>
      <c r="C7237" s="8" t="s">
        <v>6412</v>
      </c>
      <c r="D7237" s="8" t="s">
        <v>14</v>
      </c>
      <c r="E7237" s="8" t="s">
        <v>6458</v>
      </c>
      <c r="F7237" s="8">
        <v>8.28708662E9</v>
      </c>
    </row>
    <row r="7238" ht="15.75" customHeight="1">
      <c r="A7238" s="8" t="s">
        <v>121</v>
      </c>
      <c r="B7238" s="8" t="s">
        <v>6411</v>
      </c>
      <c r="C7238" s="8" t="s">
        <v>6285</v>
      </c>
      <c r="D7238" s="8" t="s">
        <v>14</v>
      </c>
      <c r="E7238" s="8" t="s">
        <v>6286</v>
      </c>
      <c r="F7238" s="8">
        <v>9.991025895E9</v>
      </c>
    </row>
    <row r="7239" ht="15.75" customHeight="1">
      <c r="A7239" s="8" t="s">
        <v>6459</v>
      </c>
      <c r="B7239" s="8" t="s">
        <v>382</v>
      </c>
      <c r="C7239" s="8" t="s">
        <v>6460</v>
      </c>
      <c r="D7239" s="8" t="s">
        <v>44</v>
      </c>
      <c r="E7239" s="8" t="s">
        <v>6461</v>
      </c>
      <c r="F7239" s="8">
        <v>9.911793727E9</v>
      </c>
    </row>
    <row r="7240" ht="15.75" customHeight="1">
      <c r="A7240" s="8" t="s">
        <v>6462</v>
      </c>
      <c r="B7240" s="8" t="s">
        <v>6463</v>
      </c>
      <c r="C7240" s="8" t="s">
        <v>6464</v>
      </c>
      <c r="D7240" s="8" t="s">
        <v>56</v>
      </c>
      <c r="E7240" s="8" t="s">
        <v>6465</v>
      </c>
      <c r="F7240" s="8">
        <v>9.6353252198E10</v>
      </c>
    </row>
    <row r="7241" ht="15.75" customHeight="1">
      <c r="A7241" s="8" t="s">
        <v>6466</v>
      </c>
      <c r="B7241" s="8" t="s">
        <v>6467</v>
      </c>
      <c r="C7241" s="8" t="s">
        <v>6468</v>
      </c>
      <c r="D7241" s="8" t="s">
        <v>44</v>
      </c>
      <c r="E7241" s="8" t="s">
        <v>4276</v>
      </c>
      <c r="F7241" s="8">
        <v>7.013668333E9</v>
      </c>
    </row>
    <row r="7242" ht="15.75" customHeight="1">
      <c r="A7242" s="8" t="s">
        <v>6469</v>
      </c>
      <c r="B7242" s="8" t="s">
        <v>150</v>
      </c>
      <c r="C7242" s="8" t="s">
        <v>6470</v>
      </c>
      <c r="D7242" s="8" t="s">
        <v>56</v>
      </c>
      <c r="E7242" s="8" t="s">
        <v>5281</v>
      </c>
      <c r="F7242" s="8">
        <v>8.765380235E9</v>
      </c>
    </row>
    <row r="7243" ht="15.75" customHeight="1">
      <c r="A7243" s="8" t="s">
        <v>6471</v>
      </c>
      <c r="B7243" s="8" t="s">
        <v>6472</v>
      </c>
      <c r="C7243" s="8" t="s">
        <v>6473</v>
      </c>
      <c r="D7243" s="8" t="s">
        <v>44</v>
      </c>
      <c r="E7243" s="8" t="s">
        <v>6474</v>
      </c>
      <c r="F7243" s="8">
        <v>7.337868334E9</v>
      </c>
    </row>
    <row r="7244" ht="15.75" customHeight="1">
      <c r="A7244" s="8" t="s">
        <v>735</v>
      </c>
      <c r="B7244" s="8" t="s">
        <v>6475</v>
      </c>
      <c r="C7244" s="8" t="s">
        <v>6476</v>
      </c>
      <c r="D7244" s="8" t="s">
        <v>26</v>
      </c>
      <c r="E7244" s="8" t="s">
        <v>4015</v>
      </c>
      <c r="F7244" s="8">
        <v>8.800629661E9</v>
      </c>
    </row>
    <row r="7245" ht="15.75" customHeight="1">
      <c r="A7245" s="8" t="s">
        <v>3358</v>
      </c>
      <c r="B7245" s="8" t="s">
        <v>2388</v>
      </c>
      <c r="C7245" s="8" t="s">
        <v>5950</v>
      </c>
      <c r="D7245" s="8" t="s">
        <v>44</v>
      </c>
      <c r="E7245" s="8" t="s">
        <v>6477</v>
      </c>
      <c r="F7245" s="8">
        <v>8.97994808E8</v>
      </c>
    </row>
    <row r="7246" ht="15.75" customHeight="1">
      <c r="A7246" s="8" t="s">
        <v>51</v>
      </c>
      <c r="B7246" s="8" t="s">
        <v>47</v>
      </c>
      <c r="C7246" s="8" t="s">
        <v>6478</v>
      </c>
      <c r="D7246" s="8" t="s">
        <v>56</v>
      </c>
      <c r="E7246" s="8" t="s">
        <v>6479</v>
      </c>
      <c r="F7246" s="8">
        <v>9.582157404E9</v>
      </c>
    </row>
    <row r="7247" ht="15.75" customHeight="1">
      <c r="A7247" s="8" t="s">
        <v>97</v>
      </c>
      <c r="B7247" s="8" t="s">
        <v>47</v>
      </c>
      <c r="C7247" s="8" t="s">
        <v>6478</v>
      </c>
      <c r="D7247" s="8" t="s">
        <v>56</v>
      </c>
      <c r="E7247" s="8" t="s">
        <v>6480</v>
      </c>
      <c r="F7247" s="8">
        <v>8.81024772E9</v>
      </c>
    </row>
    <row r="7248" ht="15.75" customHeight="1">
      <c r="A7248" s="8" t="s">
        <v>6481</v>
      </c>
      <c r="B7248" s="8" t="s">
        <v>6482</v>
      </c>
      <c r="C7248" s="8" t="s">
        <v>6196</v>
      </c>
      <c r="D7248" s="8" t="s">
        <v>44</v>
      </c>
      <c r="E7248" s="8" t="s">
        <v>4276</v>
      </c>
      <c r="F7248" s="8">
        <v>7.286999918E9</v>
      </c>
    </row>
    <row r="7249" ht="15.75" customHeight="1">
      <c r="A7249" s="8" t="s">
        <v>1889</v>
      </c>
      <c r="B7249" s="8" t="s">
        <v>512</v>
      </c>
      <c r="C7249" s="8" t="s">
        <v>5893</v>
      </c>
      <c r="D7249" s="8" t="s">
        <v>56</v>
      </c>
      <c r="E7249" s="8" t="s">
        <v>1102</v>
      </c>
      <c r="F7249" s="8">
        <v>9.868225873E9</v>
      </c>
    </row>
    <row r="7250" ht="15.75" customHeight="1">
      <c r="A7250" s="8" t="s">
        <v>6483</v>
      </c>
      <c r="B7250" s="8" t="s">
        <v>459</v>
      </c>
      <c r="C7250" s="8" t="s">
        <v>5893</v>
      </c>
      <c r="D7250" s="8" t="s">
        <v>1108</v>
      </c>
      <c r="E7250" s="8" t="s">
        <v>1102</v>
      </c>
      <c r="F7250" s="8">
        <v>8.130802754E9</v>
      </c>
    </row>
    <row r="7251" ht="15.75" customHeight="1">
      <c r="A7251" s="8" t="s">
        <v>6484</v>
      </c>
      <c r="B7251" s="8" t="s">
        <v>6485</v>
      </c>
      <c r="C7251" s="8" t="s">
        <v>6486</v>
      </c>
      <c r="D7251" s="8" t="s">
        <v>56</v>
      </c>
      <c r="E7251" s="8" t="s">
        <v>6487</v>
      </c>
      <c r="F7251" s="8">
        <v>7.005616239E9</v>
      </c>
    </row>
    <row r="7252" ht="15.75" customHeight="1">
      <c r="A7252" s="8" t="s">
        <v>6488</v>
      </c>
      <c r="B7252" s="8" t="s">
        <v>6489</v>
      </c>
      <c r="C7252" s="8" t="s">
        <v>6486</v>
      </c>
      <c r="D7252" s="8" t="s">
        <v>56</v>
      </c>
      <c r="E7252" s="8" t="s">
        <v>6487</v>
      </c>
      <c r="F7252" s="8">
        <v>7.005773198E9</v>
      </c>
    </row>
    <row r="7253" ht="15.75" customHeight="1">
      <c r="A7253" s="8" t="s">
        <v>3327</v>
      </c>
      <c r="B7253" s="8" t="s">
        <v>2003</v>
      </c>
      <c r="C7253" s="8" t="s">
        <v>5897</v>
      </c>
      <c r="D7253" s="8" t="s">
        <v>44</v>
      </c>
      <c r="E7253" s="8" t="s">
        <v>1102</v>
      </c>
      <c r="F7253" s="8">
        <v>8.38407297E9</v>
      </c>
    </row>
    <row r="7254" ht="15.75" customHeight="1">
      <c r="A7254" s="8" t="s">
        <v>6490</v>
      </c>
      <c r="B7254" s="8" t="s">
        <v>6491</v>
      </c>
      <c r="C7254" s="8" t="s">
        <v>6492</v>
      </c>
      <c r="D7254" s="8" t="s">
        <v>44</v>
      </c>
      <c r="E7254" s="8" t="s">
        <v>6092</v>
      </c>
      <c r="F7254" s="8">
        <v>9.495209865E9</v>
      </c>
    </row>
    <row r="7255" ht="15.75" customHeight="1">
      <c r="A7255" s="8" t="s">
        <v>2051</v>
      </c>
      <c r="B7255" s="8" t="s">
        <v>47</v>
      </c>
      <c r="C7255" s="8" t="s">
        <v>6493</v>
      </c>
      <c r="D7255" s="8" t="s">
        <v>44</v>
      </c>
      <c r="E7255" s="8" t="s">
        <v>4416</v>
      </c>
      <c r="F7255" s="8">
        <v>9.411953727E9</v>
      </c>
    </row>
    <row r="7256" ht="15.75" customHeight="1">
      <c r="A7256" s="8" t="s">
        <v>411</v>
      </c>
      <c r="B7256" s="8" t="s">
        <v>6494</v>
      </c>
      <c r="C7256" s="8" t="s">
        <v>6495</v>
      </c>
      <c r="D7256" s="8" t="s">
        <v>9</v>
      </c>
      <c r="E7256" s="8" t="s">
        <v>5380</v>
      </c>
      <c r="F7256" s="8">
        <v>7.717776769E9</v>
      </c>
    </row>
    <row r="7257" ht="15.75" customHeight="1">
      <c r="A7257" s="8" t="s">
        <v>67</v>
      </c>
      <c r="B7257" s="8" t="s">
        <v>930</v>
      </c>
      <c r="C7257" s="8" t="s">
        <v>6496</v>
      </c>
      <c r="D7257" s="8" t="s">
        <v>56</v>
      </c>
      <c r="E7257" s="8" t="s">
        <v>6497</v>
      </c>
      <c r="F7257" s="8">
        <v>9.716328585E9</v>
      </c>
    </row>
    <row r="7258" ht="15.75" customHeight="1">
      <c r="A7258" s="8" t="s">
        <v>1373</v>
      </c>
      <c r="B7258" s="8" t="s">
        <v>6498</v>
      </c>
      <c r="C7258" s="8" t="s">
        <v>6499</v>
      </c>
      <c r="D7258" s="8" t="s">
        <v>9</v>
      </c>
      <c r="E7258" s="8" t="s">
        <v>6092</v>
      </c>
      <c r="F7258" s="8">
        <v>9.620317335E9</v>
      </c>
    </row>
    <row r="7259" ht="15.75" customHeight="1">
      <c r="A7259" s="8" t="s">
        <v>1842</v>
      </c>
      <c r="B7259" s="8" t="s">
        <v>108</v>
      </c>
      <c r="C7259" s="8" t="s">
        <v>6500</v>
      </c>
      <c r="D7259" s="8" t="s">
        <v>44</v>
      </c>
      <c r="E7259" s="8" t="s">
        <v>4416</v>
      </c>
      <c r="F7259" s="8">
        <v>9.897255454E9</v>
      </c>
    </row>
    <row r="7260" ht="15.75" customHeight="1">
      <c r="A7260" s="8" t="s">
        <v>1896</v>
      </c>
      <c r="B7260" s="8" t="s">
        <v>1867</v>
      </c>
      <c r="C7260" s="8" t="s">
        <v>6478</v>
      </c>
      <c r="D7260" s="8" t="s">
        <v>26</v>
      </c>
      <c r="E7260" s="8" t="s">
        <v>494</v>
      </c>
      <c r="F7260" s="8">
        <v>9.891954584E9</v>
      </c>
    </row>
    <row r="7261" ht="15.75" customHeight="1">
      <c r="A7261" s="8" t="s">
        <v>6501</v>
      </c>
      <c r="B7261" s="8" t="s">
        <v>6502</v>
      </c>
      <c r="C7261" s="8" t="s">
        <v>6503</v>
      </c>
      <c r="D7261" s="8" t="s">
        <v>56</v>
      </c>
      <c r="E7261" s="8" t="s">
        <v>6504</v>
      </c>
      <c r="F7261" s="8">
        <v>9.193985188E9</v>
      </c>
    </row>
    <row r="7262" ht="15.75" customHeight="1">
      <c r="A7262" s="8" t="s">
        <v>6505</v>
      </c>
      <c r="B7262" s="8" t="s">
        <v>47</v>
      </c>
      <c r="C7262" s="8" t="s">
        <v>5950</v>
      </c>
      <c r="D7262" s="8" t="s">
        <v>44</v>
      </c>
      <c r="E7262" s="8" t="s">
        <v>4416</v>
      </c>
      <c r="F7262" s="8">
        <v>9.759329886E9</v>
      </c>
    </row>
    <row r="7263" ht="15.75" customHeight="1">
      <c r="A7263" s="8" t="s">
        <v>6953</v>
      </c>
      <c r="B7263" s="8" t="s">
        <v>2388</v>
      </c>
      <c r="C7263" s="8" t="s">
        <v>6478</v>
      </c>
      <c r="D7263" s="8" t="s">
        <v>102</v>
      </c>
      <c r="E7263" s="8" t="s">
        <v>494</v>
      </c>
      <c r="F7263" s="8">
        <v>8.595698547E9</v>
      </c>
    </row>
    <row r="7264" ht="15.75" customHeight="1">
      <c r="A7264" s="8" t="s">
        <v>4593</v>
      </c>
      <c r="B7264" s="8" t="s">
        <v>419</v>
      </c>
      <c r="C7264" s="8" t="s">
        <v>6506</v>
      </c>
      <c r="D7264" s="8" t="s">
        <v>44</v>
      </c>
      <c r="E7264" s="8" t="s">
        <v>4796</v>
      </c>
      <c r="F7264" s="8">
        <v>9.743433062E9</v>
      </c>
    </row>
    <row r="7265" ht="15.75" customHeight="1">
      <c r="A7265" s="8" t="s">
        <v>213</v>
      </c>
      <c r="B7265" s="8" t="s">
        <v>6507</v>
      </c>
      <c r="C7265" s="8" t="s">
        <v>6508</v>
      </c>
      <c r="D7265" s="8" t="s">
        <v>26</v>
      </c>
      <c r="E7265" s="8" t="s">
        <v>494</v>
      </c>
      <c r="F7265" s="8">
        <v>9.911927992E9</v>
      </c>
    </row>
    <row r="7266" ht="15.75" customHeight="1">
      <c r="A7266" s="8" t="s">
        <v>1419</v>
      </c>
      <c r="B7266" s="8" t="s">
        <v>50</v>
      </c>
      <c r="C7266" s="8" t="s">
        <v>6509</v>
      </c>
      <c r="D7266" s="8" t="s">
        <v>44</v>
      </c>
      <c r="E7266" s="8" t="s">
        <v>1095</v>
      </c>
      <c r="F7266" s="8">
        <v>9.654121256E9</v>
      </c>
    </row>
    <row r="7267" ht="15.75" customHeight="1">
      <c r="A7267" s="8" t="s">
        <v>6510</v>
      </c>
      <c r="B7267" s="8" t="s">
        <v>50</v>
      </c>
      <c r="C7267" s="8" t="s">
        <v>6511</v>
      </c>
      <c r="D7267" s="8" t="s">
        <v>56</v>
      </c>
      <c r="E7267" s="8" t="s">
        <v>494</v>
      </c>
      <c r="F7267" s="8">
        <v>8.920672212E9</v>
      </c>
    </row>
    <row r="7268" ht="15.75" customHeight="1">
      <c r="A7268" s="8" t="s">
        <v>6512</v>
      </c>
      <c r="B7268" s="8" t="s">
        <v>3948</v>
      </c>
      <c r="C7268" s="8" t="s">
        <v>6513</v>
      </c>
      <c r="D7268" s="8" t="s">
        <v>44</v>
      </c>
      <c r="E7268" s="8" t="s">
        <v>4416</v>
      </c>
      <c r="F7268" s="8">
        <v>7.05502886E9</v>
      </c>
    </row>
    <row r="7269" ht="15.75" customHeight="1">
      <c r="A7269" s="8" t="s">
        <v>1611</v>
      </c>
      <c r="B7269" s="8" t="s">
        <v>50</v>
      </c>
      <c r="C7269" s="8" t="s">
        <v>6514</v>
      </c>
      <c r="D7269" s="8" t="s">
        <v>44</v>
      </c>
      <c r="E7269" s="8" t="s">
        <v>6515</v>
      </c>
      <c r="F7269" s="8">
        <v>8.650934168E9</v>
      </c>
    </row>
    <row r="7270" ht="15.75" customHeight="1">
      <c r="A7270" s="8" t="s">
        <v>6516</v>
      </c>
      <c r="B7270" s="8" t="s">
        <v>6517</v>
      </c>
      <c r="C7270" s="8" t="s">
        <v>6374</v>
      </c>
      <c r="D7270" s="8" t="s">
        <v>9</v>
      </c>
      <c r="E7270" s="8" t="s">
        <v>494</v>
      </c>
      <c r="F7270" s="8">
        <v>8.076459495E9</v>
      </c>
    </row>
    <row r="7271" ht="15.75" customHeight="1">
      <c r="A7271" s="8" t="s">
        <v>6398</v>
      </c>
      <c r="B7271" s="8" t="s">
        <v>6518</v>
      </c>
      <c r="C7271" s="8" t="s">
        <v>6519</v>
      </c>
      <c r="D7271" s="8" t="s">
        <v>9</v>
      </c>
      <c r="E7271" s="8" t="s">
        <v>6059</v>
      </c>
      <c r="F7271" s="8">
        <v>7.973862743E9</v>
      </c>
    </row>
    <row r="7272" ht="15.75" customHeight="1">
      <c r="A7272" s="8" t="s">
        <v>6520</v>
      </c>
      <c r="B7272" s="8" t="s">
        <v>269</v>
      </c>
      <c r="C7272" s="8" t="s">
        <v>6456</v>
      </c>
      <c r="D7272" s="8" t="s">
        <v>4944</v>
      </c>
      <c r="E7272" s="8" t="s">
        <v>2025</v>
      </c>
      <c r="F7272" s="8">
        <v>9.953756609E9</v>
      </c>
    </row>
    <row r="7273" ht="15.75" customHeight="1">
      <c r="A7273" s="8" t="s">
        <v>491</v>
      </c>
      <c r="B7273" s="8" t="s">
        <v>108</v>
      </c>
      <c r="C7273" s="8" t="s">
        <v>6521</v>
      </c>
      <c r="D7273" s="8" t="s">
        <v>56</v>
      </c>
      <c r="E7273" s="8" t="s">
        <v>5365</v>
      </c>
      <c r="F7273" s="8">
        <v>7.47733235E9</v>
      </c>
    </row>
    <row r="7274" ht="15.75" customHeight="1">
      <c r="A7274" s="8" t="s">
        <v>6522</v>
      </c>
      <c r="B7274" s="8" t="s">
        <v>3352</v>
      </c>
      <c r="C7274" s="8" t="s">
        <v>6523</v>
      </c>
      <c r="D7274" s="8" t="s">
        <v>44</v>
      </c>
      <c r="E7274" s="8" t="s">
        <v>6370</v>
      </c>
      <c r="F7274" s="8">
        <v>9.466837101E9</v>
      </c>
    </row>
    <row r="7275" ht="15.75" customHeight="1">
      <c r="A7275" s="8" t="s">
        <v>6524</v>
      </c>
      <c r="B7275" s="8" t="s">
        <v>6525</v>
      </c>
      <c r="C7275" s="8" t="s">
        <v>6526</v>
      </c>
      <c r="D7275" s="8" t="s">
        <v>26</v>
      </c>
      <c r="E7275" s="8" t="s">
        <v>5711</v>
      </c>
      <c r="F7275" s="8">
        <v>8.075833814E9</v>
      </c>
    </row>
    <row r="7276" ht="15.75" customHeight="1">
      <c r="A7276" s="8" t="s">
        <v>2451</v>
      </c>
      <c r="B7276" s="8" t="s">
        <v>1672</v>
      </c>
      <c r="C7276" s="8" t="s">
        <v>3790</v>
      </c>
      <c r="D7276" s="8" t="s">
        <v>44</v>
      </c>
      <c r="E7276" s="8" t="s">
        <v>4276</v>
      </c>
      <c r="F7276" s="8">
        <f>+918897874545</f>
        <v>918897874545</v>
      </c>
    </row>
    <row r="7277" ht="15.75" customHeight="1">
      <c r="A7277" s="8" t="s">
        <v>24</v>
      </c>
      <c r="B7277" s="8" t="s">
        <v>6527</v>
      </c>
      <c r="C7277" s="8" t="s">
        <v>6528</v>
      </c>
      <c r="D7277" s="8" t="s">
        <v>56</v>
      </c>
      <c r="E7277" s="8" t="s">
        <v>5777</v>
      </c>
      <c r="F7277" s="8">
        <v>7.976766867E9</v>
      </c>
    </row>
    <row r="7278" ht="15.75" customHeight="1">
      <c r="A7278" s="8" t="s">
        <v>2098</v>
      </c>
      <c r="B7278" s="8" t="s">
        <v>483</v>
      </c>
      <c r="C7278" s="8" t="s">
        <v>6529</v>
      </c>
      <c r="D7278" s="8" t="s">
        <v>26</v>
      </c>
      <c r="E7278" s="8" t="s">
        <v>6530</v>
      </c>
      <c r="F7278" s="8">
        <v>7.752414246E9</v>
      </c>
    </row>
    <row r="7279" ht="15.75" customHeight="1">
      <c r="A7279" s="8" t="s">
        <v>3369</v>
      </c>
      <c r="B7279" s="8" t="s">
        <v>6531</v>
      </c>
      <c r="C7279" s="8" t="s">
        <v>6529</v>
      </c>
      <c r="D7279" s="8" t="s">
        <v>26</v>
      </c>
      <c r="E7279" s="8" t="s">
        <v>6532</v>
      </c>
      <c r="F7279" s="8">
        <v>7.752414246E9</v>
      </c>
    </row>
    <row r="7280" ht="15.75" customHeight="1">
      <c r="A7280" s="8" t="s">
        <v>2594</v>
      </c>
      <c r="B7280" s="8" t="s">
        <v>68</v>
      </c>
      <c r="C7280" s="8" t="s">
        <v>36</v>
      </c>
      <c r="D7280" s="8" t="s">
        <v>9</v>
      </c>
      <c r="E7280" s="8" t="s">
        <v>6059</v>
      </c>
      <c r="F7280" s="8">
        <v>8.437876067E9</v>
      </c>
    </row>
    <row r="7281" ht="15.75" customHeight="1">
      <c r="A7281" s="8" t="s">
        <v>3014</v>
      </c>
      <c r="B7281" s="8" t="s">
        <v>3023</v>
      </c>
      <c r="C7281" s="8" t="s">
        <v>6529</v>
      </c>
      <c r="D7281" s="8" t="s">
        <v>26</v>
      </c>
      <c r="E7281" s="8" t="s">
        <v>6532</v>
      </c>
      <c r="F7281" s="8">
        <v>495001.0</v>
      </c>
    </row>
    <row r="7282" ht="15.75" customHeight="1">
      <c r="A7282" s="8" t="s">
        <v>6533</v>
      </c>
      <c r="B7282" s="8" t="s">
        <v>63</v>
      </c>
      <c r="C7282" s="8" t="s">
        <v>4449</v>
      </c>
      <c r="D7282" s="8" t="s">
        <v>56</v>
      </c>
      <c r="E7282" s="8" t="s">
        <v>5777</v>
      </c>
      <c r="F7282" s="8">
        <v>8.360457863E9</v>
      </c>
    </row>
    <row r="7283" ht="15.75" customHeight="1">
      <c r="A7283" s="8" t="s">
        <v>1234</v>
      </c>
      <c r="B7283" s="8" t="s">
        <v>459</v>
      </c>
      <c r="C7283" s="8" t="s">
        <v>6529</v>
      </c>
      <c r="D7283" s="8" t="s">
        <v>29</v>
      </c>
      <c r="E7283" s="8" t="s">
        <v>6532</v>
      </c>
      <c r="F7283" s="8">
        <v>7.752414246E9</v>
      </c>
    </row>
    <row r="7284" ht="15.75" customHeight="1">
      <c r="A7284" s="8" t="s">
        <v>545</v>
      </c>
      <c r="B7284" s="8" t="s">
        <v>5426</v>
      </c>
      <c r="C7284" s="8" t="s">
        <v>6534</v>
      </c>
      <c r="D7284" s="8" t="s">
        <v>56</v>
      </c>
      <c r="E7284" s="8" t="s">
        <v>6535</v>
      </c>
      <c r="F7284" s="8">
        <v>8.590211742E9</v>
      </c>
    </row>
    <row r="7285" ht="15.75" customHeight="1">
      <c r="A7285" s="8" t="s">
        <v>6536</v>
      </c>
      <c r="B7285" s="8" t="s">
        <v>6537</v>
      </c>
      <c r="C7285" s="8" t="s">
        <v>6538</v>
      </c>
      <c r="D7285" s="8" t="s">
        <v>56</v>
      </c>
      <c r="E7285" s="8" t="s">
        <v>6370</v>
      </c>
      <c r="F7285" s="8">
        <v>7.973112016E9</v>
      </c>
    </row>
    <row r="7286" ht="15.75" customHeight="1">
      <c r="A7286" s="8" t="s">
        <v>4330</v>
      </c>
      <c r="B7286" s="8" t="s">
        <v>63</v>
      </c>
      <c r="C7286" s="8" t="s">
        <v>6954</v>
      </c>
      <c r="D7286" s="8" t="s">
        <v>26</v>
      </c>
      <c r="E7286" s="8" t="s">
        <v>434</v>
      </c>
      <c r="F7286" s="8">
        <f>+919867906873</f>
        <v>919867906873</v>
      </c>
    </row>
    <row r="7287" ht="15.75" customHeight="1">
      <c r="A7287" s="8" t="s">
        <v>2894</v>
      </c>
      <c r="B7287" s="8" t="s">
        <v>108</v>
      </c>
      <c r="C7287" s="8" t="s">
        <v>6539</v>
      </c>
      <c r="D7287" s="8" t="s">
        <v>9</v>
      </c>
      <c r="E7287" s="8" t="s">
        <v>4571</v>
      </c>
      <c r="F7287" s="8">
        <v>7.01410509E9</v>
      </c>
    </row>
    <row r="7288" ht="15.75" customHeight="1">
      <c r="A7288" s="8" t="s">
        <v>6540</v>
      </c>
      <c r="B7288" s="8" t="s">
        <v>68</v>
      </c>
      <c r="C7288" s="8" t="s">
        <v>6541</v>
      </c>
      <c r="D7288" s="8" t="s">
        <v>56</v>
      </c>
      <c r="E7288" s="8" t="s">
        <v>5777</v>
      </c>
      <c r="F7288" s="8">
        <v>9.813489129E9</v>
      </c>
    </row>
    <row r="7289" ht="15.75" customHeight="1">
      <c r="A7289" s="8" t="s">
        <v>6542</v>
      </c>
      <c r="B7289" s="8" t="s">
        <v>6543</v>
      </c>
      <c r="C7289" s="8" t="s">
        <v>6544</v>
      </c>
      <c r="D7289" s="8" t="s">
        <v>44</v>
      </c>
      <c r="E7289" s="8" t="s">
        <v>6545</v>
      </c>
      <c r="F7289" s="8">
        <v>9.999398727E9</v>
      </c>
    </row>
    <row r="7290" ht="15.75" customHeight="1">
      <c r="A7290" s="8" t="s">
        <v>2558</v>
      </c>
      <c r="B7290" s="8" t="s">
        <v>145</v>
      </c>
      <c r="C7290" s="8" t="s">
        <v>4665</v>
      </c>
      <c r="D7290" s="8" t="s">
        <v>56</v>
      </c>
      <c r="E7290" s="8" t="s">
        <v>5964</v>
      </c>
      <c r="F7290" s="8">
        <v>8.826810708E9</v>
      </c>
    </row>
    <row r="7291" ht="15.75" customHeight="1">
      <c r="A7291" s="8" t="s">
        <v>6546</v>
      </c>
      <c r="B7291" s="8" t="s">
        <v>4706</v>
      </c>
      <c r="C7291" s="8" t="s">
        <v>6547</v>
      </c>
      <c r="D7291" s="8" t="s">
        <v>44</v>
      </c>
      <c r="E7291" s="8" t="s">
        <v>6548</v>
      </c>
      <c r="F7291" s="8">
        <v>7.06336645E9</v>
      </c>
    </row>
    <row r="7292" ht="15.75" customHeight="1">
      <c r="A7292" s="8" t="s">
        <v>6549</v>
      </c>
      <c r="B7292" s="8" t="s">
        <v>3015</v>
      </c>
      <c r="C7292" s="8" t="s">
        <v>6550</v>
      </c>
      <c r="D7292" s="8" t="s">
        <v>9</v>
      </c>
      <c r="E7292" s="8" t="s">
        <v>4007</v>
      </c>
      <c r="F7292" s="8">
        <v>8.377979772E9</v>
      </c>
    </row>
    <row r="7293" ht="15.75" customHeight="1">
      <c r="A7293" s="8" t="s">
        <v>6551</v>
      </c>
      <c r="B7293" s="8" t="s">
        <v>3988</v>
      </c>
      <c r="C7293" s="8" t="s">
        <v>5893</v>
      </c>
      <c r="D7293" s="8" t="s">
        <v>56</v>
      </c>
      <c r="E7293" s="8" t="s">
        <v>1102</v>
      </c>
      <c r="F7293" s="8">
        <f>+918851341876</f>
        <v>918851341876</v>
      </c>
    </row>
    <row r="7294" ht="15.75" customHeight="1">
      <c r="A7294" s="8" t="s">
        <v>3031</v>
      </c>
      <c r="B7294" s="8" t="s">
        <v>68</v>
      </c>
      <c r="C7294" s="8" t="s">
        <v>6045</v>
      </c>
      <c r="D7294" s="8" t="s">
        <v>9</v>
      </c>
      <c r="E7294" s="8" t="s">
        <v>4571</v>
      </c>
      <c r="F7294" s="8">
        <v>9.3513655E9</v>
      </c>
    </row>
    <row r="7295" ht="15.75" customHeight="1">
      <c r="A7295" s="8" t="s">
        <v>1082</v>
      </c>
      <c r="B7295" s="8" t="s">
        <v>6552</v>
      </c>
      <c r="C7295" s="8" t="s">
        <v>6553</v>
      </c>
      <c r="D7295" s="8" t="s">
        <v>9</v>
      </c>
      <c r="E7295" s="8" t="s">
        <v>5087</v>
      </c>
      <c r="F7295" s="8">
        <v>8.170849869E9</v>
      </c>
    </row>
    <row r="7296" ht="15.75" customHeight="1">
      <c r="A7296" s="8" t="s">
        <v>6554</v>
      </c>
      <c r="B7296" s="8" t="s">
        <v>6475</v>
      </c>
      <c r="C7296" s="8" t="s">
        <v>4409</v>
      </c>
      <c r="D7296" s="8" t="s">
        <v>56</v>
      </c>
      <c r="E7296" s="8" t="s">
        <v>5087</v>
      </c>
      <c r="F7296" s="8">
        <v>8.250301968E9</v>
      </c>
    </row>
    <row r="7297" ht="15.75" customHeight="1">
      <c r="A7297" s="8" t="s">
        <v>6555</v>
      </c>
      <c r="B7297" s="8" t="s">
        <v>6556</v>
      </c>
      <c r="C7297" s="8" t="s">
        <v>6557</v>
      </c>
      <c r="D7297" s="8" t="s">
        <v>44</v>
      </c>
      <c r="E7297" s="8" t="s">
        <v>4484</v>
      </c>
      <c r="F7297" s="8">
        <v>9.810431634E9</v>
      </c>
    </row>
    <row r="7298" ht="15.75" customHeight="1">
      <c r="A7298" s="8" t="s">
        <v>2930</v>
      </c>
      <c r="B7298" s="8" t="s">
        <v>2577</v>
      </c>
      <c r="C7298" s="8" t="s">
        <v>6558</v>
      </c>
      <c r="D7298" s="8" t="s">
        <v>44</v>
      </c>
      <c r="E7298" s="8" t="s">
        <v>4015</v>
      </c>
      <c r="F7298" s="8">
        <v>9.971877584E9</v>
      </c>
    </row>
    <row r="7299" ht="15.75" customHeight="1">
      <c r="A7299" s="8" t="s">
        <v>2930</v>
      </c>
      <c r="B7299" s="8" t="s">
        <v>1090</v>
      </c>
      <c r="C7299" s="8" t="s">
        <v>6045</v>
      </c>
      <c r="D7299" s="8" t="s">
        <v>1108</v>
      </c>
      <c r="E7299" s="8" t="s">
        <v>6559</v>
      </c>
      <c r="F7299" s="8">
        <v>9.413158072E9</v>
      </c>
    </row>
    <row r="7300" ht="15.75" customHeight="1">
      <c r="A7300" s="8" t="s">
        <v>6560</v>
      </c>
      <c r="B7300" s="8" t="s">
        <v>6561</v>
      </c>
      <c r="C7300" s="8" t="s">
        <v>3790</v>
      </c>
      <c r="D7300" s="8" t="s">
        <v>9</v>
      </c>
      <c r="E7300" s="8" t="s">
        <v>4276</v>
      </c>
      <c r="F7300" s="8">
        <v>9.666904281E9</v>
      </c>
    </row>
    <row r="7301" ht="15.75" customHeight="1">
      <c r="A7301" s="8" t="s">
        <v>6562</v>
      </c>
      <c r="B7301" s="8" t="s">
        <v>6563</v>
      </c>
      <c r="C7301" s="8" t="s">
        <v>6564</v>
      </c>
      <c r="D7301" s="8" t="s">
        <v>9</v>
      </c>
      <c r="E7301" s="8" t="s">
        <v>6565</v>
      </c>
      <c r="F7301" s="8">
        <v>9.953601705E9</v>
      </c>
    </row>
    <row r="7302" ht="15.75" customHeight="1">
      <c r="A7302" s="8" t="s">
        <v>1442</v>
      </c>
      <c r="B7302" s="8" t="s">
        <v>6217</v>
      </c>
      <c r="C7302" s="8" t="s">
        <v>6566</v>
      </c>
      <c r="D7302" s="8" t="s">
        <v>56</v>
      </c>
      <c r="E7302" s="8" t="s">
        <v>2025</v>
      </c>
      <c r="F7302" s="8">
        <v>9.650448686E9</v>
      </c>
    </row>
    <row r="7303" ht="15.75" customHeight="1">
      <c r="A7303" s="8" t="s">
        <v>6567</v>
      </c>
      <c r="B7303" s="8" t="s">
        <v>6568</v>
      </c>
      <c r="C7303" s="8" t="s">
        <v>6569</v>
      </c>
      <c r="D7303" s="8" t="s">
        <v>26</v>
      </c>
      <c r="E7303" s="8" t="s">
        <v>6570</v>
      </c>
      <c r="F7303" s="8">
        <v>9.573297371E9</v>
      </c>
    </row>
    <row r="7304" ht="15.75" customHeight="1">
      <c r="A7304" s="8" t="s">
        <v>6571</v>
      </c>
      <c r="B7304" s="8" t="s">
        <v>65</v>
      </c>
      <c r="C7304" s="8" t="s">
        <v>6572</v>
      </c>
      <c r="D7304" s="8" t="s">
        <v>44</v>
      </c>
      <c r="E7304" s="8" t="s">
        <v>2025</v>
      </c>
      <c r="F7304" s="8">
        <v>9.810001734E9</v>
      </c>
    </row>
    <row r="7305" ht="15.75" customHeight="1">
      <c r="A7305" s="8" t="s">
        <v>6573</v>
      </c>
      <c r="B7305" s="8" t="s">
        <v>6574</v>
      </c>
      <c r="C7305" s="8" t="s">
        <v>6575</v>
      </c>
      <c r="D7305" s="8" t="s">
        <v>29</v>
      </c>
      <c r="E7305" s="8" t="s">
        <v>6576</v>
      </c>
      <c r="F7305" s="8">
        <v>6.382825277E9</v>
      </c>
    </row>
    <row r="7306" ht="15.75" customHeight="1">
      <c r="A7306" s="8" t="s">
        <v>3837</v>
      </c>
      <c r="B7306" s="8" t="s">
        <v>4785</v>
      </c>
      <c r="C7306" s="8" t="s">
        <v>6577</v>
      </c>
      <c r="D7306" s="8" t="s">
        <v>56</v>
      </c>
      <c r="E7306" s="8" t="s">
        <v>6578</v>
      </c>
      <c r="F7306" s="8">
        <f>+919101401769</f>
        <v>919101401769</v>
      </c>
    </row>
    <row r="7307" ht="15.75" customHeight="1">
      <c r="A7307" s="8" t="s">
        <v>920</v>
      </c>
      <c r="B7307" s="8" t="s">
        <v>6579</v>
      </c>
      <c r="C7307" s="8" t="s">
        <v>6580</v>
      </c>
      <c r="D7307" s="8" t="s">
        <v>9</v>
      </c>
      <c r="E7307" s="8" t="s">
        <v>2115</v>
      </c>
      <c r="F7307" s="8">
        <f>+917365032037</f>
        <v>917365032037</v>
      </c>
    </row>
    <row r="7308" ht="15.75" customHeight="1">
      <c r="A7308" s="8" t="s">
        <v>6581</v>
      </c>
      <c r="B7308" s="8" t="s">
        <v>2206</v>
      </c>
      <c r="C7308" s="8" t="s">
        <v>6582</v>
      </c>
      <c r="D7308" s="8" t="s">
        <v>14</v>
      </c>
      <c r="E7308" s="8" t="s">
        <v>6578</v>
      </c>
      <c r="F7308" s="8">
        <v>9.706462678E9</v>
      </c>
    </row>
    <row r="7309" ht="15.75" customHeight="1">
      <c r="A7309" s="8" t="s">
        <v>304</v>
      </c>
      <c r="B7309" s="8" t="s">
        <v>4613</v>
      </c>
      <c r="C7309" s="8" t="s">
        <v>6583</v>
      </c>
      <c r="D7309" s="8" t="s">
        <v>44</v>
      </c>
      <c r="E7309" s="8" t="s">
        <v>4898</v>
      </c>
      <c r="F7309" s="8">
        <v>8.146543053E9</v>
      </c>
    </row>
    <row r="7310" ht="15.75" customHeight="1">
      <c r="A7310" s="8" t="s">
        <v>6584</v>
      </c>
      <c r="B7310" s="8" t="s">
        <v>6585</v>
      </c>
      <c r="C7310" s="8" t="s">
        <v>6586</v>
      </c>
      <c r="D7310" s="8" t="s">
        <v>26</v>
      </c>
      <c r="E7310" s="8" t="s">
        <v>6587</v>
      </c>
      <c r="F7310" s="8">
        <v>9.422308688E9</v>
      </c>
    </row>
    <row r="7311" ht="15.75" customHeight="1">
      <c r="A7311" s="8" t="s">
        <v>6588</v>
      </c>
      <c r="B7311" s="8" t="s">
        <v>6589</v>
      </c>
      <c r="C7311" s="8" t="s">
        <v>6590</v>
      </c>
      <c r="D7311" s="8" t="s">
        <v>29</v>
      </c>
      <c r="E7311" s="8" t="s">
        <v>6591</v>
      </c>
      <c r="F7311" s="8">
        <v>7.543884975E9</v>
      </c>
    </row>
    <row r="7312" ht="15.75" customHeight="1">
      <c r="A7312" s="8" t="s">
        <v>6592</v>
      </c>
      <c r="B7312" s="8" t="s">
        <v>3547</v>
      </c>
      <c r="C7312" s="8" t="s">
        <v>6593</v>
      </c>
      <c r="D7312" s="8" t="s">
        <v>44</v>
      </c>
      <c r="E7312" s="8" t="s">
        <v>6370</v>
      </c>
      <c r="F7312" s="8">
        <v>9.88896435E9</v>
      </c>
    </row>
    <row r="7313" ht="15.75" customHeight="1">
      <c r="A7313" s="8" t="s">
        <v>6594</v>
      </c>
      <c r="B7313" s="8" t="s">
        <v>3078</v>
      </c>
      <c r="C7313" s="8" t="s">
        <v>6595</v>
      </c>
      <c r="D7313" s="8" t="s">
        <v>26</v>
      </c>
      <c r="E7313" s="8" t="s">
        <v>6596</v>
      </c>
      <c r="F7313" s="8">
        <v>8.073562726E9</v>
      </c>
    </row>
    <row r="7314" ht="15.75" customHeight="1">
      <c r="A7314" s="8" t="s">
        <v>6597</v>
      </c>
      <c r="B7314" s="8" t="s">
        <v>108</v>
      </c>
      <c r="C7314" s="8" t="s">
        <v>6598</v>
      </c>
      <c r="D7314" s="8" t="s">
        <v>29</v>
      </c>
      <c r="E7314" s="8" t="s">
        <v>494</v>
      </c>
      <c r="F7314" s="8">
        <v>9.540562642E9</v>
      </c>
    </row>
    <row r="7315" ht="15.75" customHeight="1">
      <c r="A7315" s="8" t="s">
        <v>1421</v>
      </c>
      <c r="B7315" s="8" t="s">
        <v>6599</v>
      </c>
      <c r="C7315" s="8" t="s">
        <v>4979</v>
      </c>
      <c r="D7315" s="8" t="s">
        <v>44</v>
      </c>
      <c r="E7315" s="8" t="s">
        <v>6600</v>
      </c>
      <c r="F7315" s="8">
        <v>7.030668209E9</v>
      </c>
    </row>
    <row r="7316" ht="15.75" customHeight="1">
      <c r="A7316" s="8" t="s">
        <v>1348</v>
      </c>
      <c r="B7316" s="8" t="s">
        <v>6601</v>
      </c>
      <c r="C7316" s="8" t="s">
        <v>6602</v>
      </c>
      <c r="D7316" s="8" t="s">
        <v>44</v>
      </c>
      <c r="E7316" s="8" t="s">
        <v>494</v>
      </c>
      <c r="F7316" s="8">
        <v>9.873410518E9</v>
      </c>
    </row>
    <row r="7317" ht="15.75" customHeight="1">
      <c r="A7317" s="8" t="s">
        <v>6603</v>
      </c>
      <c r="B7317" s="8" t="s">
        <v>63</v>
      </c>
      <c r="C7317" s="8" t="s">
        <v>6604</v>
      </c>
      <c r="D7317" s="8" t="s">
        <v>56</v>
      </c>
      <c r="E7317" s="8" t="s">
        <v>6605</v>
      </c>
      <c r="F7317" s="8">
        <v>8.708635177E9</v>
      </c>
    </row>
    <row r="7318" ht="15.75" customHeight="1">
      <c r="A7318" s="8" t="s">
        <v>6606</v>
      </c>
      <c r="B7318" s="8" t="s">
        <v>6607</v>
      </c>
      <c r="C7318" s="8" t="s">
        <v>6193</v>
      </c>
      <c r="D7318" s="8" t="s">
        <v>56</v>
      </c>
      <c r="E7318" s="8" t="s">
        <v>6142</v>
      </c>
      <c r="F7318" s="8">
        <v>9.487428362E9</v>
      </c>
    </row>
    <row r="7319" ht="15.75" customHeight="1">
      <c r="A7319" s="8" t="s">
        <v>6608</v>
      </c>
      <c r="B7319" s="8" t="s">
        <v>6609</v>
      </c>
      <c r="C7319" s="8" t="s">
        <v>6582</v>
      </c>
      <c r="D7319" s="8" t="s">
        <v>29</v>
      </c>
      <c r="E7319" s="8" t="s">
        <v>6578</v>
      </c>
      <c r="F7319" s="8">
        <v>8.486597515E9</v>
      </c>
    </row>
    <row r="7320" ht="15.75" customHeight="1">
      <c r="A7320" s="8" t="s">
        <v>6610</v>
      </c>
      <c r="B7320" s="8" t="s">
        <v>6611</v>
      </c>
      <c r="C7320" s="8" t="s">
        <v>6612</v>
      </c>
      <c r="D7320" s="8" t="s">
        <v>26</v>
      </c>
      <c r="E7320" s="8" t="s">
        <v>3863</v>
      </c>
      <c r="F7320" s="8">
        <v>8.237637345E9</v>
      </c>
    </row>
    <row r="7321" ht="15.75" customHeight="1">
      <c r="A7321" s="8" t="s">
        <v>6613</v>
      </c>
      <c r="B7321" s="8" t="s">
        <v>6614</v>
      </c>
      <c r="C7321" s="8" t="s">
        <v>6615</v>
      </c>
      <c r="D7321" s="8" t="s">
        <v>56</v>
      </c>
      <c r="E7321" s="8" t="s">
        <v>6616</v>
      </c>
      <c r="F7321" s="8">
        <v>8.555817171E9</v>
      </c>
    </row>
    <row r="7322" ht="15.75" customHeight="1">
      <c r="A7322" s="8" t="s">
        <v>4359</v>
      </c>
      <c r="B7322" s="8" t="s">
        <v>65</v>
      </c>
      <c r="C7322" s="8" t="s">
        <v>5028</v>
      </c>
      <c r="D7322" s="8" t="s">
        <v>44</v>
      </c>
      <c r="E7322" s="8" t="s">
        <v>4015</v>
      </c>
      <c r="F7322" s="8">
        <v>9.723554276E9</v>
      </c>
    </row>
    <row r="7323" ht="15.75" customHeight="1">
      <c r="A7323" s="8" t="s">
        <v>6617</v>
      </c>
      <c r="B7323" s="8" t="s">
        <v>6618</v>
      </c>
      <c r="C7323" s="8" t="s">
        <v>6619</v>
      </c>
      <c r="D7323" s="8" t="s">
        <v>26</v>
      </c>
      <c r="E7323" s="8" t="s">
        <v>3863</v>
      </c>
      <c r="F7323" s="8">
        <v>7.820980824E9</v>
      </c>
    </row>
    <row r="7324" ht="15.75" customHeight="1">
      <c r="A7324" s="8" t="s">
        <v>707</v>
      </c>
      <c r="B7324" s="8" t="s">
        <v>50</v>
      </c>
      <c r="C7324" s="8" t="s">
        <v>412</v>
      </c>
      <c r="D7324" s="8" t="s">
        <v>56</v>
      </c>
      <c r="E7324" s="8" t="s">
        <v>4276</v>
      </c>
      <c r="F7324" s="8">
        <v>8.106215841E9</v>
      </c>
    </row>
    <row r="7325" ht="15.75" customHeight="1">
      <c r="A7325" s="8" t="s">
        <v>6620</v>
      </c>
      <c r="B7325" s="8" t="s">
        <v>2392</v>
      </c>
      <c r="C7325" s="8" t="s">
        <v>6402</v>
      </c>
      <c r="D7325" s="8" t="s">
        <v>14</v>
      </c>
      <c r="E7325" s="8" t="s">
        <v>6621</v>
      </c>
      <c r="F7325" s="8">
        <v>7.896594916E9</v>
      </c>
    </row>
    <row r="7326" ht="15.75" customHeight="1">
      <c r="A7326" s="8" t="s">
        <v>6622</v>
      </c>
      <c r="B7326" s="8" t="s">
        <v>3247</v>
      </c>
      <c r="C7326" s="8" t="s">
        <v>6623</v>
      </c>
      <c r="D7326" s="8" t="s">
        <v>56</v>
      </c>
      <c r="E7326" s="8" t="s">
        <v>6624</v>
      </c>
      <c r="F7326" s="8">
        <v>9.800637844E9</v>
      </c>
    </row>
    <row r="7327" ht="15.75" customHeight="1">
      <c r="A7327" s="8" t="s">
        <v>2672</v>
      </c>
      <c r="B7327" s="8" t="s">
        <v>6625</v>
      </c>
      <c r="C7327" s="8" t="s">
        <v>6626</v>
      </c>
      <c r="D7327" s="8" t="s">
        <v>56</v>
      </c>
      <c r="E7327" s="8" t="s">
        <v>6370</v>
      </c>
      <c r="F7327" s="8">
        <v>9.876440521E9</v>
      </c>
    </row>
    <row r="7328" ht="15.75" customHeight="1">
      <c r="A7328" s="8" t="s">
        <v>1230</v>
      </c>
      <c r="B7328" s="8" t="s">
        <v>6627</v>
      </c>
      <c r="C7328" s="8" t="s">
        <v>6628</v>
      </c>
      <c r="D7328" s="8" t="s">
        <v>26</v>
      </c>
      <c r="E7328" s="8" t="s">
        <v>15</v>
      </c>
      <c r="F7328" s="8">
        <v>9.404166747E9</v>
      </c>
    </row>
    <row r="7329" ht="15.75" customHeight="1">
      <c r="A7329" s="8" t="s">
        <v>6629</v>
      </c>
      <c r="B7329" s="8" t="s">
        <v>6630</v>
      </c>
      <c r="C7329" s="8" t="s">
        <v>6582</v>
      </c>
      <c r="D7329" s="8" t="s">
        <v>14</v>
      </c>
      <c r="E7329" s="8" t="s">
        <v>6631</v>
      </c>
      <c r="F7329" s="8">
        <v>6.001008741E9</v>
      </c>
    </row>
    <row r="7330" ht="15.75" customHeight="1">
      <c r="A7330" s="8" t="s">
        <v>871</v>
      </c>
      <c r="B7330" s="8" t="s">
        <v>1090</v>
      </c>
      <c r="C7330" s="8" t="s">
        <v>6632</v>
      </c>
      <c r="D7330" s="8" t="s">
        <v>44</v>
      </c>
      <c r="E7330" s="8" t="s">
        <v>1102</v>
      </c>
      <c r="F7330" s="8">
        <v>9.81822086E9</v>
      </c>
    </row>
    <row r="7331" ht="15.75" customHeight="1">
      <c r="A7331" s="8" t="s">
        <v>6633</v>
      </c>
      <c r="B7331" s="8" t="s">
        <v>308</v>
      </c>
      <c r="C7331" s="8" t="s">
        <v>6634</v>
      </c>
      <c r="D7331" s="8" t="s">
        <v>9</v>
      </c>
      <c r="E7331" s="8" t="s">
        <v>6635</v>
      </c>
      <c r="F7331" s="8">
        <v>6.000343177E9</v>
      </c>
    </row>
    <row r="7332" ht="15.75" customHeight="1">
      <c r="A7332" s="8" t="s">
        <v>6636</v>
      </c>
      <c r="B7332" s="8" t="s">
        <v>3511</v>
      </c>
      <c r="C7332" s="8" t="s">
        <v>6402</v>
      </c>
      <c r="D7332" s="8" t="s">
        <v>14</v>
      </c>
      <c r="E7332" s="8" t="s">
        <v>6637</v>
      </c>
      <c r="F7332" s="8">
        <v>8.822318008E9</v>
      </c>
    </row>
    <row r="7333" ht="15.75" customHeight="1">
      <c r="A7333" s="8" t="s">
        <v>6638</v>
      </c>
      <c r="B7333" s="8" t="s">
        <v>3511</v>
      </c>
      <c r="C7333" s="8" t="s">
        <v>6402</v>
      </c>
      <c r="D7333" s="8" t="s">
        <v>14</v>
      </c>
      <c r="E7333" s="8" t="s">
        <v>6637</v>
      </c>
      <c r="F7333" s="8">
        <v>8.822318008E9</v>
      </c>
    </row>
    <row r="7334" ht="15.75" customHeight="1">
      <c r="A7334" s="8" t="s">
        <v>6639</v>
      </c>
      <c r="B7334" s="8" t="s">
        <v>6640</v>
      </c>
      <c r="C7334" s="8" t="s">
        <v>6641</v>
      </c>
      <c r="D7334" s="8" t="s">
        <v>14</v>
      </c>
      <c r="E7334" s="8" t="s">
        <v>6642</v>
      </c>
      <c r="F7334" s="8">
        <v>6.900648592E9</v>
      </c>
    </row>
    <row r="7335" ht="15.75" customHeight="1">
      <c r="A7335" s="8" t="s">
        <v>6643</v>
      </c>
      <c r="B7335" s="8" t="s">
        <v>6644</v>
      </c>
      <c r="C7335" s="8" t="s">
        <v>6645</v>
      </c>
      <c r="D7335" s="8" t="s">
        <v>56</v>
      </c>
      <c r="E7335" s="8" t="s">
        <v>6578</v>
      </c>
      <c r="F7335" s="8">
        <v>7.00286963E9</v>
      </c>
    </row>
    <row r="7336" ht="15.75" customHeight="1">
      <c r="A7336" s="8" t="s">
        <v>923</v>
      </c>
      <c r="B7336" s="8" t="s">
        <v>5180</v>
      </c>
      <c r="C7336" s="8" t="s">
        <v>6646</v>
      </c>
      <c r="D7336" s="8" t="s">
        <v>26</v>
      </c>
      <c r="E7336" s="8" t="s">
        <v>494</v>
      </c>
      <c r="F7336" s="8">
        <v>8.376820175E9</v>
      </c>
    </row>
    <row r="7337" ht="15.75" customHeight="1">
      <c r="A7337" s="8" t="s">
        <v>6647</v>
      </c>
      <c r="B7337" s="8" t="s">
        <v>6648</v>
      </c>
      <c r="C7337" s="8" t="s">
        <v>6649</v>
      </c>
      <c r="D7337" s="8" t="s">
        <v>14</v>
      </c>
      <c r="E7337" s="8" t="s">
        <v>6650</v>
      </c>
      <c r="F7337" s="8">
        <v>6.003244943E9</v>
      </c>
    </row>
    <row r="7338" ht="15.75" customHeight="1">
      <c r="A7338" s="8" t="s">
        <v>1213</v>
      </c>
      <c r="B7338" s="8" t="s">
        <v>4008</v>
      </c>
      <c r="C7338" s="8" t="s">
        <v>6045</v>
      </c>
      <c r="D7338" s="8" t="s">
        <v>44</v>
      </c>
      <c r="E7338" s="8" t="s">
        <v>4571</v>
      </c>
      <c r="F7338" s="8">
        <v>9.950177998E9</v>
      </c>
    </row>
    <row r="7339" ht="15.75" customHeight="1">
      <c r="A7339" s="8" t="s">
        <v>4984</v>
      </c>
      <c r="B7339" s="8" t="s">
        <v>2860</v>
      </c>
      <c r="C7339" s="8" t="s">
        <v>6651</v>
      </c>
      <c r="D7339" s="8" t="s">
        <v>26</v>
      </c>
      <c r="E7339" s="8" t="s">
        <v>5281</v>
      </c>
      <c r="F7339" s="8">
        <v>8.756409981E9</v>
      </c>
    </row>
    <row r="7340" ht="15.75" customHeight="1">
      <c r="A7340" s="8" t="s">
        <v>4846</v>
      </c>
      <c r="B7340" s="8" t="s">
        <v>4488</v>
      </c>
      <c r="C7340" s="8" t="s">
        <v>6652</v>
      </c>
      <c r="D7340" s="8" t="s">
        <v>44</v>
      </c>
      <c r="E7340" s="8" t="s">
        <v>6653</v>
      </c>
      <c r="F7340" s="8">
        <v>9.654007412E9</v>
      </c>
    </row>
    <row r="7341" ht="15.75" customHeight="1">
      <c r="A7341" s="8" t="s">
        <v>6654</v>
      </c>
      <c r="B7341" s="8" t="s">
        <v>6655</v>
      </c>
      <c r="C7341" s="8" t="s">
        <v>6582</v>
      </c>
      <c r="D7341" s="8" t="s">
        <v>44</v>
      </c>
      <c r="E7341" s="8" t="s">
        <v>6578</v>
      </c>
      <c r="F7341" s="8">
        <v>9.854902659E9</v>
      </c>
    </row>
    <row r="7342" ht="15.75" customHeight="1">
      <c r="A7342" s="8" t="s">
        <v>3860</v>
      </c>
      <c r="B7342" s="8" t="s">
        <v>3861</v>
      </c>
      <c r="C7342" s="8" t="s">
        <v>6955</v>
      </c>
      <c r="D7342" s="8" t="s">
        <v>26</v>
      </c>
      <c r="E7342" s="8" t="s">
        <v>3863</v>
      </c>
      <c r="F7342" s="8">
        <v>9.975509766E9</v>
      </c>
    </row>
    <row r="7343" ht="15.75" customHeight="1">
      <c r="A7343" s="8" t="s">
        <v>6656</v>
      </c>
      <c r="B7343" s="8" t="s">
        <v>68</v>
      </c>
      <c r="C7343" s="8" t="s">
        <v>6657</v>
      </c>
      <c r="D7343" s="8" t="s">
        <v>56</v>
      </c>
      <c r="E7343" s="8" t="s">
        <v>4769</v>
      </c>
      <c r="F7343" s="8">
        <v>9.315399303E9</v>
      </c>
    </row>
    <row r="7344" ht="15.75" customHeight="1">
      <c r="A7344" s="8" t="s">
        <v>6622</v>
      </c>
      <c r="B7344" s="8" t="s">
        <v>6658</v>
      </c>
      <c r="C7344" s="8" t="s">
        <v>6659</v>
      </c>
      <c r="D7344" s="8" t="s">
        <v>26</v>
      </c>
      <c r="E7344" s="8" t="s">
        <v>2025</v>
      </c>
      <c r="F7344" s="8">
        <v>9.811512654E9</v>
      </c>
    </row>
    <row r="7345" ht="15.75" customHeight="1">
      <c r="A7345" s="8" t="s">
        <v>1260</v>
      </c>
      <c r="B7345" s="8" t="s">
        <v>4773</v>
      </c>
      <c r="C7345" s="8" t="s">
        <v>6660</v>
      </c>
      <c r="D7345" s="8" t="s">
        <v>26</v>
      </c>
      <c r="E7345" s="8" t="s">
        <v>5666</v>
      </c>
      <c r="F7345" s="8">
        <v>9.910627905E9</v>
      </c>
    </row>
    <row r="7346" ht="15.75" customHeight="1">
      <c r="A7346" s="8" t="s">
        <v>6661</v>
      </c>
      <c r="B7346" s="8" t="s">
        <v>2707</v>
      </c>
      <c r="C7346" s="8" t="s">
        <v>6662</v>
      </c>
      <c r="D7346" s="8" t="s">
        <v>26</v>
      </c>
      <c r="E7346" s="8" t="s">
        <v>494</v>
      </c>
      <c r="F7346" s="8">
        <v>9.910626334E9</v>
      </c>
    </row>
    <row r="7347" ht="15.75" customHeight="1">
      <c r="A7347" s="8" t="s">
        <v>6663</v>
      </c>
      <c r="B7347" s="8" t="s">
        <v>6664</v>
      </c>
      <c r="C7347" s="8" t="s">
        <v>6402</v>
      </c>
      <c r="D7347" s="8" t="s">
        <v>14</v>
      </c>
      <c r="E7347" s="8" t="s">
        <v>6578</v>
      </c>
      <c r="F7347" s="8">
        <v>7.099935442E9</v>
      </c>
    </row>
    <row r="7348" ht="15.75" customHeight="1">
      <c r="A7348" s="8" t="s">
        <v>6665</v>
      </c>
      <c r="B7348" s="8" t="s">
        <v>2003</v>
      </c>
      <c r="C7348" s="8" t="s">
        <v>6402</v>
      </c>
      <c r="D7348" s="8" t="s">
        <v>14</v>
      </c>
      <c r="E7348" s="8" t="s">
        <v>6578</v>
      </c>
      <c r="F7348" s="8">
        <v>9.859463885E9</v>
      </c>
    </row>
    <row r="7349" ht="15.75" customHeight="1">
      <c r="A7349" s="8" t="s">
        <v>1421</v>
      </c>
      <c r="B7349" s="8" t="s">
        <v>6217</v>
      </c>
      <c r="C7349" s="8" t="s">
        <v>4334</v>
      </c>
      <c r="D7349" s="8" t="s">
        <v>26</v>
      </c>
      <c r="E7349" s="8" t="s">
        <v>2025</v>
      </c>
      <c r="F7349" s="8">
        <v>8.860094202E9</v>
      </c>
    </row>
    <row r="7350" ht="15.75" customHeight="1">
      <c r="A7350" s="8" t="s">
        <v>6666</v>
      </c>
      <c r="B7350" s="8" t="s">
        <v>6667</v>
      </c>
      <c r="C7350" s="8" t="s">
        <v>6668</v>
      </c>
      <c r="D7350" s="8" t="s">
        <v>56</v>
      </c>
      <c r="E7350" s="8" t="s">
        <v>6578</v>
      </c>
      <c r="F7350" s="8">
        <v>9.954078989E9</v>
      </c>
    </row>
    <row r="7351" ht="15.75" customHeight="1">
      <c r="A7351" s="8" t="s">
        <v>6669</v>
      </c>
      <c r="B7351" s="8" t="s">
        <v>6670</v>
      </c>
      <c r="C7351" s="8" t="s">
        <v>6287</v>
      </c>
      <c r="D7351" s="8" t="s">
        <v>26</v>
      </c>
      <c r="E7351" s="8" t="s">
        <v>1102</v>
      </c>
      <c r="F7351" s="8">
        <v>9.473592576E9</v>
      </c>
    </row>
    <row r="7352" ht="15.75" customHeight="1">
      <c r="A7352" s="8" t="s">
        <v>511</v>
      </c>
      <c r="B7352" s="8" t="s">
        <v>68</v>
      </c>
      <c r="C7352" s="8" t="s">
        <v>6671</v>
      </c>
      <c r="D7352" s="8" t="s">
        <v>26</v>
      </c>
      <c r="E7352" s="8" t="s">
        <v>1102</v>
      </c>
      <c r="F7352" s="8">
        <v>8.586850847E9</v>
      </c>
    </row>
    <row r="7353" ht="15.75" customHeight="1">
      <c r="A7353" s="8" t="s">
        <v>6672</v>
      </c>
      <c r="B7353" s="8" t="s">
        <v>75</v>
      </c>
      <c r="C7353" s="8" t="s">
        <v>6673</v>
      </c>
      <c r="D7353" s="8" t="s">
        <v>56</v>
      </c>
      <c r="E7353" s="8" t="s">
        <v>434</v>
      </c>
      <c r="F7353" s="8">
        <v>9.867578958E9</v>
      </c>
    </row>
    <row r="7354" ht="15.75" customHeight="1">
      <c r="A7354" s="8" t="s">
        <v>6674</v>
      </c>
      <c r="B7354" s="8" t="s">
        <v>6675</v>
      </c>
      <c r="C7354" s="8" t="s">
        <v>6645</v>
      </c>
      <c r="D7354" s="8" t="s">
        <v>56</v>
      </c>
      <c r="E7354" s="8" t="s">
        <v>6578</v>
      </c>
      <c r="F7354" s="8">
        <v>6.001518802E9</v>
      </c>
    </row>
    <row r="7355" ht="15.75" customHeight="1">
      <c r="A7355" s="8" t="s">
        <v>764</v>
      </c>
      <c r="B7355" s="8" t="s">
        <v>6676</v>
      </c>
      <c r="C7355" s="8" t="s">
        <v>6677</v>
      </c>
      <c r="D7355" s="8" t="s">
        <v>56</v>
      </c>
      <c r="E7355" s="8" t="s">
        <v>6309</v>
      </c>
      <c r="F7355" s="8">
        <v>9.495911555E9</v>
      </c>
    </row>
    <row r="7356" ht="15.75" customHeight="1">
      <c r="A7356" s="8" t="s">
        <v>6678</v>
      </c>
      <c r="B7356" s="8" t="s">
        <v>3511</v>
      </c>
      <c r="C7356" s="8" t="s">
        <v>6679</v>
      </c>
      <c r="D7356" s="8" t="s">
        <v>56</v>
      </c>
      <c r="E7356" s="8" t="s">
        <v>6578</v>
      </c>
      <c r="F7356" s="8">
        <v>9.707013144E9</v>
      </c>
    </row>
    <row r="7357" ht="15.75" customHeight="1">
      <c r="A7357" s="8" t="s">
        <v>6680</v>
      </c>
      <c r="B7357" s="8" t="s">
        <v>6664</v>
      </c>
      <c r="C7357" s="8" t="s">
        <v>6649</v>
      </c>
      <c r="D7357" s="8" t="s">
        <v>44</v>
      </c>
      <c r="E7357" s="8" t="s">
        <v>6578</v>
      </c>
      <c r="F7357" s="8">
        <v>9.864078886E9</v>
      </c>
    </row>
    <row r="7358" ht="15.75" customHeight="1">
      <c r="A7358" s="8" t="s">
        <v>6681</v>
      </c>
      <c r="B7358" s="8" t="s">
        <v>6682</v>
      </c>
      <c r="C7358" s="8" t="s">
        <v>6645</v>
      </c>
      <c r="D7358" s="8" t="s">
        <v>56</v>
      </c>
      <c r="E7358" s="8" t="s">
        <v>6578</v>
      </c>
      <c r="F7358" s="8">
        <v>9.085432312E9</v>
      </c>
    </row>
    <row r="7359" ht="15.75" customHeight="1">
      <c r="A7359" s="8" t="s">
        <v>6683</v>
      </c>
      <c r="B7359" s="8" t="s">
        <v>4785</v>
      </c>
      <c r="C7359" s="8" t="s">
        <v>6649</v>
      </c>
      <c r="D7359" s="8" t="s">
        <v>56</v>
      </c>
      <c r="E7359" s="8" t="s">
        <v>6684</v>
      </c>
      <c r="F7359" s="8">
        <v>9.864127088E9</v>
      </c>
    </row>
    <row r="7360" ht="15.75" customHeight="1">
      <c r="A7360" s="8" t="s">
        <v>6685</v>
      </c>
      <c r="B7360" s="8" t="s">
        <v>6686</v>
      </c>
      <c r="C7360" s="8" t="s">
        <v>6687</v>
      </c>
      <c r="D7360" s="8" t="s">
        <v>56</v>
      </c>
      <c r="E7360" s="8" t="s">
        <v>6587</v>
      </c>
      <c r="F7360" s="8">
        <v>9.37167207E9</v>
      </c>
    </row>
    <row r="7361" ht="15.75" customHeight="1">
      <c r="A7361" s="8" t="s">
        <v>6688</v>
      </c>
      <c r="B7361" s="8" t="s">
        <v>5098</v>
      </c>
      <c r="C7361" s="8" t="s">
        <v>6689</v>
      </c>
      <c r="D7361" s="8" t="s">
        <v>29</v>
      </c>
      <c r="E7361" s="8" t="s">
        <v>494</v>
      </c>
      <c r="F7361" s="8">
        <v>9.999119813E9</v>
      </c>
    </row>
    <row r="7362" ht="15.75" customHeight="1">
      <c r="A7362" s="8" t="s">
        <v>4918</v>
      </c>
      <c r="B7362" s="8" t="s">
        <v>2678</v>
      </c>
      <c r="C7362" s="8" t="s">
        <v>6690</v>
      </c>
      <c r="D7362" s="8" t="s">
        <v>56</v>
      </c>
      <c r="E7362" s="8" t="s">
        <v>6370</v>
      </c>
      <c r="F7362" s="8">
        <v>9.991589977E9</v>
      </c>
    </row>
    <row r="7363" ht="15.75" customHeight="1">
      <c r="A7363" s="8" t="s">
        <v>3728</v>
      </c>
      <c r="B7363" s="8" t="s">
        <v>5006</v>
      </c>
      <c r="C7363" s="8" t="s">
        <v>6691</v>
      </c>
      <c r="D7363" s="8" t="s">
        <v>56</v>
      </c>
      <c r="E7363" s="8" t="s">
        <v>5906</v>
      </c>
      <c r="F7363" s="8">
        <v>9.497600646E9</v>
      </c>
    </row>
    <row r="7364" ht="15.75" customHeight="1">
      <c r="A7364" s="8" t="s">
        <v>6692</v>
      </c>
      <c r="B7364" s="8" t="s">
        <v>4999</v>
      </c>
      <c r="C7364" s="8" t="s">
        <v>6693</v>
      </c>
      <c r="D7364" s="8" t="s">
        <v>26</v>
      </c>
      <c r="E7364" s="8" t="s">
        <v>4571</v>
      </c>
      <c r="F7364" s="8">
        <v>9.460474651E9</v>
      </c>
    </row>
    <row r="7365" ht="15.75" customHeight="1">
      <c r="A7365" s="8" t="s">
        <v>6694</v>
      </c>
      <c r="B7365" s="8" t="s">
        <v>6695</v>
      </c>
      <c r="C7365" s="8" t="s">
        <v>6645</v>
      </c>
      <c r="D7365" s="8" t="s">
        <v>56</v>
      </c>
      <c r="E7365" s="8" t="s">
        <v>6578</v>
      </c>
      <c r="F7365" s="8">
        <v>8.81283054E9</v>
      </c>
    </row>
    <row r="7366" ht="15.75" customHeight="1">
      <c r="A7366" s="8" t="s">
        <v>2051</v>
      </c>
      <c r="B7366" s="8" t="s">
        <v>108</v>
      </c>
      <c r="C7366" s="8" t="s">
        <v>6696</v>
      </c>
      <c r="D7366" s="8" t="s">
        <v>14</v>
      </c>
      <c r="E7366" s="8" t="s">
        <v>494</v>
      </c>
      <c r="F7366" s="8">
        <v>7.011768647E9</v>
      </c>
    </row>
    <row r="7367" ht="15.75" customHeight="1">
      <c r="A7367" s="8" t="s">
        <v>3673</v>
      </c>
      <c r="B7367" s="8" t="s">
        <v>1646</v>
      </c>
      <c r="C7367" s="8" t="s">
        <v>6218</v>
      </c>
      <c r="D7367" s="8" t="s">
        <v>44</v>
      </c>
      <c r="E7367" s="8" t="s">
        <v>1102</v>
      </c>
      <c r="F7367" s="8">
        <f>+919810880792</f>
        <v>919810880792</v>
      </c>
    </row>
    <row r="7368" ht="15.75" customHeight="1">
      <c r="A7368" s="8" t="s">
        <v>6697</v>
      </c>
      <c r="B7368" s="8" t="s">
        <v>110</v>
      </c>
      <c r="C7368" s="8" t="s">
        <v>6402</v>
      </c>
      <c r="D7368" s="8" t="s">
        <v>56</v>
      </c>
      <c r="E7368" s="8" t="s">
        <v>6650</v>
      </c>
      <c r="F7368" s="8">
        <v>7.099152511E9</v>
      </c>
    </row>
    <row r="7369" ht="15.75" customHeight="1">
      <c r="A7369" s="8" t="s">
        <v>146</v>
      </c>
      <c r="B7369" s="8" t="s">
        <v>6698</v>
      </c>
      <c r="C7369" s="8" t="s">
        <v>6699</v>
      </c>
      <c r="D7369" s="8" t="s">
        <v>44</v>
      </c>
      <c r="E7369" s="8" t="s">
        <v>6700</v>
      </c>
      <c r="F7369" s="8">
        <v>9.810579184E9</v>
      </c>
    </row>
    <row r="7370" ht="15.75" customHeight="1">
      <c r="A7370" s="8" t="s">
        <v>3805</v>
      </c>
      <c r="B7370" s="8" t="s">
        <v>68</v>
      </c>
      <c r="C7370" s="8" t="s">
        <v>6632</v>
      </c>
      <c r="D7370" s="8" t="s">
        <v>26</v>
      </c>
      <c r="E7370" s="8" t="s">
        <v>4015</v>
      </c>
      <c r="F7370" s="8">
        <v>9.81072746E9</v>
      </c>
    </row>
    <row r="7371" ht="15.75" customHeight="1">
      <c r="A7371" s="8" t="s">
        <v>5317</v>
      </c>
      <c r="B7371" s="8" t="s">
        <v>150</v>
      </c>
      <c r="C7371" s="8" t="s">
        <v>6701</v>
      </c>
      <c r="D7371" s="8" t="s">
        <v>26</v>
      </c>
      <c r="E7371" s="8" t="s">
        <v>4546</v>
      </c>
      <c r="F7371" s="8">
        <v>9.30545647E9</v>
      </c>
    </row>
    <row r="7372" ht="15.75" customHeight="1">
      <c r="A7372" s="8" t="s">
        <v>565</v>
      </c>
      <c r="B7372" s="8" t="s">
        <v>50</v>
      </c>
      <c r="C7372" s="8" t="s">
        <v>6702</v>
      </c>
      <c r="D7372" s="8" t="s">
        <v>26</v>
      </c>
      <c r="E7372" s="8" t="s">
        <v>6703</v>
      </c>
      <c r="F7372" s="8">
        <v>8.383987288E9</v>
      </c>
    </row>
    <row r="7373" ht="15.75" customHeight="1">
      <c r="A7373" s="8" t="s">
        <v>3807</v>
      </c>
      <c r="B7373" s="8" t="s">
        <v>800</v>
      </c>
      <c r="C7373" s="8" t="s">
        <v>4334</v>
      </c>
      <c r="D7373" s="8" t="s">
        <v>44</v>
      </c>
      <c r="E7373" s="8" t="s">
        <v>6704</v>
      </c>
      <c r="F7373" s="8" t="str">
        <f>+91 8588977277</f>
        <v>#ERROR!</v>
      </c>
    </row>
    <row r="7374" ht="15.75" customHeight="1">
      <c r="A7374" s="8" t="s">
        <v>6705</v>
      </c>
      <c r="B7374" s="8" t="s">
        <v>6706</v>
      </c>
      <c r="C7374" s="8" t="s">
        <v>6707</v>
      </c>
      <c r="D7374" s="8" t="s">
        <v>56</v>
      </c>
      <c r="E7374" s="8" t="s">
        <v>6708</v>
      </c>
      <c r="F7374" s="8">
        <v>9.790090877E9</v>
      </c>
    </row>
    <row r="7375" ht="15.75" customHeight="1">
      <c r="A7375" s="8" t="s">
        <v>6457</v>
      </c>
      <c r="B7375" s="8" t="s">
        <v>6709</v>
      </c>
      <c r="C7375" s="8" t="s">
        <v>15</v>
      </c>
      <c r="D7375" s="8" t="s">
        <v>26</v>
      </c>
      <c r="E7375" s="8" t="s">
        <v>15</v>
      </c>
      <c r="F7375" s="8">
        <v>8.99929566E9</v>
      </c>
    </row>
    <row r="7376" ht="15.75" customHeight="1">
      <c r="A7376" s="8" t="s">
        <v>6710</v>
      </c>
      <c r="B7376" s="8" t="s">
        <v>6116</v>
      </c>
      <c r="C7376" s="8" t="s">
        <v>5021</v>
      </c>
      <c r="D7376" s="8" t="s">
        <v>29</v>
      </c>
      <c r="E7376" s="8" t="s">
        <v>494</v>
      </c>
      <c r="F7376" s="8">
        <v>9.871792792E9</v>
      </c>
    </row>
    <row r="7377" ht="15.75" customHeight="1">
      <c r="A7377" s="8" t="s">
        <v>205</v>
      </c>
      <c r="B7377" s="8" t="s">
        <v>4414</v>
      </c>
      <c r="C7377" s="8" t="s">
        <v>5280</v>
      </c>
      <c r="D7377" s="8" t="s">
        <v>56</v>
      </c>
      <c r="E7377" s="8" t="s">
        <v>2025</v>
      </c>
      <c r="F7377" s="8">
        <v>8.076407536E9</v>
      </c>
    </row>
    <row r="7378" ht="15.75" customHeight="1">
      <c r="A7378" s="8" t="s">
        <v>6711</v>
      </c>
      <c r="B7378" s="8" t="s">
        <v>63</v>
      </c>
      <c r="C7378" s="8" t="s">
        <v>6712</v>
      </c>
      <c r="D7378" s="8" t="s">
        <v>44</v>
      </c>
      <c r="E7378" s="8" t="s">
        <v>6713</v>
      </c>
      <c r="F7378" s="8">
        <v>7.814876466E9</v>
      </c>
    </row>
    <row r="7379" ht="15.75" customHeight="1">
      <c r="A7379" s="8" t="s">
        <v>6300</v>
      </c>
      <c r="B7379" s="8" t="s">
        <v>727</v>
      </c>
      <c r="C7379" s="8" t="s">
        <v>6714</v>
      </c>
      <c r="D7379" s="8" t="s">
        <v>56</v>
      </c>
      <c r="E7379" s="8" t="s">
        <v>1102</v>
      </c>
      <c r="F7379" s="8">
        <v>9.821811125E9</v>
      </c>
    </row>
    <row r="7380" ht="15.75" customHeight="1">
      <c r="A7380" s="8" t="s">
        <v>20</v>
      </c>
      <c r="B7380" s="8" t="s">
        <v>2685</v>
      </c>
      <c r="C7380" s="8" t="s">
        <v>6715</v>
      </c>
      <c r="D7380" s="8" t="s">
        <v>56</v>
      </c>
      <c r="E7380" s="8" t="s">
        <v>6504</v>
      </c>
      <c r="F7380" s="8" t="s">
        <v>6716</v>
      </c>
    </row>
    <row r="7381" ht="15.75" customHeight="1">
      <c r="A7381" s="8" t="s">
        <v>146</v>
      </c>
      <c r="B7381" s="8" t="s">
        <v>145</v>
      </c>
      <c r="C7381" s="8" t="s">
        <v>6717</v>
      </c>
      <c r="D7381" s="8" t="s">
        <v>14</v>
      </c>
      <c r="E7381" s="8" t="s">
        <v>494</v>
      </c>
      <c r="F7381" s="8">
        <v>9.86800592E9</v>
      </c>
    </row>
    <row r="7382" ht="15.75" customHeight="1">
      <c r="A7382" s="8" t="s">
        <v>6718</v>
      </c>
      <c r="B7382" s="8" t="s">
        <v>6719</v>
      </c>
      <c r="C7382" s="8" t="s">
        <v>6720</v>
      </c>
      <c r="D7382" s="8" t="s">
        <v>6721</v>
      </c>
      <c r="E7382" s="8" t="s">
        <v>4484</v>
      </c>
      <c r="F7382" s="8">
        <v>9.810044936E9</v>
      </c>
    </row>
    <row r="7383" ht="15.75" customHeight="1">
      <c r="A7383" s="8" t="s">
        <v>6722</v>
      </c>
      <c r="B7383" s="8" t="s">
        <v>6723</v>
      </c>
      <c r="C7383" s="8" t="s">
        <v>6402</v>
      </c>
      <c r="D7383" s="8" t="s">
        <v>44</v>
      </c>
      <c r="E7383" s="8" t="s">
        <v>6578</v>
      </c>
      <c r="F7383" s="8">
        <v>8.01114883E9</v>
      </c>
    </row>
    <row r="7384" ht="15.75" customHeight="1">
      <c r="A7384" s="8" t="s">
        <v>6724</v>
      </c>
      <c r="B7384" s="8" t="s">
        <v>6719</v>
      </c>
      <c r="C7384" s="8" t="s">
        <v>6720</v>
      </c>
      <c r="D7384" s="8" t="s">
        <v>56</v>
      </c>
      <c r="E7384" s="8" t="s">
        <v>4484</v>
      </c>
      <c r="F7384" s="8">
        <v>9.810044936E9</v>
      </c>
    </row>
    <row r="7385" ht="15.75" customHeight="1">
      <c r="A7385" s="8" t="s">
        <v>430</v>
      </c>
      <c r="B7385" s="8" t="s">
        <v>2424</v>
      </c>
      <c r="C7385" s="8" t="s">
        <v>6725</v>
      </c>
      <c r="D7385" s="8" t="s">
        <v>14</v>
      </c>
      <c r="E7385" s="8" t="s">
        <v>1095</v>
      </c>
      <c r="F7385" s="8">
        <v>8.588010151E9</v>
      </c>
    </row>
    <row r="7386" ht="15.75" customHeight="1">
      <c r="A7386" s="8" t="s">
        <v>6726</v>
      </c>
      <c r="B7386" s="8" t="s">
        <v>182</v>
      </c>
      <c r="C7386" s="8" t="s">
        <v>6727</v>
      </c>
      <c r="D7386" s="8" t="s">
        <v>14</v>
      </c>
      <c r="E7386" s="8" t="s">
        <v>6728</v>
      </c>
      <c r="F7386" s="8">
        <v>9.078975109E9</v>
      </c>
    </row>
    <row r="7387" ht="15.75" customHeight="1">
      <c r="A7387" s="8" t="s">
        <v>1862</v>
      </c>
      <c r="B7387" s="8" t="s">
        <v>6729</v>
      </c>
      <c r="C7387" s="8" t="s">
        <v>6730</v>
      </c>
      <c r="D7387" s="8" t="s">
        <v>29</v>
      </c>
      <c r="E7387" s="8" t="s">
        <v>4571</v>
      </c>
      <c r="F7387" s="8">
        <v>9.511536301E9</v>
      </c>
    </row>
    <row r="7388" ht="15.75" customHeight="1">
      <c r="A7388" s="8" t="s">
        <v>6731</v>
      </c>
      <c r="B7388" s="8" t="s">
        <v>1718</v>
      </c>
      <c r="C7388" s="8" t="s">
        <v>6645</v>
      </c>
      <c r="D7388" s="8" t="s">
        <v>14</v>
      </c>
      <c r="E7388" s="8" t="s">
        <v>6732</v>
      </c>
      <c r="F7388" s="8">
        <v>8.638102922E9</v>
      </c>
    </row>
    <row r="7389" ht="15.75" customHeight="1">
      <c r="A7389" s="8" t="s">
        <v>1348</v>
      </c>
      <c r="B7389" s="8" t="s">
        <v>6733</v>
      </c>
      <c r="C7389" s="8" t="s">
        <v>6734</v>
      </c>
      <c r="D7389" s="8" t="s">
        <v>56</v>
      </c>
      <c r="E7389" s="8" t="s">
        <v>6735</v>
      </c>
      <c r="F7389" s="8">
        <v>8.105118533E9</v>
      </c>
    </row>
    <row r="7390" ht="15.75" customHeight="1">
      <c r="A7390" s="8" t="s">
        <v>6736</v>
      </c>
      <c r="B7390" s="8" t="s">
        <v>3500</v>
      </c>
      <c r="C7390" s="8" t="s">
        <v>6737</v>
      </c>
      <c r="D7390" s="8" t="s">
        <v>26</v>
      </c>
      <c r="E7390" s="8" t="s">
        <v>6738</v>
      </c>
      <c r="F7390" s="8">
        <v>7.00828636E9</v>
      </c>
    </row>
    <row r="7391" ht="15.75" customHeight="1">
      <c r="A7391" s="8" t="s">
        <v>2865</v>
      </c>
      <c r="B7391" s="8" t="s">
        <v>312</v>
      </c>
      <c r="C7391" s="8" t="s">
        <v>6737</v>
      </c>
      <c r="D7391" s="8" t="s">
        <v>56</v>
      </c>
      <c r="E7391" s="8" t="s">
        <v>6738</v>
      </c>
      <c r="F7391" s="8">
        <v>7.608018099E9</v>
      </c>
    </row>
    <row r="7392" ht="15.75" customHeight="1">
      <c r="A7392" s="8" t="s">
        <v>6739</v>
      </c>
      <c r="B7392" s="8" t="s">
        <v>65</v>
      </c>
      <c r="C7392" s="8" t="s">
        <v>6539</v>
      </c>
      <c r="D7392" s="8" t="s">
        <v>9</v>
      </c>
      <c r="E7392" s="8" t="s">
        <v>4571</v>
      </c>
      <c r="F7392" s="8">
        <v>6.367845394E9</v>
      </c>
    </row>
    <row r="7393" ht="15.75" customHeight="1">
      <c r="A7393" s="8" t="s">
        <v>4137</v>
      </c>
      <c r="B7393" s="8" t="s">
        <v>55</v>
      </c>
      <c r="C7393" s="8" t="s">
        <v>6696</v>
      </c>
      <c r="D7393" s="8" t="s">
        <v>44</v>
      </c>
      <c r="E7393" s="8" t="s">
        <v>494</v>
      </c>
      <c r="F7393" s="8">
        <v>9.968466802E9</v>
      </c>
    </row>
    <row r="7394" ht="15.75" customHeight="1">
      <c r="A7394" s="8" t="s">
        <v>6740</v>
      </c>
      <c r="B7394" s="8" t="s">
        <v>3511</v>
      </c>
      <c r="C7394" s="8" t="s">
        <v>6402</v>
      </c>
      <c r="D7394" s="8" t="s">
        <v>44</v>
      </c>
      <c r="E7394" s="8" t="s">
        <v>6578</v>
      </c>
      <c r="F7394" s="8">
        <v>6.900261133E9</v>
      </c>
    </row>
    <row r="7395" ht="15.75" customHeight="1">
      <c r="A7395" s="8" t="s">
        <v>189</v>
      </c>
      <c r="B7395" s="8" t="s">
        <v>4770</v>
      </c>
      <c r="C7395" s="8" t="s">
        <v>4449</v>
      </c>
      <c r="D7395" s="8" t="s">
        <v>56</v>
      </c>
      <c r="E7395" s="8" t="s">
        <v>6741</v>
      </c>
      <c r="F7395" s="8">
        <v>8.874093454E9</v>
      </c>
    </row>
    <row r="7396" ht="15.75" customHeight="1">
      <c r="A7396" s="8" t="s">
        <v>6742</v>
      </c>
      <c r="B7396" s="8" t="s">
        <v>1430</v>
      </c>
      <c r="C7396" s="8" t="s">
        <v>6649</v>
      </c>
      <c r="D7396" s="8" t="s">
        <v>44</v>
      </c>
      <c r="E7396" s="8" t="s">
        <v>6578</v>
      </c>
      <c r="F7396" s="8">
        <v>8.811967317E9</v>
      </c>
    </row>
    <row r="7397" ht="15.75" customHeight="1">
      <c r="A7397" s="8" t="s">
        <v>3078</v>
      </c>
      <c r="B7397" s="8" t="s">
        <v>6743</v>
      </c>
      <c r="C7397" s="8" t="s">
        <v>6744</v>
      </c>
      <c r="D7397" s="8" t="s">
        <v>102</v>
      </c>
      <c r="E7397" s="8" t="s">
        <v>6745</v>
      </c>
      <c r="F7397" s="8">
        <v>9.962665578E9</v>
      </c>
    </row>
    <row r="7398" ht="15.75" customHeight="1">
      <c r="A7398" s="8" t="s">
        <v>6746</v>
      </c>
      <c r="B7398" s="8" t="s">
        <v>63</v>
      </c>
      <c r="C7398" s="8" t="s">
        <v>6747</v>
      </c>
      <c r="D7398" s="8" t="s">
        <v>14</v>
      </c>
      <c r="E7398" s="8" t="s">
        <v>6370</v>
      </c>
      <c r="F7398" s="8">
        <v>7.986983773E9</v>
      </c>
    </row>
    <row r="7399" ht="15.75" customHeight="1">
      <c r="A7399" s="8" t="s">
        <v>5426</v>
      </c>
      <c r="B7399" s="8" t="s">
        <v>6748</v>
      </c>
      <c r="C7399" s="8" t="s">
        <v>6749</v>
      </c>
      <c r="D7399" s="8" t="s">
        <v>102</v>
      </c>
      <c r="E7399" s="8" t="s">
        <v>6750</v>
      </c>
      <c r="F7399" s="8">
        <v>7.397257607E9</v>
      </c>
    </row>
    <row r="7400" ht="15.75" customHeight="1">
      <c r="A7400" s="8" t="s">
        <v>1437</v>
      </c>
      <c r="B7400" s="8" t="s">
        <v>63</v>
      </c>
      <c r="C7400" s="8" t="s">
        <v>6751</v>
      </c>
      <c r="D7400" s="8" t="s">
        <v>29</v>
      </c>
      <c r="E7400" s="8" t="s">
        <v>1095</v>
      </c>
      <c r="F7400" s="8">
        <v>8.287332245E9</v>
      </c>
    </row>
    <row r="7401" ht="15.75" customHeight="1">
      <c r="A7401" s="8" t="s">
        <v>3389</v>
      </c>
      <c r="B7401" s="8" t="s">
        <v>4921</v>
      </c>
      <c r="C7401" s="8" t="s">
        <v>5584</v>
      </c>
      <c r="D7401" s="8" t="s">
        <v>56</v>
      </c>
      <c r="E7401" s="8" t="s">
        <v>1095</v>
      </c>
      <c r="F7401" s="8">
        <v>9.717161101E9</v>
      </c>
    </row>
    <row r="7402" ht="15.75" customHeight="1">
      <c r="A7402" s="8" t="s">
        <v>707</v>
      </c>
      <c r="B7402" s="8" t="s">
        <v>6752</v>
      </c>
      <c r="C7402" s="8" t="s">
        <v>6753</v>
      </c>
      <c r="D7402" s="8" t="s">
        <v>56</v>
      </c>
      <c r="E7402" s="8" t="s">
        <v>4276</v>
      </c>
      <c r="F7402" s="8">
        <v>9.705902992E9</v>
      </c>
    </row>
    <row r="7403" ht="15.75" customHeight="1">
      <c r="A7403" s="8" t="s">
        <v>4427</v>
      </c>
      <c r="B7403" s="8" t="s">
        <v>4967</v>
      </c>
      <c r="C7403" s="8" t="s">
        <v>5584</v>
      </c>
      <c r="D7403" s="8" t="s">
        <v>9</v>
      </c>
      <c r="E7403" s="8" t="s">
        <v>494</v>
      </c>
      <c r="F7403" s="8">
        <v>9.953780472E9</v>
      </c>
    </row>
    <row r="7404" ht="15.75" customHeight="1">
      <c r="A7404" s="8" t="s">
        <v>2882</v>
      </c>
      <c r="B7404" s="8" t="s">
        <v>63</v>
      </c>
      <c r="C7404" s="8" t="s">
        <v>6754</v>
      </c>
      <c r="D7404" s="8" t="s">
        <v>9</v>
      </c>
      <c r="E7404" s="8" t="s">
        <v>4898</v>
      </c>
      <c r="F7404" s="8">
        <v>9.478697424E9</v>
      </c>
    </row>
    <row r="7405" ht="15.75" customHeight="1">
      <c r="A7405" s="8" t="s">
        <v>6755</v>
      </c>
      <c r="B7405" s="8" t="s">
        <v>5426</v>
      </c>
      <c r="C7405" s="8" t="s">
        <v>6756</v>
      </c>
      <c r="D7405" s="8" t="s">
        <v>56</v>
      </c>
      <c r="E7405" s="8" t="s">
        <v>6757</v>
      </c>
      <c r="F7405" s="8">
        <v>7.904881928E9</v>
      </c>
    </row>
    <row r="7406" ht="15.75" customHeight="1">
      <c r="A7406" s="8" t="s">
        <v>892</v>
      </c>
      <c r="B7406" s="8" t="s">
        <v>5128</v>
      </c>
      <c r="C7406" s="8" t="s">
        <v>6758</v>
      </c>
      <c r="D7406" s="8" t="s">
        <v>14</v>
      </c>
      <c r="E7406" s="8" t="s">
        <v>494</v>
      </c>
      <c r="F7406" s="8">
        <v>9.350319383E9</v>
      </c>
    </row>
    <row r="7407" ht="15.75" customHeight="1">
      <c r="A7407" s="8" t="s">
        <v>6759</v>
      </c>
      <c r="B7407" s="8" t="s">
        <v>4759</v>
      </c>
      <c r="C7407" s="8" t="s">
        <v>6760</v>
      </c>
      <c r="D7407" s="8" t="s">
        <v>56</v>
      </c>
      <c r="E7407" s="8" t="s">
        <v>6761</v>
      </c>
      <c r="F7407" s="8">
        <v>8.168987223E9</v>
      </c>
    </row>
    <row r="7408" ht="15.75" customHeight="1">
      <c r="A7408" s="8" t="s">
        <v>6762</v>
      </c>
      <c r="B7408" s="8" t="s">
        <v>63</v>
      </c>
      <c r="C7408" s="8" t="s">
        <v>6539</v>
      </c>
      <c r="D7408" s="8" t="s">
        <v>44</v>
      </c>
      <c r="E7408" s="8" t="s">
        <v>4571</v>
      </c>
      <c r="F7408" s="8">
        <v>9.414217632E9</v>
      </c>
    </row>
    <row r="7409" ht="15.75" customHeight="1">
      <c r="A7409" s="8" t="s">
        <v>5534</v>
      </c>
      <c r="B7409" s="8" t="s">
        <v>68</v>
      </c>
      <c r="C7409" s="8" t="s">
        <v>6696</v>
      </c>
      <c r="D7409" s="8" t="s">
        <v>14</v>
      </c>
      <c r="E7409" s="8" t="s">
        <v>494</v>
      </c>
      <c r="F7409" s="8">
        <v>8.851475808E9</v>
      </c>
    </row>
    <row r="7410" ht="15.75" customHeight="1">
      <c r="A7410" s="8" t="s">
        <v>856</v>
      </c>
      <c r="B7410" s="8" t="s">
        <v>63</v>
      </c>
      <c r="C7410" s="8" t="s">
        <v>6696</v>
      </c>
      <c r="D7410" s="8" t="s">
        <v>14</v>
      </c>
      <c r="E7410" s="8" t="s">
        <v>494</v>
      </c>
      <c r="F7410" s="8">
        <v>9.354458793E9</v>
      </c>
    </row>
    <row r="7411" ht="15.75" customHeight="1">
      <c r="A7411" s="8" t="s">
        <v>6763</v>
      </c>
      <c r="B7411" s="8" t="s">
        <v>6764</v>
      </c>
      <c r="C7411" s="8" t="s">
        <v>5021</v>
      </c>
      <c r="D7411" s="8" t="s">
        <v>14</v>
      </c>
      <c r="E7411" s="8" t="s">
        <v>1102</v>
      </c>
      <c r="F7411" s="8">
        <v>9.65014258E8</v>
      </c>
    </row>
    <row r="7412" ht="15.75" customHeight="1">
      <c r="A7412" s="8" t="s">
        <v>146</v>
      </c>
      <c r="B7412" s="8" t="s">
        <v>63</v>
      </c>
      <c r="C7412" s="8" t="s">
        <v>6765</v>
      </c>
      <c r="D7412" s="8" t="s">
        <v>56</v>
      </c>
      <c r="E7412" s="8" t="s">
        <v>2025</v>
      </c>
      <c r="F7412" s="8">
        <v>9.871315497E9</v>
      </c>
    </row>
    <row r="7413" ht="15.75" customHeight="1">
      <c r="A7413" s="8" t="s">
        <v>1348</v>
      </c>
      <c r="B7413" s="8" t="s">
        <v>2424</v>
      </c>
      <c r="C7413" s="8" t="s">
        <v>6766</v>
      </c>
      <c r="D7413" s="8" t="s">
        <v>56</v>
      </c>
      <c r="E7413" s="8" t="s">
        <v>4571</v>
      </c>
      <c r="F7413" s="8">
        <v>9.602676488E9</v>
      </c>
    </row>
    <row r="7414" ht="15.75" customHeight="1">
      <c r="A7414" s="8" t="s">
        <v>6767</v>
      </c>
      <c r="B7414" s="8" t="s">
        <v>65</v>
      </c>
      <c r="C7414" s="8" t="s">
        <v>6712</v>
      </c>
      <c r="D7414" s="8" t="s">
        <v>56</v>
      </c>
      <c r="E7414" s="8" t="s">
        <v>4150</v>
      </c>
      <c r="F7414" s="8">
        <v>9.816382425E9</v>
      </c>
    </row>
    <row r="7415" ht="15.75" customHeight="1">
      <c r="A7415" s="8" t="s">
        <v>2664</v>
      </c>
      <c r="B7415" s="8" t="s">
        <v>117</v>
      </c>
      <c r="C7415" s="8" t="s">
        <v>6768</v>
      </c>
      <c r="D7415" s="8" t="s">
        <v>29</v>
      </c>
      <c r="E7415" s="8" t="s">
        <v>4571</v>
      </c>
      <c r="F7415" s="8">
        <f>+919413345970</f>
        <v>919413345970</v>
      </c>
    </row>
    <row r="7416" ht="15.75" customHeight="1">
      <c r="A7416" s="8" t="s">
        <v>6769</v>
      </c>
      <c r="B7416" s="8" t="s">
        <v>3352</v>
      </c>
      <c r="C7416" s="8" t="s">
        <v>6045</v>
      </c>
      <c r="D7416" s="8" t="s">
        <v>14</v>
      </c>
      <c r="E7416" s="8" t="s">
        <v>4571</v>
      </c>
      <c r="F7416" s="8">
        <v>9.950850428E9</v>
      </c>
    </row>
    <row r="7417" ht="15.75" customHeight="1">
      <c r="A7417" s="8" t="s">
        <v>6770</v>
      </c>
      <c r="B7417" s="8" t="s">
        <v>6771</v>
      </c>
      <c r="C7417" s="8" t="s">
        <v>6772</v>
      </c>
      <c r="D7417" s="8" t="s">
        <v>26</v>
      </c>
      <c r="E7417" s="8" t="s">
        <v>2575</v>
      </c>
      <c r="F7417" s="8">
        <v>8.754590313E9</v>
      </c>
    </row>
    <row r="7418" ht="15.75" customHeight="1">
      <c r="A7418" s="8" t="s">
        <v>6350</v>
      </c>
      <c r="B7418" s="8" t="s">
        <v>1090</v>
      </c>
      <c r="C7418" s="8" t="s">
        <v>6773</v>
      </c>
      <c r="D7418" s="8" t="s">
        <v>29</v>
      </c>
      <c r="E7418" s="8" t="s">
        <v>5168</v>
      </c>
      <c r="F7418" s="8">
        <v>7.222013825E9</v>
      </c>
    </row>
    <row r="7419" ht="15.75" customHeight="1">
      <c r="A7419" s="8" t="s">
        <v>4395</v>
      </c>
      <c r="B7419" s="8" t="s">
        <v>63</v>
      </c>
      <c r="C7419" s="8" t="s">
        <v>3790</v>
      </c>
      <c r="D7419" s="8" t="s">
        <v>9</v>
      </c>
      <c r="E7419" s="8" t="s">
        <v>5795</v>
      </c>
      <c r="F7419" s="8">
        <v>6.262437324E9</v>
      </c>
    </row>
    <row r="7420" ht="15.75" customHeight="1">
      <c r="A7420" s="8" t="s">
        <v>6774</v>
      </c>
      <c r="B7420" s="8" t="s">
        <v>2217</v>
      </c>
      <c r="C7420" s="8" t="s">
        <v>6775</v>
      </c>
      <c r="D7420" s="8" t="s">
        <v>26</v>
      </c>
      <c r="E7420" s="8" t="s">
        <v>6776</v>
      </c>
      <c r="F7420" s="8">
        <v>9.518473112E9</v>
      </c>
    </row>
    <row r="7421" ht="15.75" customHeight="1">
      <c r="A7421" s="8" t="s">
        <v>435</v>
      </c>
      <c r="B7421" s="8" t="s">
        <v>337</v>
      </c>
      <c r="C7421" s="8" t="s">
        <v>6539</v>
      </c>
      <c r="D7421" s="8" t="s">
        <v>9</v>
      </c>
      <c r="E7421" s="8" t="s">
        <v>4571</v>
      </c>
      <c r="F7421" s="8">
        <v>7.014796582E9</v>
      </c>
    </row>
    <row r="7422" ht="15.75" customHeight="1">
      <c r="A7422" s="8" t="s">
        <v>1394</v>
      </c>
      <c r="B7422" s="8" t="s">
        <v>308</v>
      </c>
      <c r="C7422" s="8" t="s">
        <v>6319</v>
      </c>
      <c r="D7422" s="8" t="s">
        <v>56</v>
      </c>
      <c r="E7422" s="8" t="s">
        <v>2025</v>
      </c>
      <c r="F7422" s="8">
        <v>7.703875741E9</v>
      </c>
    </row>
    <row r="7423" ht="15.75" customHeight="1">
      <c r="A7423" s="8" t="s">
        <v>6777</v>
      </c>
      <c r="B7423" s="8" t="s">
        <v>6778</v>
      </c>
      <c r="C7423" s="8" t="s">
        <v>6779</v>
      </c>
      <c r="D7423" s="8" t="s">
        <v>26</v>
      </c>
      <c r="E7423" s="8" t="s">
        <v>6591</v>
      </c>
      <c r="F7423" s="8">
        <v>9.829560201E9</v>
      </c>
    </row>
    <row r="7424" ht="15.75" customHeight="1">
      <c r="A7424" s="8" t="s">
        <v>6437</v>
      </c>
      <c r="B7424" s="8" t="s">
        <v>2342</v>
      </c>
      <c r="C7424" s="8" t="s">
        <v>6780</v>
      </c>
      <c r="D7424" s="8" t="s">
        <v>14</v>
      </c>
      <c r="E7424" s="8" t="s">
        <v>4484</v>
      </c>
      <c r="F7424" s="8">
        <v>9.871039258E9</v>
      </c>
    </row>
    <row r="7425" ht="15.75" customHeight="1">
      <c r="A7425" s="8" t="s">
        <v>2894</v>
      </c>
      <c r="B7425" s="8" t="s">
        <v>6781</v>
      </c>
      <c r="C7425" s="8" t="s">
        <v>6782</v>
      </c>
      <c r="D7425" s="8" t="s">
        <v>56</v>
      </c>
      <c r="E7425" s="8" t="s">
        <v>4583</v>
      </c>
      <c r="F7425" s="8">
        <v>7.008116489E9</v>
      </c>
    </row>
    <row r="7426" ht="15.75" customHeight="1">
      <c r="A7426" s="8" t="s">
        <v>1340</v>
      </c>
      <c r="B7426" s="8" t="s">
        <v>55</v>
      </c>
      <c r="C7426" s="8" t="s">
        <v>6783</v>
      </c>
      <c r="D7426" s="8" t="s">
        <v>102</v>
      </c>
      <c r="E7426" s="8" t="s">
        <v>6591</v>
      </c>
      <c r="F7426" s="8">
        <v>8.544693726E9</v>
      </c>
    </row>
    <row r="7427" ht="15.75" customHeight="1">
      <c r="A7427" s="8" t="s">
        <v>144</v>
      </c>
      <c r="B7427" s="8" t="s">
        <v>65</v>
      </c>
      <c r="C7427" s="8" t="s">
        <v>6784</v>
      </c>
      <c r="D7427" s="8" t="s">
        <v>14</v>
      </c>
      <c r="E7427" s="8" t="s">
        <v>6578</v>
      </c>
      <c r="F7427" s="8">
        <v>9.706133386E9</v>
      </c>
    </row>
    <row r="7428" ht="15.75" customHeight="1">
      <c r="A7428" s="8" t="s">
        <v>3773</v>
      </c>
      <c r="B7428" s="8" t="s">
        <v>6785</v>
      </c>
      <c r="C7428" s="8" t="s">
        <v>6786</v>
      </c>
      <c r="D7428" s="8" t="s">
        <v>56</v>
      </c>
      <c r="E7428" s="8" t="s">
        <v>15</v>
      </c>
      <c r="F7428" s="8">
        <v>9.975540546E9</v>
      </c>
    </row>
    <row r="7429" ht="15.75" customHeight="1">
      <c r="A7429" s="8" t="s">
        <v>6787</v>
      </c>
      <c r="B7429" s="8" t="s">
        <v>312</v>
      </c>
      <c r="C7429" s="8" t="s">
        <v>6788</v>
      </c>
      <c r="D7429" s="8" t="s">
        <v>9</v>
      </c>
      <c r="E7429" s="8" t="s">
        <v>6789</v>
      </c>
      <c r="F7429" s="8">
        <v>6.268769075E9</v>
      </c>
    </row>
    <row r="7430" ht="15.75" customHeight="1">
      <c r="A7430" s="8" t="s">
        <v>189</v>
      </c>
      <c r="B7430" s="8" t="s">
        <v>1090</v>
      </c>
      <c r="C7430" s="8" t="s">
        <v>6790</v>
      </c>
      <c r="D7430" s="8" t="s">
        <v>44</v>
      </c>
      <c r="E7430" s="8" t="s">
        <v>6791</v>
      </c>
      <c r="F7430" s="8">
        <v>7.978697173E9</v>
      </c>
    </row>
    <row r="7431" ht="15.75" customHeight="1">
      <c r="A7431" s="8" t="s">
        <v>1052</v>
      </c>
      <c r="B7431" s="8" t="s">
        <v>508</v>
      </c>
      <c r="C7431" s="8" t="s">
        <v>6792</v>
      </c>
      <c r="D7431" s="8" t="s">
        <v>29</v>
      </c>
      <c r="E7431" s="8" t="s">
        <v>6793</v>
      </c>
      <c r="F7431" s="8">
        <v>7.585065165E9</v>
      </c>
    </row>
    <row r="7432" ht="15.75" customHeight="1">
      <c r="A7432" s="8" t="s">
        <v>6794</v>
      </c>
      <c r="B7432" s="8" t="s">
        <v>6795</v>
      </c>
      <c r="C7432" s="8" t="s">
        <v>6796</v>
      </c>
      <c r="D7432" s="8" t="s">
        <v>29</v>
      </c>
      <c r="E7432" s="8" t="s">
        <v>6797</v>
      </c>
      <c r="F7432" s="8">
        <v>9.366862585E9</v>
      </c>
    </row>
    <row r="7433" ht="15.75" customHeight="1">
      <c r="A7433" s="8" t="s">
        <v>6798</v>
      </c>
      <c r="B7433" s="8" t="s">
        <v>1658</v>
      </c>
      <c r="C7433" s="8" t="s">
        <v>4334</v>
      </c>
      <c r="D7433" s="8" t="s">
        <v>26</v>
      </c>
      <c r="E7433" s="8" t="s">
        <v>2025</v>
      </c>
      <c r="F7433" s="8" t="str">
        <f>+91 92059 77372</f>
        <v>#ERROR!</v>
      </c>
    </row>
    <row r="7434" ht="15.75" customHeight="1">
      <c r="A7434" s="8" t="s">
        <v>1260</v>
      </c>
      <c r="B7434" s="8" t="s">
        <v>930</v>
      </c>
      <c r="C7434" s="8" t="s">
        <v>6799</v>
      </c>
      <c r="D7434" s="8" t="s">
        <v>26</v>
      </c>
      <c r="E7434" s="8" t="s">
        <v>1102</v>
      </c>
      <c r="F7434" s="8">
        <v>9.891029414E9</v>
      </c>
    </row>
    <row r="7435" ht="15.75" customHeight="1">
      <c r="A7435" s="8" t="s">
        <v>6800</v>
      </c>
      <c r="B7435" s="8" t="s">
        <v>4791</v>
      </c>
      <c r="C7435" s="8" t="s">
        <v>6801</v>
      </c>
      <c r="D7435" s="8" t="s">
        <v>9</v>
      </c>
      <c r="E7435" s="8" t="s">
        <v>6578</v>
      </c>
      <c r="F7435" s="8">
        <v>8.761810611E9</v>
      </c>
    </row>
    <row r="7436" ht="15.75" customHeight="1">
      <c r="A7436" s="8" t="s">
        <v>6802</v>
      </c>
      <c r="B7436" s="8" t="s">
        <v>6803</v>
      </c>
      <c r="C7436" s="8" t="s">
        <v>6804</v>
      </c>
      <c r="D7436" s="8" t="s">
        <v>102</v>
      </c>
      <c r="E7436" s="8" t="s">
        <v>6805</v>
      </c>
      <c r="F7436" s="8">
        <v>7.085757678E9</v>
      </c>
    </row>
    <row r="7437" ht="15.75" customHeight="1">
      <c r="A7437" s="8" t="s">
        <v>272</v>
      </c>
      <c r="B7437" s="8" t="s">
        <v>65</v>
      </c>
      <c r="C7437" s="8" t="s">
        <v>6806</v>
      </c>
      <c r="D7437" s="8" t="s">
        <v>29</v>
      </c>
      <c r="E7437" s="8" t="s">
        <v>6370</v>
      </c>
      <c r="F7437" s="8">
        <v>6.239766977E9</v>
      </c>
    </row>
    <row r="7438" ht="15.75" customHeight="1">
      <c r="A7438" s="8" t="s">
        <v>2399</v>
      </c>
      <c r="B7438" s="8" t="s">
        <v>5122</v>
      </c>
      <c r="C7438" s="8" t="s">
        <v>6500</v>
      </c>
      <c r="D7438" s="8" t="s">
        <v>26</v>
      </c>
      <c r="E7438" s="8" t="s">
        <v>6296</v>
      </c>
      <c r="F7438" s="8">
        <v>9.897957162E9</v>
      </c>
    </row>
    <row r="7439" ht="15.75" customHeight="1">
      <c r="A7439" s="8" t="s">
        <v>4085</v>
      </c>
      <c r="B7439" s="8" t="s">
        <v>108</v>
      </c>
      <c r="C7439" s="8" t="s">
        <v>6799</v>
      </c>
      <c r="D7439" s="8" t="s">
        <v>56</v>
      </c>
      <c r="E7439" s="8" t="s">
        <v>1095</v>
      </c>
      <c r="F7439" s="8">
        <v>8.076315049E9</v>
      </c>
    </row>
    <row r="7440" ht="15.75" customHeight="1">
      <c r="A7440" s="8" t="s">
        <v>6807</v>
      </c>
      <c r="B7440" s="8" t="s">
        <v>6808</v>
      </c>
      <c r="C7440" s="8" t="s">
        <v>4334</v>
      </c>
      <c r="D7440" s="8" t="s">
        <v>26</v>
      </c>
      <c r="E7440" s="8" t="s">
        <v>2025</v>
      </c>
      <c r="F7440" s="8">
        <v>8.851553179E9</v>
      </c>
    </row>
    <row r="7441" ht="15.75" customHeight="1">
      <c r="A7441" s="8" t="s">
        <v>6809</v>
      </c>
      <c r="B7441" s="8" t="s">
        <v>4401</v>
      </c>
      <c r="C7441" s="8" t="s">
        <v>6810</v>
      </c>
      <c r="D7441" s="8" t="s">
        <v>29</v>
      </c>
      <c r="E7441" s="8" t="s">
        <v>6811</v>
      </c>
      <c r="F7441" s="8">
        <v>9.875581926E9</v>
      </c>
    </row>
    <row r="7442" ht="15.75" customHeight="1">
      <c r="A7442" s="8" t="s">
        <v>5918</v>
      </c>
      <c r="B7442" s="8" t="s">
        <v>112</v>
      </c>
      <c r="C7442" s="8" t="s">
        <v>6812</v>
      </c>
      <c r="D7442" s="8" t="s">
        <v>44</v>
      </c>
      <c r="E7442" s="8" t="s">
        <v>6813</v>
      </c>
      <c r="F7442" s="8">
        <v>9.706222387E9</v>
      </c>
    </row>
    <row r="7443" ht="15.75" customHeight="1">
      <c r="A7443" s="8" t="s">
        <v>6814</v>
      </c>
      <c r="B7443" s="8" t="s">
        <v>6815</v>
      </c>
      <c r="C7443" s="8" t="s">
        <v>6816</v>
      </c>
      <c r="D7443" s="8" t="s">
        <v>29</v>
      </c>
      <c r="E7443" s="8" t="s">
        <v>6817</v>
      </c>
      <c r="F7443" s="8">
        <v>7.08540033E9</v>
      </c>
    </row>
    <row r="7444" ht="15.75" customHeight="1">
      <c r="A7444" s="8" t="s">
        <v>6818</v>
      </c>
      <c r="B7444" s="8" t="s">
        <v>6819</v>
      </c>
      <c r="C7444" s="8" t="s">
        <v>6820</v>
      </c>
      <c r="D7444" s="8" t="s">
        <v>29</v>
      </c>
      <c r="E7444" s="8" t="s">
        <v>6037</v>
      </c>
      <c r="F7444" s="8">
        <v>9.626422742E9</v>
      </c>
    </row>
    <row r="7445" ht="15.75" customHeight="1">
      <c r="A7445" s="8" t="s">
        <v>6821</v>
      </c>
      <c r="B7445" s="8" t="s">
        <v>6822</v>
      </c>
      <c r="C7445" s="8" t="s">
        <v>6712</v>
      </c>
      <c r="D7445" s="8" t="s">
        <v>26</v>
      </c>
      <c r="E7445" s="8" t="s">
        <v>6823</v>
      </c>
      <c r="F7445" s="8">
        <v>8.629029242E9</v>
      </c>
    </row>
    <row r="7446" ht="15.75" customHeight="1">
      <c r="A7446" s="8" t="s">
        <v>996</v>
      </c>
      <c r="B7446" s="8" t="s">
        <v>225</v>
      </c>
      <c r="C7446" s="8" t="s">
        <v>6824</v>
      </c>
      <c r="D7446" s="8" t="s">
        <v>9</v>
      </c>
      <c r="E7446" s="8" t="s">
        <v>6825</v>
      </c>
      <c r="F7446" s="8">
        <v>9.8181044E9</v>
      </c>
    </row>
    <row r="7447" ht="15.75" customHeight="1">
      <c r="A7447" s="8" t="s">
        <v>3580</v>
      </c>
      <c r="B7447" s="8" t="s">
        <v>1850</v>
      </c>
      <c r="C7447" s="8" t="s">
        <v>6649</v>
      </c>
      <c r="D7447" s="8" t="s">
        <v>44</v>
      </c>
      <c r="E7447" s="8" t="s">
        <v>6578</v>
      </c>
      <c r="F7447" s="8">
        <v>7.66201119E9</v>
      </c>
    </row>
    <row r="7448" ht="15.75" customHeight="1">
      <c r="A7448" s="8" t="s">
        <v>6826</v>
      </c>
      <c r="B7448" s="8" t="s">
        <v>6827</v>
      </c>
      <c r="C7448" s="8" t="s">
        <v>6649</v>
      </c>
      <c r="D7448" s="8" t="s">
        <v>44</v>
      </c>
      <c r="E7448" s="8" t="s">
        <v>6828</v>
      </c>
      <c r="F7448" s="8">
        <v>7.086525175E9</v>
      </c>
    </row>
    <row r="7449" ht="15.75" customHeight="1">
      <c r="A7449" s="8" t="s">
        <v>49</v>
      </c>
      <c r="B7449" s="8" t="s">
        <v>1999</v>
      </c>
      <c r="C7449" s="8" t="s">
        <v>6829</v>
      </c>
      <c r="D7449" s="8" t="s">
        <v>26</v>
      </c>
      <c r="E7449" s="8" t="s">
        <v>6830</v>
      </c>
      <c r="F7449" s="8">
        <v>8.19109209E9</v>
      </c>
    </row>
    <row r="7450" ht="15.75" customHeight="1">
      <c r="A7450" s="8" t="s">
        <v>6831</v>
      </c>
      <c r="B7450" s="8" t="s">
        <v>5997</v>
      </c>
      <c r="C7450" s="8" t="s">
        <v>6832</v>
      </c>
      <c r="D7450" s="8" t="s">
        <v>102</v>
      </c>
      <c r="E7450" s="8" t="s">
        <v>6833</v>
      </c>
      <c r="F7450" s="8">
        <v>9.003686535E9</v>
      </c>
    </row>
    <row r="7451" ht="15.75" customHeight="1">
      <c r="A7451" s="8" t="s">
        <v>6834</v>
      </c>
      <c r="B7451" s="8" t="s">
        <v>6835</v>
      </c>
      <c r="C7451" s="8" t="s">
        <v>6645</v>
      </c>
      <c r="D7451" s="8" t="s">
        <v>44</v>
      </c>
      <c r="E7451" s="8" t="s">
        <v>6836</v>
      </c>
      <c r="F7451" s="8">
        <v>7.099671797E9</v>
      </c>
    </row>
    <row r="7452" ht="15.75" customHeight="1">
      <c r="A7452" s="8" t="s">
        <v>4333</v>
      </c>
      <c r="B7452" s="8" t="s">
        <v>47</v>
      </c>
      <c r="C7452" s="8" t="s">
        <v>4334</v>
      </c>
      <c r="D7452" s="8" t="s">
        <v>44</v>
      </c>
      <c r="E7452" s="8" t="s">
        <v>6956</v>
      </c>
      <c r="F7452" s="8">
        <v>8.588010998E9</v>
      </c>
    </row>
    <row r="7453" ht="15.75" customHeight="1">
      <c r="A7453" s="8" t="s">
        <v>6837</v>
      </c>
      <c r="B7453" s="8" t="s">
        <v>4840</v>
      </c>
      <c r="C7453" s="8" t="s">
        <v>6838</v>
      </c>
      <c r="D7453" s="8" t="s">
        <v>44</v>
      </c>
      <c r="E7453" s="8" t="s">
        <v>2025</v>
      </c>
      <c r="F7453" s="8">
        <v>9.311069258E9</v>
      </c>
    </row>
    <row r="7454" ht="15.75" customHeight="1">
      <c r="A7454" s="8" t="s">
        <v>479</v>
      </c>
      <c r="B7454" s="8" t="s">
        <v>68</v>
      </c>
      <c r="C7454" s="8" t="s">
        <v>4334</v>
      </c>
      <c r="D7454" s="8" t="s">
        <v>9</v>
      </c>
      <c r="E7454" s="8" t="s">
        <v>2025</v>
      </c>
      <c r="F7454" s="8">
        <v>9.31055553E9</v>
      </c>
    </row>
    <row r="7455" ht="15.75" customHeight="1">
      <c r="A7455" s="8" t="s">
        <v>6839</v>
      </c>
      <c r="B7455" s="8" t="s">
        <v>3394</v>
      </c>
      <c r="C7455" s="8" t="s">
        <v>6840</v>
      </c>
      <c r="D7455" s="8" t="s">
        <v>44</v>
      </c>
      <c r="E7455" s="8" t="s">
        <v>4571</v>
      </c>
      <c r="F7455" s="8">
        <v>9.680810249E9</v>
      </c>
    </row>
    <row r="7456" ht="15.75" customHeight="1">
      <c r="A7456" s="8" t="s">
        <v>526</v>
      </c>
      <c r="B7456" s="8" t="s">
        <v>5633</v>
      </c>
      <c r="C7456" s="8" t="s">
        <v>4334</v>
      </c>
      <c r="D7456" s="8" t="s">
        <v>26</v>
      </c>
      <c r="E7456" s="8" t="s">
        <v>2025</v>
      </c>
      <c r="F7456" s="8">
        <v>8.1303186E9</v>
      </c>
    </row>
    <row r="7457" ht="15.75" customHeight="1">
      <c r="A7457" s="8" t="s">
        <v>6841</v>
      </c>
      <c r="B7457" s="8" t="s">
        <v>1999</v>
      </c>
      <c r="C7457" s="8" t="s">
        <v>6842</v>
      </c>
      <c r="D7457" s="8" t="s">
        <v>56</v>
      </c>
      <c r="E7457" s="8" t="s">
        <v>6843</v>
      </c>
      <c r="F7457" s="8">
        <v>9.30432472E9</v>
      </c>
    </row>
    <row r="7458" ht="15.75" customHeight="1">
      <c r="A7458" s="8" t="s">
        <v>1767</v>
      </c>
      <c r="B7458" s="8" t="s">
        <v>55</v>
      </c>
      <c r="C7458" s="8" t="s">
        <v>6844</v>
      </c>
      <c r="D7458" s="8" t="s">
        <v>26</v>
      </c>
      <c r="E7458" s="8" t="s">
        <v>6845</v>
      </c>
      <c r="F7458" s="8">
        <v>9.30418117E9</v>
      </c>
    </row>
    <row r="7459" ht="15.75" customHeight="1">
      <c r="A7459" s="8" t="s">
        <v>6846</v>
      </c>
      <c r="B7459" s="8" t="s">
        <v>6847</v>
      </c>
      <c r="C7459" s="8" t="s">
        <v>6848</v>
      </c>
      <c r="D7459" s="8" t="s">
        <v>9</v>
      </c>
      <c r="E7459" s="8" t="s">
        <v>6849</v>
      </c>
      <c r="F7459" s="8">
        <v>9.653096013E9</v>
      </c>
    </row>
    <row r="7460" ht="15.75" customHeight="1">
      <c r="A7460" s="8" t="s">
        <v>131</v>
      </c>
      <c r="B7460" s="8" t="s">
        <v>6850</v>
      </c>
      <c r="C7460" s="8" t="s">
        <v>6851</v>
      </c>
      <c r="D7460" s="8" t="s">
        <v>44</v>
      </c>
      <c r="E7460" s="8" t="s">
        <v>6504</v>
      </c>
      <c r="F7460" s="8">
        <v>9.917620637E9</v>
      </c>
    </row>
    <row r="7461" ht="15.75" customHeight="1">
      <c r="A7461" s="8" t="s">
        <v>795</v>
      </c>
      <c r="B7461" s="8" t="s">
        <v>50</v>
      </c>
      <c r="C7461" s="8" t="s">
        <v>6852</v>
      </c>
      <c r="D7461" s="8" t="s">
        <v>44</v>
      </c>
      <c r="E7461" s="8" t="s">
        <v>6853</v>
      </c>
      <c r="F7461" s="8">
        <v>8.709807753E9</v>
      </c>
    </row>
    <row r="7462" ht="15.75" customHeight="1">
      <c r="A7462" s="8" t="s">
        <v>6854</v>
      </c>
      <c r="B7462" s="8" t="s">
        <v>1239</v>
      </c>
      <c r="C7462" s="8" t="s">
        <v>6712</v>
      </c>
      <c r="D7462" s="8" t="s">
        <v>9</v>
      </c>
      <c r="E7462" s="8" t="s">
        <v>6855</v>
      </c>
      <c r="F7462" s="8">
        <v>9.81707935E9</v>
      </c>
    </row>
    <row r="7463" ht="15.75" customHeight="1">
      <c r="A7463" s="8" t="s">
        <v>6856</v>
      </c>
      <c r="B7463" s="8" t="s">
        <v>6857</v>
      </c>
      <c r="C7463" s="8" t="s">
        <v>6858</v>
      </c>
      <c r="D7463" s="8" t="s">
        <v>56</v>
      </c>
      <c r="E7463" s="8" t="s">
        <v>6757</v>
      </c>
      <c r="F7463" s="8">
        <v>9.865268789E9</v>
      </c>
    </row>
    <row r="7464" ht="15.75" customHeight="1">
      <c r="A7464" s="8" t="s">
        <v>1394</v>
      </c>
      <c r="B7464" s="8" t="s">
        <v>1672</v>
      </c>
      <c r="C7464" s="8" t="s">
        <v>412</v>
      </c>
      <c r="D7464" s="8" t="s">
        <v>56</v>
      </c>
      <c r="E7464" s="8" t="s">
        <v>4276</v>
      </c>
      <c r="F7464" s="8">
        <v>9.187438728E9</v>
      </c>
    </row>
    <row r="7465" ht="15.75" customHeight="1">
      <c r="A7465" s="8" t="s">
        <v>5833</v>
      </c>
      <c r="B7465" s="8" t="s">
        <v>2761</v>
      </c>
      <c r="C7465" s="8" t="s">
        <v>6859</v>
      </c>
      <c r="D7465" s="8" t="s">
        <v>44</v>
      </c>
      <c r="E7465" s="8" t="s">
        <v>5281</v>
      </c>
      <c r="F7465" s="8">
        <v>9.307066865E9</v>
      </c>
    </row>
    <row r="7466" ht="15.75" customHeight="1">
      <c r="A7466" s="8" t="s">
        <v>6860</v>
      </c>
      <c r="B7466" s="8" t="s">
        <v>1265</v>
      </c>
      <c r="C7466" s="8" t="s">
        <v>6810</v>
      </c>
      <c r="D7466" s="8" t="s">
        <v>29</v>
      </c>
      <c r="E7466" s="8" t="s">
        <v>2115</v>
      </c>
      <c r="F7466" s="8">
        <v>9.330327346E9</v>
      </c>
    </row>
    <row r="7467" ht="15.75" customHeight="1">
      <c r="A7467" s="8" t="s">
        <v>6861</v>
      </c>
      <c r="B7467" s="8" t="s">
        <v>6862</v>
      </c>
      <c r="C7467" s="8" t="s">
        <v>6863</v>
      </c>
      <c r="D7467" s="8" t="s">
        <v>56</v>
      </c>
      <c r="E7467" s="8" t="s">
        <v>6864</v>
      </c>
      <c r="F7467" s="8">
        <v>9.954838721E9</v>
      </c>
    </row>
    <row r="7468" ht="15.75" customHeight="1">
      <c r="A7468" s="8" t="s">
        <v>6865</v>
      </c>
      <c r="B7468" s="8" t="s">
        <v>6866</v>
      </c>
      <c r="C7468" s="8" t="s">
        <v>6712</v>
      </c>
      <c r="D7468" s="8" t="s">
        <v>9</v>
      </c>
      <c r="E7468" s="8" t="s">
        <v>6302</v>
      </c>
      <c r="F7468" s="8">
        <v>7.876068371E9</v>
      </c>
    </row>
    <row r="7469" ht="15.75" customHeight="1">
      <c r="A7469" s="8" t="s">
        <v>2592</v>
      </c>
      <c r="B7469" s="8" t="s">
        <v>6269</v>
      </c>
      <c r="C7469" s="8" t="s">
        <v>5304</v>
      </c>
      <c r="D7469" s="8" t="s">
        <v>44</v>
      </c>
      <c r="E7469" s="8" t="s">
        <v>1102</v>
      </c>
      <c r="F7469" s="8">
        <v>9.810628267E9</v>
      </c>
    </row>
    <row r="7470" ht="15.75" customHeight="1">
      <c r="A7470" s="8" t="s">
        <v>6867</v>
      </c>
      <c r="B7470" s="8" t="s">
        <v>1575</v>
      </c>
      <c r="C7470" s="8" t="s">
        <v>6868</v>
      </c>
      <c r="D7470" s="8" t="s">
        <v>26</v>
      </c>
      <c r="E7470" s="8" t="s">
        <v>6869</v>
      </c>
      <c r="F7470" s="8">
        <v>9.014709853E9</v>
      </c>
    </row>
    <row r="7471" ht="15.75" customHeight="1">
      <c r="A7471" s="8" t="s">
        <v>6870</v>
      </c>
      <c r="B7471" s="8" t="s">
        <v>6871</v>
      </c>
      <c r="C7471" s="8" t="s">
        <v>5897</v>
      </c>
      <c r="D7471" s="8" t="s">
        <v>14</v>
      </c>
      <c r="E7471" s="8" t="s">
        <v>6872</v>
      </c>
      <c r="F7471" s="8">
        <v>9.188810226E9</v>
      </c>
    </row>
    <row r="7472" ht="15.75" customHeight="1">
      <c r="A7472" s="8" t="s">
        <v>122</v>
      </c>
      <c r="B7472" s="8" t="s">
        <v>50</v>
      </c>
      <c r="C7472" s="8" t="s">
        <v>6873</v>
      </c>
      <c r="D7472" s="8" t="s">
        <v>26</v>
      </c>
      <c r="E7472" s="8" t="s">
        <v>3105</v>
      </c>
      <c r="F7472" s="8">
        <v>6.361668857E9</v>
      </c>
    </row>
    <row r="7473" ht="15.75" customHeight="1">
      <c r="A7473" s="8" t="s">
        <v>1348</v>
      </c>
      <c r="B7473" s="8" t="s">
        <v>6874</v>
      </c>
      <c r="C7473" s="8" t="s">
        <v>6875</v>
      </c>
      <c r="D7473" s="8" t="s">
        <v>44</v>
      </c>
      <c r="E7473" s="8" t="s">
        <v>6876</v>
      </c>
      <c r="F7473" s="8">
        <v>7.814215181E9</v>
      </c>
    </row>
    <row r="7474" ht="15.75" customHeight="1">
      <c r="A7474" s="8" t="s">
        <v>6222</v>
      </c>
      <c r="B7474" s="8" t="s">
        <v>6877</v>
      </c>
      <c r="C7474" s="8" t="s">
        <v>6878</v>
      </c>
      <c r="D7474" s="8" t="s">
        <v>29</v>
      </c>
      <c r="E7474" s="8" t="s">
        <v>6879</v>
      </c>
      <c r="F7474" s="8">
        <v>8.894824816E9</v>
      </c>
    </row>
    <row r="7475" ht="15.75" customHeight="1">
      <c r="A7475" s="8" t="s">
        <v>189</v>
      </c>
      <c r="B7475" s="8" t="s">
        <v>654</v>
      </c>
      <c r="C7475" s="8" t="s">
        <v>6878</v>
      </c>
      <c r="D7475" s="8" t="s">
        <v>9</v>
      </c>
      <c r="E7475" s="8" t="s">
        <v>6880</v>
      </c>
      <c r="F7475" s="8">
        <v>7.807030174E9</v>
      </c>
    </row>
    <row r="7476" ht="15.75" customHeight="1">
      <c r="A7476" s="8" t="s">
        <v>486</v>
      </c>
      <c r="B7476" s="8" t="s">
        <v>1407</v>
      </c>
      <c r="C7476" s="8" t="s">
        <v>6878</v>
      </c>
      <c r="D7476" s="8" t="s">
        <v>56</v>
      </c>
      <c r="E7476" s="8" t="s">
        <v>6881</v>
      </c>
      <c r="F7476" s="8">
        <v>6.20297714E9</v>
      </c>
    </row>
    <row r="7477" ht="15.75" customHeight="1">
      <c r="A7477" s="8" t="s">
        <v>2363</v>
      </c>
      <c r="B7477" s="8" t="s">
        <v>6882</v>
      </c>
      <c r="C7477" s="8" t="s">
        <v>6883</v>
      </c>
      <c r="D7477" s="8" t="s">
        <v>44</v>
      </c>
      <c r="E7477" s="8" t="s">
        <v>5968</v>
      </c>
      <c r="F7477" s="8">
        <v>7.350403001E9</v>
      </c>
    </row>
    <row r="7478" ht="15.75" customHeight="1">
      <c r="A7478" s="8" t="s">
        <v>6884</v>
      </c>
      <c r="B7478" s="8" t="s">
        <v>120</v>
      </c>
      <c r="C7478" s="8" t="s">
        <v>6885</v>
      </c>
      <c r="D7478" s="8" t="s">
        <v>56</v>
      </c>
      <c r="E7478" s="8" t="s">
        <v>6886</v>
      </c>
      <c r="F7478" s="8">
        <v>9.969276149E9</v>
      </c>
    </row>
    <row r="7479" ht="15.75" customHeight="1">
      <c r="A7479" s="8" t="s">
        <v>6887</v>
      </c>
      <c r="B7479" s="8" t="s">
        <v>2612</v>
      </c>
      <c r="C7479" s="8" t="s">
        <v>6888</v>
      </c>
      <c r="D7479" s="8" t="s">
        <v>14</v>
      </c>
      <c r="E7479" s="8" t="s">
        <v>434</v>
      </c>
      <c r="F7479" s="8">
        <v>9.594495474E9</v>
      </c>
    </row>
    <row r="7480" ht="15.75" customHeight="1">
      <c r="A7480" s="8" t="s">
        <v>262</v>
      </c>
      <c r="B7480" s="8" t="s">
        <v>6889</v>
      </c>
      <c r="C7480" s="8" t="s">
        <v>6687</v>
      </c>
      <c r="D7480" s="8" t="s">
        <v>56</v>
      </c>
      <c r="E7480" s="8" t="s">
        <v>6587</v>
      </c>
      <c r="F7480" s="8">
        <v>9.7658821533E10</v>
      </c>
    </row>
    <row r="7481" ht="15.75" customHeight="1">
      <c r="A7481" s="8" t="s">
        <v>3751</v>
      </c>
      <c r="B7481" s="8" t="s">
        <v>4840</v>
      </c>
      <c r="C7481" s="8" t="s">
        <v>6890</v>
      </c>
      <c r="D7481" s="8" t="s">
        <v>56</v>
      </c>
      <c r="E7481" s="8" t="s">
        <v>6891</v>
      </c>
      <c r="F7481" s="8">
        <v>7.888868677E9</v>
      </c>
    </row>
    <row r="7482" ht="15.75" customHeight="1">
      <c r="A7482" s="8" t="s">
        <v>6892</v>
      </c>
      <c r="B7482" s="8" t="s">
        <v>6893</v>
      </c>
      <c r="C7482" s="8" t="s">
        <v>6894</v>
      </c>
      <c r="D7482" s="8" t="s">
        <v>26</v>
      </c>
      <c r="E7482" s="8" t="s">
        <v>6309</v>
      </c>
      <c r="F7482" s="8">
        <v>8.078024412E9</v>
      </c>
    </row>
    <row r="7483" ht="15.75" customHeight="1">
      <c r="A7483" s="8" t="s">
        <v>6895</v>
      </c>
      <c r="B7483" s="8" t="s">
        <v>5426</v>
      </c>
      <c r="C7483" s="8" t="s">
        <v>6896</v>
      </c>
      <c r="D7483" s="8" t="s">
        <v>44</v>
      </c>
      <c r="E7483" s="8" t="s">
        <v>6897</v>
      </c>
      <c r="F7483" s="8">
        <v>7.89916036E9</v>
      </c>
    </row>
    <row r="7484" ht="15.75" customHeight="1">
      <c r="A7484" s="8" t="s">
        <v>381</v>
      </c>
      <c r="B7484" s="8" t="s">
        <v>6898</v>
      </c>
      <c r="C7484" s="8" t="s">
        <v>6899</v>
      </c>
      <c r="D7484" s="8" t="s">
        <v>56</v>
      </c>
      <c r="E7484" s="8" t="s">
        <v>6587</v>
      </c>
      <c r="F7484" s="8">
        <v>9.37167207E9</v>
      </c>
    </row>
    <row r="7485" ht="15.75" customHeight="1">
      <c r="A7485" s="8" t="s">
        <v>6900</v>
      </c>
      <c r="B7485" s="8" t="s">
        <v>63</v>
      </c>
      <c r="C7485" s="8" t="s">
        <v>6901</v>
      </c>
      <c r="D7485" s="8" t="s">
        <v>26</v>
      </c>
      <c r="E7485" s="8" t="s">
        <v>4429</v>
      </c>
      <c r="F7485" s="8">
        <v>9.608835471E9</v>
      </c>
    </row>
    <row r="7486" ht="15.75" customHeight="1">
      <c r="A7486" s="8" t="s">
        <v>141</v>
      </c>
      <c r="B7486" s="8" t="s">
        <v>50</v>
      </c>
      <c r="C7486" s="8" t="s">
        <v>6902</v>
      </c>
      <c r="D7486" s="8" t="s">
        <v>56</v>
      </c>
      <c r="E7486" s="8" t="s">
        <v>4429</v>
      </c>
      <c r="F7486" s="8">
        <v>8.210641047E9</v>
      </c>
    </row>
    <row r="7487" ht="15.75" customHeight="1">
      <c r="A7487" s="8" t="s">
        <v>6903</v>
      </c>
      <c r="B7487" s="8" t="s">
        <v>5797</v>
      </c>
      <c r="C7487" s="8" t="s">
        <v>6904</v>
      </c>
      <c r="D7487" s="8" t="s">
        <v>56</v>
      </c>
      <c r="E7487" s="8" t="s">
        <v>5230</v>
      </c>
      <c r="F7487" s="8">
        <v>7.59886726E9</v>
      </c>
    </row>
    <row r="7488" ht="15.75" customHeight="1">
      <c r="A7488" s="8" t="s">
        <v>6905</v>
      </c>
      <c r="B7488" s="8" t="s">
        <v>4492</v>
      </c>
      <c r="C7488" s="8" t="s">
        <v>5063</v>
      </c>
      <c r="D7488" s="8" t="s">
        <v>102</v>
      </c>
      <c r="E7488" s="8" t="s">
        <v>434</v>
      </c>
      <c r="F7488" s="8">
        <v>1.23456789E9</v>
      </c>
    </row>
    <row r="7489" ht="15.75" customHeight="1">
      <c r="A7489" s="8" t="s">
        <v>511</v>
      </c>
      <c r="B7489" s="8" t="s">
        <v>4127</v>
      </c>
      <c r="C7489" s="8" t="s">
        <v>5063</v>
      </c>
      <c r="D7489" s="8" t="s">
        <v>9</v>
      </c>
      <c r="E7489" s="8" t="s">
        <v>434</v>
      </c>
      <c r="F7489" s="8">
        <v>7.400281899E9</v>
      </c>
    </row>
  </sheetData>
  <customSheetViews>
    <customSheetView guid="{56FB2C4F-BCD1-4614-BBA2-92D6448262BD}" filter="1" showAutoFilter="1">
      <autoFilter ref="$A$1:$F$4192"/>
    </customSheetView>
    <customSheetView guid="{A990AC3E-D4EF-4B24-83B5-4E266B061D9E}" filter="1" showAutoFilter="1">
      <autoFilter ref="$A$4194:$F$7489"/>
    </customSheetView>
  </customSheetViews>
  <hyperlinks>
    <hyperlink r:id="rId1" ref="C611"/>
    <hyperlink r:id="rId2" ref="C2020"/>
    <hyperlink r:id="rId3" ref="C3253"/>
    <hyperlink r:id="rId4" ref="C3575"/>
    <hyperlink r:id="rId5" ref="C4672"/>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75"/>
    <col customWidth="1" min="2" max="3" width="12.63"/>
    <col customWidth="1" min="4" max="4" width="26.25"/>
    <col customWidth="1" min="5" max="6" width="12.63"/>
    <col customWidth="1" min="7" max="7" width="30.0"/>
    <col customWidth="1" min="13" max="13" width="46.5"/>
    <col customWidth="1" min="14" max="14" width="32.88"/>
    <col customWidth="1" min="15" max="15" width="6.5"/>
    <col customWidth="1" min="16" max="16" width="39.25"/>
    <col customWidth="1" min="17" max="17" width="7.13"/>
    <col customWidth="1" min="18" max="18" width="32.63"/>
    <col customWidth="1" min="19" max="19" width="6.38"/>
    <col customWidth="1" min="20" max="20" width="45.88"/>
    <col customWidth="1" min="21" max="21" width="43.13"/>
    <col customWidth="1" min="22" max="22" width="6.25"/>
    <col customWidth="1" min="23" max="23" width="31.5"/>
    <col customWidth="1" min="25" max="25" width="12.25"/>
    <col customWidth="1" min="26" max="26" width="7.0"/>
    <col customWidth="1" min="27" max="27" width="25.5"/>
    <col customWidth="1" min="28" max="28" width="8.5"/>
    <col customWidth="1" min="29" max="29" width="15.13"/>
    <col customWidth="1" min="30" max="30" width="17.63"/>
    <col customWidth="1" min="31" max="31" width="7.75"/>
    <col customWidth="1" min="32" max="32" width="8.5"/>
    <col customWidth="1" min="33" max="33" width="20.38"/>
  </cols>
  <sheetData>
    <row r="1" ht="56.25" customHeight="1">
      <c r="A1" s="9" t="s">
        <v>6957</v>
      </c>
      <c r="B1" s="9" t="s">
        <v>6958</v>
      </c>
      <c r="C1" s="9" t="s">
        <v>6959</v>
      </c>
      <c r="D1" s="9" t="s">
        <v>6960</v>
      </c>
      <c r="E1" s="9" t="s">
        <v>6961</v>
      </c>
      <c r="F1" s="9" t="s">
        <v>6962</v>
      </c>
      <c r="G1" s="9" t="s">
        <v>6963</v>
      </c>
      <c r="H1" s="9" t="s">
        <v>3</v>
      </c>
      <c r="I1" s="9" t="s">
        <v>6964</v>
      </c>
      <c r="J1" s="9" t="s">
        <v>6965</v>
      </c>
      <c r="K1" s="9" t="s">
        <v>6966</v>
      </c>
      <c r="L1" s="9" t="s">
        <v>6967</v>
      </c>
      <c r="M1" s="9" t="s">
        <v>6968</v>
      </c>
      <c r="N1" s="9" t="s">
        <v>6969</v>
      </c>
      <c r="O1" s="9">
        <v>100.0</v>
      </c>
      <c r="P1" s="9" t="s">
        <v>6970</v>
      </c>
      <c r="Q1" s="9">
        <v>100.0</v>
      </c>
      <c r="R1" s="9" t="s">
        <v>6971</v>
      </c>
      <c r="S1" s="9">
        <v>100.0</v>
      </c>
      <c r="T1" s="9" t="s">
        <v>6972</v>
      </c>
      <c r="U1" s="9" t="s">
        <v>6973</v>
      </c>
      <c r="V1" s="9">
        <v>100.0</v>
      </c>
      <c r="W1" s="9" t="s">
        <v>6974</v>
      </c>
      <c r="X1" s="9">
        <v>100.0</v>
      </c>
      <c r="Y1" s="9" t="s">
        <v>6975</v>
      </c>
      <c r="Z1" s="9">
        <v>100.0</v>
      </c>
      <c r="AA1" s="9" t="s">
        <v>6976</v>
      </c>
      <c r="AB1" s="9">
        <v>100.0</v>
      </c>
      <c r="AC1" s="9" t="s">
        <v>6977</v>
      </c>
      <c r="AD1" s="9" t="s">
        <v>6978</v>
      </c>
      <c r="AE1" s="9">
        <v>100.0</v>
      </c>
      <c r="AF1" s="9">
        <f>AE1+AB1+Z1+X1+V1+S1+Q1+O1</f>
        <v>800</v>
      </c>
      <c r="AG1" s="10"/>
      <c r="AH1" s="10"/>
    </row>
    <row r="2" ht="15.75" customHeight="1">
      <c r="A2" s="11">
        <v>234.0</v>
      </c>
      <c r="B2" s="12" t="s">
        <v>6979</v>
      </c>
      <c r="C2" s="11" t="s">
        <v>4344</v>
      </c>
      <c r="D2" s="11" t="s">
        <v>6980</v>
      </c>
      <c r="E2" s="11" t="s">
        <v>5812</v>
      </c>
      <c r="F2" s="11" t="s">
        <v>5813</v>
      </c>
      <c r="G2" s="11" t="s">
        <v>5814</v>
      </c>
      <c r="H2" s="11" t="s">
        <v>6981</v>
      </c>
      <c r="I2" s="11" t="s">
        <v>494</v>
      </c>
      <c r="J2" s="11">
        <v>7.838522107E9</v>
      </c>
      <c r="K2" s="11" t="s">
        <v>6982</v>
      </c>
      <c r="L2" s="11" t="s">
        <v>6983</v>
      </c>
      <c r="M2" s="11" t="s">
        <v>6984</v>
      </c>
      <c r="N2" s="11" t="s">
        <v>6985</v>
      </c>
      <c r="O2" s="11">
        <v>50.0</v>
      </c>
      <c r="P2" s="11" t="s">
        <v>6986</v>
      </c>
      <c r="Q2" s="11">
        <v>40.0</v>
      </c>
      <c r="R2" s="11" t="s">
        <v>6987</v>
      </c>
      <c r="S2" s="11">
        <v>30.0</v>
      </c>
      <c r="T2" s="11" t="s">
        <v>6988</v>
      </c>
      <c r="U2" s="11" t="s">
        <v>6989</v>
      </c>
      <c r="V2" s="11">
        <v>50.0</v>
      </c>
      <c r="W2" s="11" t="s">
        <v>6990</v>
      </c>
      <c r="X2" s="11">
        <v>25.0</v>
      </c>
      <c r="Y2" s="11" t="s">
        <v>6991</v>
      </c>
      <c r="Z2" s="11">
        <v>25.0</v>
      </c>
      <c r="AA2" s="13" t="s">
        <v>6992</v>
      </c>
      <c r="AB2" s="11">
        <v>10.0</v>
      </c>
      <c r="AC2" s="11" t="s">
        <v>6993</v>
      </c>
      <c r="AD2" s="13" t="s">
        <v>6994</v>
      </c>
      <c r="AE2" s="11">
        <v>0.0</v>
      </c>
      <c r="AF2" s="11">
        <f>O2+Q2+S2+V2+X2+Z2+AB2+AE2</f>
        <v>230</v>
      </c>
      <c r="AG2" s="11" t="s">
        <v>6995</v>
      </c>
      <c r="AH2" s="11"/>
    </row>
    <row r="3" ht="15.75" customHeight="1">
      <c r="A3" s="11">
        <v>363.0</v>
      </c>
      <c r="B3" s="12" t="s">
        <v>6996</v>
      </c>
      <c r="C3" s="11"/>
      <c r="D3" s="11" t="s">
        <v>6997</v>
      </c>
      <c r="E3" s="11" t="s">
        <v>6998</v>
      </c>
      <c r="F3" s="11" t="s">
        <v>6999</v>
      </c>
      <c r="G3" s="11" t="s">
        <v>7000</v>
      </c>
      <c r="H3" s="11" t="s">
        <v>7001</v>
      </c>
      <c r="I3" s="11" t="s">
        <v>4136</v>
      </c>
      <c r="J3" s="11" t="s">
        <v>7002</v>
      </c>
      <c r="K3" s="11"/>
      <c r="L3" s="11" t="s">
        <v>7003</v>
      </c>
      <c r="M3" s="14" t="s">
        <v>7004</v>
      </c>
      <c r="N3" s="14" t="s">
        <v>7005</v>
      </c>
      <c r="O3" s="11"/>
      <c r="P3" s="14" t="s">
        <v>7006</v>
      </c>
      <c r="Q3" s="11"/>
      <c r="R3" s="14" t="s">
        <v>7007</v>
      </c>
      <c r="S3" s="11"/>
      <c r="T3" s="14" t="s">
        <v>7008</v>
      </c>
      <c r="U3" s="14" t="s">
        <v>7009</v>
      </c>
      <c r="V3" s="11"/>
      <c r="W3" s="14" t="s">
        <v>7010</v>
      </c>
      <c r="X3" s="11"/>
      <c r="Y3" s="11" t="s">
        <v>6991</v>
      </c>
      <c r="Z3" s="11"/>
      <c r="AA3" s="13" t="s">
        <v>7011</v>
      </c>
      <c r="AB3" s="11">
        <v>25.0</v>
      </c>
      <c r="AC3" s="11" t="s">
        <v>7012</v>
      </c>
      <c r="AD3" s="13" t="s">
        <v>6994</v>
      </c>
      <c r="AE3" s="11"/>
      <c r="AF3" s="11">
        <f>AB3+Z3+X3+V3+S3+Q3+O3</f>
        <v>25</v>
      </c>
      <c r="AG3" s="11" t="s">
        <v>7013</v>
      </c>
      <c r="AH3" s="11"/>
    </row>
    <row r="4" ht="15.75" customHeight="1">
      <c r="A4" s="11">
        <v>126.0</v>
      </c>
      <c r="B4" s="12" t="s">
        <v>7014</v>
      </c>
      <c r="C4" s="11" t="s">
        <v>2140</v>
      </c>
      <c r="D4" s="11" t="s">
        <v>7015</v>
      </c>
      <c r="E4" s="11" t="s">
        <v>7016</v>
      </c>
      <c r="F4" s="11" t="s">
        <v>7017</v>
      </c>
      <c r="G4" s="11" t="s">
        <v>7018</v>
      </c>
      <c r="H4" s="11" t="s">
        <v>7019</v>
      </c>
      <c r="I4" s="11"/>
      <c r="J4" s="15"/>
      <c r="K4" s="11" t="s">
        <v>6982</v>
      </c>
      <c r="L4" s="11" t="s">
        <v>6983</v>
      </c>
      <c r="M4" s="11" t="s">
        <v>7020</v>
      </c>
      <c r="N4" s="11" t="s">
        <v>7021</v>
      </c>
      <c r="O4" s="11">
        <v>60.0</v>
      </c>
      <c r="P4" s="11" t="s">
        <v>7022</v>
      </c>
      <c r="Q4" s="11">
        <v>50.0</v>
      </c>
      <c r="R4" s="11" t="s">
        <v>7023</v>
      </c>
      <c r="S4" s="11">
        <v>20.0</v>
      </c>
      <c r="T4" s="11" t="s">
        <v>7024</v>
      </c>
      <c r="U4" s="11" t="s">
        <v>7025</v>
      </c>
      <c r="V4" s="11">
        <v>60.0</v>
      </c>
      <c r="W4" s="11" t="s">
        <v>7026</v>
      </c>
      <c r="X4" s="11">
        <v>50.0</v>
      </c>
      <c r="Y4" s="11" t="s">
        <v>7027</v>
      </c>
      <c r="Z4" s="11">
        <v>40.0</v>
      </c>
      <c r="AA4" s="13" t="s">
        <v>7028</v>
      </c>
      <c r="AB4" s="11">
        <v>60.0</v>
      </c>
      <c r="AC4" s="11" t="s">
        <v>7029</v>
      </c>
      <c r="AD4" s="13" t="s">
        <v>6994</v>
      </c>
      <c r="AE4" s="11"/>
      <c r="AF4" s="11">
        <f>O4+Q4+S4+V4+X4+Z4+AB4</f>
        <v>340</v>
      </c>
      <c r="AG4" s="11"/>
      <c r="AH4" s="11"/>
    </row>
    <row r="5" ht="15.75" customHeight="1">
      <c r="A5" s="11">
        <v>119.0</v>
      </c>
      <c r="B5" s="12" t="s">
        <v>7030</v>
      </c>
      <c r="C5" s="11" t="s">
        <v>4344</v>
      </c>
      <c r="D5" s="11" t="s">
        <v>7031</v>
      </c>
      <c r="E5" s="11" t="s">
        <v>5488</v>
      </c>
      <c r="F5" s="11" t="s">
        <v>5489</v>
      </c>
      <c r="G5" s="11" t="s">
        <v>5490</v>
      </c>
      <c r="H5" s="11" t="s">
        <v>7019</v>
      </c>
      <c r="I5" s="11" t="s">
        <v>494</v>
      </c>
      <c r="J5" s="11">
        <v>9.711770528E9</v>
      </c>
      <c r="K5" s="11" t="s">
        <v>6982</v>
      </c>
      <c r="L5" s="11" t="s">
        <v>6983</v>
      </c>
      <c r="M5" s="11" t="s">
        <v>7032</v>
      </c>
      <c r="N5" s="11" t="s">
        <v>7033</v>
      </c>
      <c r="O5" s="11">
        <v>75.0</v>
      </c>
      <c r="P5" s="11" t="s">
        <v>7034</v>
      </c>
      <c r="Q5" s="11">
        <v>50.0</v>
      </c>
      <c r="R5" s="11" t="s">
        <v>7035</v>
      </c>
      <c r="S5" s="11">
        <v>25.0</v>
      </c>
      <c r="T5" s="11" t="s">
        <v>7036</v>
      </c>
      <c r="U5" s="11" t="s">
        <v>7037</v>
      </c>
      <c r="V5" s="11">
        <v>70.0</v>
      </c>
      <c r="W5" s="11" t="s">
        <v>7038</v>
      </c>
      <c r="X5" s="11">
        <v>50.0</v>
      </c>
      <c r="Y5" s="11" t="s">
        <v>6991</v>
      </c>
      <c r="Z5" s="11">
        <v>25.0</v>
      </c>
      <c r="AA5" s="13" t="s">
        <v>7039</v>
      </c>
      <c r="AB5" s="11">
        <v>50.0</v>
      </c>
      <c r="AC5" s="11" t="s">
        <v>7040</v>
      </c>
      <c r="AD5" s="13" t="s">
        <v>6994</v>
      </c>
      <c r="AE5" s="11">
        <v>0.0</v>
      </c>
      <c r="AF5" s="11">
        <f>O5+Q5+S5+V5+X5+Z5+AB5+AE5</f>
        <v>345</v>
      </c>
      <c r="AG5" s="11" t="s">
        <v>7041</v>
      </c>
      <c r="AH5" s="11"/>
    </row>
    <row r="6" ht="15.75" customHeight="1">
      <c r="A6" s="11">
        <v>245.0</v>
      </c>
      <c r="B6" s="12" t="s">
        <v>7042</v>
      </c>
      <c r="C6" s="11" t="s">
        <v>7043</v>
      </c>
      <c r="D6" s="11" t="s">
        <v>7044</v>
      </c>
      <c r="E6" s="16" t="s">
        <v>7045</v>
      </c>
      <c r="F6" s="16" t="s">
        <v>108</v>
      </c>
      <c r="G6" s="16" t="s">
        <v>7046</v>
      </c>
      <c r="H6" s="16" t="s">
        <v>7047</v>
      </c>
      <c r="I6" s="16"/>
      <c r="J6" s="15"/>
      <c r="K6" s="11" t="s">
        <v>6982</v>
      </c>
      <c r="L6" s="11" t="s">
        <v>6983</v>
      </c>
      <c r="M6" s="11" t="s">
        <v>7048</v>
      </c>
      <c r="N6" s="11" t="s">
        <v>7049</v>
      </c>
      <c r="O6" s="11">
        <v>50.0</v>
      </c>
      <c r="P6" s="11" t="s">
        <v>7050</v>
      </c>
      <c r="Q6" s="11">
        <v>25.0</v>
      </c>
      <c r="R6" s="11" t="s">
        <v>7051</v>
      </c>
      <c r="S6" s="11">
        <v>10.0</v>
      </c>
      <c r="T6" s="11" t="s">
        <v>7052</v>
      </c>
      <c r="U6" s="11" t="s">
        <v>7053</v>
      </c>
      <c r="V6" s="11">
        <v>25.0</v>
      </c>
      <c r="W6" s="11" t="s">
        <v>7054</v>
      </c>
      <c r="X6" s="11">
        <v>50.0</v>
      </c>
      <c r="Y6" s="11" t="s">
        <v>7055</v>
      </c>
      <c r="Z6" s="11">
        <v>25.0</v>
      </c>
      <c r="AA6" s="13" t="s">
        <v>7056</v>
      </c>
      <c r="AB6" s="11">
        <v>40.0</v>
      </c>
      <c r="AC6" s="11" t="s">
        <v>7057</v>
      </c>
      <c r="AD6" s="13" t="s">
        <v>6994</v>
      </c>
      <c r="AE6" s="11"/>
      <c r="AF6" s="11">
        <f t="shared" ref="AF6:AF7" si="1">AE6+AB6+Z6+X6+V6+S6+Q6+O6</f>
        <v>225</v>
      </c>
      <c r="AG6" s="11"/>
      <c r="AH6" s="11"/>
    </row>
    <row r="7" ht="15.75" customHeight="1">
      <c r="A7" s="11">
        <v>85.0</v>
      </c>
      <c r="B7" s="12" t="s">
        <v>7058</v>
      </c>
      <c r="C7" s="11"/>
      <c r="D7" s="11" t="s">
        <v>7059</v>
      </c>
      <c r="E7" s="11" t="s">
        <v>3389</v>
      </c>
      <c r="F7" s="11" t="s">
        <v>5180</v>
      </c>
      <c r="G7" s="11" t="s">
        <v>5002</v>
      </c>
      <c r="H7" s="11" t="s">
        <v>7019</v>
      </c>
      <c r="I7" s="11" t="s">
        <v>4015</v>
      </c>
      <c r="J7" s="11">
        <v>9.1798261722E11</v>
      </c>
      <c r="K7" s="11" t="s">
        <v>6982</v>
      </c>
      <c r="L7" s="11" t="s">
        <v>6983</v>
      </c>
      <c r="M7" s="11" t="s">
        <v>7060</v>
      </c>
      <c r="N7" s="11" t="s">
        <v>7061</v>
      </c>
      <c r="O7" s="11">
        <v>80.0</v>
      </c>
      <c r="P7" s="11" t="s">
        <v>7062</v>
      </c>
      <c r="Q7" s="11">
        <v>75.0</v>
      </c>
      <c r="R7" s="11" t="s">
        <v>7063</v>
      </c>
      <c r="S7" s="11">
        <v>80.0</v>
      </c>
      <c r="T7" s="11" t="s">
        <v>7064</v>
      </c>
      <c r="U7" s="11" t="s">
        <v>7065</v>
      </c>
      <c r="V7" s="11">
        <v>60.0</v>
      </c>
      <c r="W7" s="11" t="s">
        <v>7066</v>
      </c>
      <c r="X7" s="11">
        <v>50.0</v>
      </c>
      <c r="Y7" s="11" t="s">
        <v>6991</v>
      </c>
      <c r="Z7" s="11">
        <v>25.0</v>
      </c>
      <c r="AA7" s="13" t="s">
        <v>7067</v>
      </c>
      <c r="AB7" s="11">
        <v>20.0</v>
      </c>
      <c r="AC7" s="11" t="s">
        <v>7068</v>
      </c>
      <c r="AD7" s="13" t="s">
        <v>6994</v>
      </c>
      <c r="AE7" s="11"/>
      <c r="AF7" s="11">
        <f t="shared" si="1"/>
        <v>390</v>
      </c>
      <c r="AG7" s="11"/>
      <c r="AH7" s="11"/>
    </row>
    <row r="8" ht="15.75" customHeight="1">
      <c r="A8" s="11">
        <v>355.0</v>
      </c>
      <c r="B8" s="12" t="s">
        <v>7069</v>
      </c>
      <c r="C8" s="11" t="s">
        <v>1531</v>
      </c>
      <c r="D8" s="11" t="s">
        <v>7070</v>
      </c>
      <c r="E8" s="11" t="s">
        <v>4567</v>
      </c>
      <c r="F8" s="11" t="s">
        <v>65</v>
      </c>
      <c r="G8" s="11" t="s">
        <v>4568</v>
      </c>
      <c r="H8" s="11" t="s">
        <v>7047</v>
      </c>
      <c r="I8" s="11" t="s">
        <v>494</v>
      </c>
      <c r="J8" s="11">
        <v>7.042588277E9</v>
      </c>
      <c r="K8" s="11" t="s">
        <v>6982</v>
      </c>
      <c r="L8" s="11" t="s">
        <v>6983</v>
      </c>
      <c r="M8" s="11" t="s">
        <v>7071</v>
      </c>
      <c r="N8" s="11" t="s">
        <v>7072</v>
      </c>
      <c r="O8" s="11">
        <v>30.0</v>
      </c>
      <c r="P8" s="11" t="s">
        <v>7073</v>
      </c>
      <c r="Q8" s="11">
        <v>20.0</v>
      </c>
      <c r="R8" s="11" t="s">
        <v>7074</v>
      </c>
      <c r="S8" s="11">
        <v>20.0</v>
      </c>
      <c r="T8" s="13" t="s">
        <v>7075</v>
      </c>
      <c r="U8" s="11" t="s">
        <v>7076</v>
      </c>
      <c r="V8" s="11">
        <v>20.0</v>
      </c>
      <c r="W8" s="11" t="s">
        <v>7077</v>
      </c>
      <c r="X8" s="11">
        <v>0.0</v>
      </c>
      <c r="Y8" s="11" t="s">
        <v>6991</v>
      </c>
      <c r="Z8" s="11">
        <v>0.0</v>
      </c>
      <c r="AA8" s="11" t="s">
        <v>7078</v>
      </c>
      <c r="AB8" s="11">
        <v>0.0</v>
      </c>
      <c r="AC8" s="11" t="s">
        <v>7079</v>
      </c>
      <c r="AD8" s="13" t="s">
        <v>6994</v>
      </c>
      <c r="AE8" s="11"/>
      <c r="AF8" s="11">
        <f>O8+Q8+S8+V8+X8+Z8+AB8+AE8</f>
        <v>90</v>
      </c>
      <c r="AG8" s="11"/>
      <c r="AH8" s="11"/>
    </row>
    <row r="9" ht="15.75" customHeight="1">
      <c r="A9" s="11">
        <v>145.0</v>
      </c>
      <c r="B9" s="12" t="s">
        <v>7080</v>
      </c>
      <c r="C9" s="11" t="s">
        <v>7081</v>
      </c>
      <c r="D9" s="11" t="s">
        <v>7082</v>
      </c>
      <c r="E9" s="11" t="s">
        <v>7083</v>
      </c>
      <c r="F9" s="11" t="s">
        <v>7084</v>
      </c>
      <c r="G9" s="11" t="s">
        <v>7085</v>
      </c>
      <c r="H9" s="11" t="s">
        <v>7047</v>
      </c>
      <c r="I9" s="11"/>
      <c r="J9" s="11">
        <v>9.821348247E9</v>
      </c>
      <c r="K9" s="11" t="s">
        <v>7086</v>
      </c>
      <c r="L9" s="11" t="s">
        <v>7003</v>
      </c>
      <c r="M9" s="11" t="s">
        <v>7087</v>
      </c>
      <c r="N9" s="11" t="s">
        <v>7088</v>
      </c>
      <c r="O9" s="11">
        <v>70.0</v>
      </c>
      <c r="P9" s="11" t="s">
        <v>7089</v>
      </c>
      <c r="Q9" s="11">
        <v>75.0</v>
      </c>
      <c r="R9" s="11" t="s">
        <v>7090</v>
      </c>
      <c r="S9" s="11">
        <v>50.0</v>
      </c>
      <c r="T9" s="11" t="s">
        <v>7091</v>
      </c>
      <c r="U9" s="11" t="s">
        <v>7092</v>
      </c>
      <c r="V9" s="11">
        <v>50.0</v>
      </c>
      <c r="W9" s="11" t="s">
        <v>7093</v>
      </c>
      <c r="X9" s="11">
        <v>50.0</v>
      </c>
      <c r="Y9" s="11" t="s">
        <v>7027</v>
      </c>
      <c r="Z9" s="11">
        <v>25.0</v>
      </c>
      <c r="AA9" s="11" t="s">
        <v>7078</v>
      </c>
      <c r="AB9" s="11">
        <v>0.0</v>
      </c>
      <c r="AC9" s="11" t="s">
        <v>7094</v>
      </c>
      <c r="AD9" s="13" t="s">
        <v>6994</v>
      </c>
      <c r="AE9" s="11"/>
      <c r="AF9" s="11">
        <f>AE9+AB9+Z9+X9+V9+S9+Q9+O9</f>
        <v>320</v>
      </c>
      <c r="AG9" s="11"/>
      <c r="AH9" s="11"/>
    </row>
    <row r="10" ht="15.75" customHeight="1">
      <c r="A10" s="11">
        <v>240.0</v>
      </c>
      <c r="B10" s="12" t="s">
        <v>7095</v>
      </c>
      <c r="C10" s="11" t="s">
        <v>2140</v>
      </c>
      <c r="D10" s="11" t="s">
        <v>7096</v>
      </c>
      <c r="E10" s="11" t="s">
        <v>5044</v>
      </c>
      <c r="F10" s="11" t="s">
        <v>4613</v>
      </c>
      <c r="G10" s="11" t="s">
        <v>5045</v>
      </c>
      <c r="H10" s="11" t="s">
        <v>7097</v>
      </c>
      <c r="I10" s="11" t="s">
        <v>4015</v>
      </c>
      <c r="J10" s="11">
        <v>8.882342923E9</v>
      </c>
      <c r="K10" s="11" t="s">
        <v>6982</v>
      </c>
      <c r="L10" s="11" t="s">
        <v>6983</v>
      </c>
      <c r="M10" s="11" t="s">
        <v>7098</v>
      </c>
      <c r="N10" s="11" t="s">
        <v>7099</v>
      </c>
      <c r="O10" s="11">
        <v>50.0</v>
      </c>
      <c r="P10" s="11" t="s">
        <v>7100</v>
      </c>
      <c r="Q10" s="11">
        <v>50.0</v>
      </c>
      <c r="R10" s="11" t="s">
        <v>7101</v>
      </c>
      <c r="S10" s="11">
        <v>50.0</v>
      </c>
      <c r="T10" s="11" t="s">
        <v>7102</v>
      </c>
      <c r="U10" s="11" t="s">
        <v>7103</v>
      </c>
      <c r="V10" s="11">
        <v>40.0</v>
      </c>
      <c r="W10" s="11" t="s">
        <v>7104</v>
      </c>
      <c r="X10" s="11">
        <v>20.0</v>
      </c>
      <c r="Y10" s="11" t="s">
        <v>6991</v>
      </c>
      <c r="Z10" s="11">
        <v>20.0</v>
      </c>
      <c r="AA10" s="11" t="s">
        <v>7078</v>
      </c>
      <c r="AB10" s="11">
        <v>0.0</v>
      </c>
      <c r="AC10" s="11" t="s">
        <v>7105</v>
      </c>
      <c r="AD10" s="13" t="s">
        <v>6994</v>
      </c>
      <c r="AE10" s="11"/>
      <c r="AF10" s="11">
        <f t="shared" ref="AF10:AF11" si="2">O10+Q10+S10+V10+X10+Z10+AB10</f>
        <v>230</v>
      </c>
      <c r="AG10" s="11"/>
      <c r="AH10" s="11"/>
    </row>
    <row r="11" ht="15.75" customHeight="1">
      <c r="A11" s="11">
        <v>370.0</v>
      </c>
      <c r="B11" s="12" t="s">
        <v>7106</v>
      </c>
      <c r="C11" s="11"/>
      <c r="D11" s="11" t="s">
        <v>7107</v>
      </c>
      <c r="E11" s="11" t="s">
        <v>3787</v>
      </c>
      <c r="F11" s="11" t="s">
        <v>4718</v>
      </c>
      <c r="G11" s="11" t="s">
        <v>4719</v>
      </c>
      <c r="H11" s="11" t="s">
        <v>6981</v>
      </c>
      <c r="I11" s="11" t="s">
        <v>4720</v>
      </c>
      <c r="J11" s="11">
        <v>8.320499481E9</v>
      </c>
      <c r="K11" s="17" t="s">
        <v>6982</v>
      </c>
      <c r="L11" s="11" t="s">
        <v>6983</v>
      </c>
      <c r="M11" s="11" t="s">
        <v>7108</v>
      </c>
      <c r="N11" s="11" t="s">
        <v>7109</v>
      </c>
      <c r="O11" s="11">
        <v>0.0</v>
      </c>
      <c r="P11" s="11" t="s">
        <v>7110</v>
      </c>
      <c r="Q11" s="11">
        <v>0.0</v>
      </c>
      <c r="R11" s="11" t="s">
        <v>7111</v>
      </c>
      <c r="S11" s="11">
        <v>0.0</v>
      </c>
      <c r="T11" s="11" t="s">
        <v>7112</v>
      </c>
      <c r="U11" s="11" t="s">
        <v>7113</v>
      </c>
      <c r="V11" s="11">
        <v>0.0</v>
      </c>
      <c r="W11" s="11" t="s">
        <v>7114</v>
      </c>
      <c r="X11" s="11">
        <v>0.0</v>
      </c>
      <c r="Y11" s="11" t="s">
        <v>7055</v>
      </c>
      <c r="Z11" s="11">
        <v>0.0</v>
      </c>
      <c r="AA11" s="13" t="s">
        <v>7115</v>
      </c>
      <c r="AB11" s="11"/>
      <c r="AC11" s="11" t="s">
        <v>7116</v>
      </c>
      <c r="AD11" s="13" t="s">
        <v>6994</v>
      </c>
      <c r="AE11" s="11"/>
      <c r="AF11" s="11">
        <f t="shared" si="2"/>
        <v>0</v>
      </c>
      <c r="AG11" s="11"/>
      <c r="AH11" s="11"/>
    </row>
    <row r="12" ht="15.75" customHeight="1">
      <c r="A12" s="11">
        <v>147.0</v>
      </c>
      <c r="B12" s="12" t="s">
        <v>7117</v>
      </c>
      <c r="C12" s="11"/>
      <c r="D12" s="11" t="s">
        <v>7118</v>
      </c>
      <c r="E12" s="16" t="s">
        <v>2592</v>
      </c>
      <c r="F12" s="16" t="s">
        <v>65</v>
      </c>
      <c r="G12" s="16" t="s">
        <v>7119</v>
      </c>
      <c r="H12" s="16" t="s">
        <v>7019</v>
      </c>
      <c r="I12" s="16" t="s">
        <v>4015</v>
      </c>
      <c r="J12" s="18">
        <v>8.368101611E9</v>
      </c>
      <c r="K12" s="11"/>
      <c r="L12" s="11" t="s">
        <v>7003</v>
      </c>
      <c r="M12" s="11" t="s">
        <v>7120</v>
      </c>
      <c r="N12" s="11" t="s">
        <v>7121</v>
      </c>
      <c r="O12" s="11">
        <v>50.0</v>
      </c>
      <c r="P12" s="11" t="s">
        <v>7122</v>
      </c>
      <c r="Q12" s="11">
        <v>25.0</v>
      </c>
      <c r="R12" s="11" t="s">
        <v>7123</v>
      </c>
      <c r="S12" s="11">
        <v>50.0</v>
      </c>
      <c r="T12" s="11" t="s">
        <v>7124</v>
      </c>
      <c r="U12" s="11" t="s">
        <v>7125</v>
      </c>
      <c r="V12" s="11">
        <v>70.0</v>
      </c>
      <c r="W12" s="11" t="s">
        <v>7126</v>
      </c>
      <c r="X12" s="11">
        <v>70.0</v>
      </c>
      <c r="Y12" s="11" t="s">
        <v>7027</v>
      </c>
      <c r="Z12" s="11">
        <v>25.0</v>
      </c>
      <c r="AA12" s="13" t="s">
        <v>7127</v>
      </c>
      <c r="AB12" s="11">
        <v>25.0</v>
      </c>
      <c r="AC12" s="11" t="s">
        <v>7128</v>
      </c>
      <c r="AD12" s="13" t="s">
        <v>6994</v>
      </c>
      <c r="AE12" s="11"/>
      <c r="AF12" s="11">
        <f>AB12+Z12+X12+V12+S12+Q12+O12</f>
        <v>315</v>
      </c>
      <c r="AG12" s="11"/>
      <c r="AH12" s="11"/>
    </row>
    <row r="13" ht="15.75" customHeight="1">
      <c r="A13" s="11">
        <v>32.0</v>
      </c>
      <c r="B13" s="12" t="s">
        <v>7129</v>
      </c>
      <c r="C13" s="11"/>
      <c r="D13" s="11" t="s">
        <v>7130</v>
      </c>
      <c r="E13" s="16"/>
      <c r="F13" s="16"/>
      <c r="G13" s="16"/>
      <c r="H13" s="16"/>
      <c r="I13" s="16"/>
      <c r="J13" s="15"/>
      <c r="K13" s="11"/>
      <c r="L13" s="11" t="s">
        <v>7003</v>
      </c>
      <c r="M13" s="11" t="s">
        <v>7131</v>
      </c>
      <c r="N13" s="11" t="s">
        <v>7132</v>
      </c>
      <c r="O13" s="11">
        <v>50.0</v>
      </c>
      <c r="P13" s="11" t="s">
        <v>7133</v>
      </c>
      <c r="Q13" s="11">
        <v>70.0</v>
      </c>
      <c r="R13" s="11" t="s">
        <v>7134</v>
      </c>
      <c r="S13" s="11">
        <v>80.0</v>
      </c>
      <c r="T13" s="11" t="s">
        <v>7135</v>
      </c>
      <c r="U13" s="11" t="s">
        <v>7136</v>
      </c>
      <c r="V13" s="11">
        <v>80.0</v>
      </c>
      <c r="W13" s="11" t="s">
        <v>7137</v>
      </c>
      <c r="X13" s="11">
        <v>70.0</v>
      </c>
      <c r="Y13" s="11" t="s">
        <v>6991</v>
      </c>
      <c r="Z13" s="11">
        <v>40.0</v>
      </c>
      <c r="AA13" s="13" t="s">
        <v>7138</v>
      </c>
      <c r="AB13" s="19">
        <v>60.0</v>
      </c>
      <c r="AC13" s="11" t="s">
        <v>7139</v>
      </c>
      <c r="AD13" s="13" t="s">
        <v>6994</v>
      </c>
      <c r="AE13" s="11"/>
      <c r="AF13" s="11">
        <f t="shared" ref="AF13:AF14" si="3">O13+Q13+S13+V13+X13+Z13+AB13+AE13</f>
        <v>450</v>
      </c>
      <c r="AG13" s="20" t="s">
        <v>7140</v>
      </c>
      <c r="AH13" s="11"/>
    </row>
    <row r="14" ht="15.75" customHeight="1">
      <c r="A14" s="11">
        <v>294.0</v>
      </c>
      <c r="B14" s="12" t="s">
        <v>7141</v>
      </c>
      <c r="C14" s="11"/>
      <c r="D14" s="11" t="s">
        <v>7142</v>
      </c>
      <c r="E14" s="16" t="s">
        <v>7143</v>
      </c>
      <c r="F14" s="16" t="s">
        <v>7144</v>
      </c>
      <c r="G14" s="16" t="s">
        <v>7145</v>
      </c>
      <c r="H14" s="16" t="s">
        <v>7097</v>
      </c>
      <c r="I14" s="16" t="s">
        <v>7146</v>
      </c>
      <c r="J14" s="15"/>
      <c r="K14" s="16" t="s">
        <v>6982</v>
      </c>
      <c r="L14" s="11" t="s">
        <v>6983</v>
      </c>
      <c r="M14" s="11" t="s">
        <v>7147</v>
      </c>
      <c r="N14" s="11" t="s">
        <v>7148</v>
      </c>
      <c r="O14" s="11">
        <v>30.0</v>
      </c>
      <c r="P14" s="11" t="s">
        <v>7149</v>
      </c>
      <c r="Q14" s="11">
        <v>25.0</v>
      </c>
      <c r="R14" s="11" t="s">
        <v>7150</v>
      </c>
      <c r="S14" s="11">
        <v>25.0</v>
      </c>
      <c r="T14" s="11" t="s">
        <v>7151</v>
      </c>
      <c r="U14" s="11" t="s">
        <v>7152</v>
      </c>
      <c r="V14" s="11">
        <v>60.0</v>
      </c>
      <c r="W14" s="11" t="s">
        <v>7153</v>
      </c>
      <c r="X14" s="11">
        <v>25.0</v>
      </c>
      <c r="Y14" s="11" t="s">
        <v>6991</v>
      </c>
      <c r="Z14" s="11">
        <v>25.0</v>
      </c>
      <c r="AA14" s="11" t="s">
        <v>7078</v>
      </c>
      <c r="AB14" s="11">
        <v>0.0</v>
      </c>
      <c r="AC14" s="11" t="s">
        <v>7154</v>
      </c>
      <c r="AD14" s="13" t="s">
        <v>6994</v>
      </c>
      <c r="AE14" s="11">
        <v>0.0</v>
      </c>
      <c r="AF14" s="11">
        <f t="shared" si="3"/>
        <v>190</v>
      </c>
      <c r="AG14" s="11" t="s">
        <v>7155</v>
      </c>
      <c r="AH14" s="11"/>
    </row>
    <row r="15" ht="15.75" customHeight="1">
      <c r="A15" s="11">
        <v>121.0</v>
      </c>
      <c r="B15" s="12" t="s">
        <v>7156</v>
      </c>
      <c r="C15" s="11" t="s">
        <v>7081</v>
      </c>
      <c r="D15" s="11" t="s">
        <v>7157</v>
      </c>
      <c r="E15" s="21" t="s">
        <v>4130</v>
      </c>
      <c r="F15" s="21" t="s">
        <v>4131</v>
      </c>
      <c r="G15" s="21" t="s">
        <v>4132</v>
      </c>
      <c r="H15" s="21" t="s">
        <v>56</v>
      </c>
      <c r="I15" s="21" t="s">
        <v>434</v>
      </c>
      <c r="J15" s="22">
        <v>9.167671144E9</v>
      </c>
      <c r="K15" s="11"/>
      <c r="L15" s="11" t="s">
        <v>7003</v>
      </c>
      <c r="M15" s="11" t="s">
        <v>7158</v>
      </c>
      <c r="N15" s="11" t="s">
        <v>7159</v>
      </c>
      <c r="O15" s="11">
        <v>70.0</v>
      </c>
      <c r="P15" s="11" t="s">
        <v>7160</v>
      </c>
      <c r="Q15" s="11">
        <v>50.0</v>
      </c>
      <c r="R15" s="11" t="s">
        <v>7161</v>
      </c>
      <c r="S15" s="11">
        <v>50.0</v>
      </c>
      <c r="T15" s="11" t="s">
        <v>7162</v>
      </c>
      <c r="U15" s="11" t="s">
        <v>7163</v>
      </c>
      <c r="V15" s="11">
        <v>75.0</v>
      </c>
      <c r="W15" s="11" t="s">
        <v>7164</v>
      </c>
      <c r="X15" s="11">
        <v>50.0</v>
      </c>
      <c r="Y15" s="11" t="s">
        <v>7027</v>
      </c>
      <c r="Z15" s="13">
        <v>25.0</v>
      </c>
      <c r="AA15" s="13" t="s">
        <v>7165</v>
      </c>
      <c r="AB15" s="11">
        <v>25.0</v>
      </c>
      <c r="AC15" s="11" t="s">
        <v>7166</v>
      </c>
      <c r="AD15" s="13" t="s">
        <v>6994</v>
      </c>
      <c r="AE15" s="11"/>
      <c r="AF15" s="11">
        <f>AE15+AB15+Z15+X15+V15+S15+Q15+O15</f>
        <v>345</v>
      </c>
      <c r="AG15" s="11"/>
      <c r="AH15" s="11"/>
    </row>
    <row r="16" ht="15.75" customHeight="1">
      <c r="A16" s="11">
        <v>168.0</v>
      </c>
      <c r="B16" s="12" t="s">
        <v>7167</v>
      </c>
      <c r="C16" s="12" t="s">
        <v>7168</v>
      </c>
      <c r="D16" s="11" t="s">
        <v>7169</v>
      </c>
      <c r="E16" s="16" t="s">
        <v>7170</v>
      </c>
      <c r="F16" s="16" t="s">
        <v>6686</v>
      </c>
      <c r="G16" s="16" t="s">
        <v>4257</v>
      </c>
      <c r="H16" s="16" t="s">
        <v>7097</v>
      </c>
      <c r="I16" s="16"/>
      <c r="J16" s="16"/>
      <c r="K16" s="11" t="s">
        <v>7086</v>
      </c>
      <c r="L16" s="11" t="s">
        <v>7003</v>
      </c>
      <c r="M16" s="11" t="s">
        <v>7171</v>
      </c>
      <c r="N16" s="11" t="s">
        <v>7172</v>
      </c>
      <c r="O16" s="11">
        <v>50.0</v>
      </c>
      <c r="P16" s="11" t="s">
        <v>7173</v>
      </c>
      <c r="Q16" s="11">
        <v>50.0</v>
      </c>
      <c r="R16" s="11" t="s">
        <v>7174</v>
      </c>
      <c r="S16" s="11">
        <v>50.0</v>
      </c>
      <c r="T16" s="11" t="s">
        <v>7175</v>
      </c>
      <c r="U16" s="11" t="s">
        <v>7176</v>
      </c>
      <c r="V16" s="11">
        <v>60.0</v>
      </c>
      <c r="W16" s="11" t="s">
        <v>7177</v>
      </c>
      <c r="X16" s="11">
        <v>50.0</v>
      </c>
      <c r="Y16" s="11" t="s">
        <v>6991</v>
      </c>
      <c r="Z16" s="11">
        <v>25.0</v>
      </c>
      <c r="AA16" s="11" t="s">
        <v>7078</v>
      </c>
      <c r="AB16" s="11"/>
      <c r="AC16" s="11" t="s">
        <v>7178</v>
      </c>
      <c r="AD16" s="13" t="s">
        <v>6994</v>
      </c>
      <c r="AE16" s="11"/>
      <c r="AF16" s="11">
        <f>AB16+Z16+X16+V16+S16+Q16+O16</f>
        <v>285</v>
      </c>
      <c r="AG16" s="11" t="s">
        <v>7179</v>
      </c>
      <c r="AH16" s="11"/>
    </row>
    <row r="17" ht="15.75" customHeight="1">
      <c r="A17" s="11">
        <v>106.0</v>
      </c>
      <c r="B17" s="12" t="s">
        <v>7180</v>
      </c>
      <c r="C17" s="11" t="s">
        <v>4344</v>
      </c>
      <c r="D17" s="11" t="s">
        <v>7181</v>
      </c>
      <c r="E17" s="11" t="s">
        <v>7182</v>
      </c>
      <c r="F17" s="11" t="s">
        <v>7183</v>
      </c>
      <c r="G17" s="11" t="s">
        <v>6564</v>
      </c>
      <c r="H17" s="11" t="s">
        <v>7184</v>
      </c>
      <c r="I17" s="11" t="s">
        <v>6565</v>
      </c>
      <c r="J17" s="11" t="s">
        <v>7185</v>
      </c>
      <c r="K17" s="11" t="s">
        <v>6982</v>
      </c>
      <c r="L17" s="11" t="s">
        <v>7003</v>
      </c>
      <c r="M17" s="11" t="s">
        <v>7186</v>
      </c>
      <c r="N17" s="11" t="s">
        <v>7187</v>
      </c>
      <c r="O17" s="11">
        <v>60.0</v>
      </c>
      <c r="P17" s="11" t="s">
        <v>7188</v>
      </c>
      <c r="Q17" s="11">
        <v>50.0</v>
      </c>
      <c r="R17" s="11" t="s">
        <v>7189</v>
      </c>
      <c r="S17" s="11">
        <v>40.0</v>
      </c>
      <c r="T17" s="11" t="s">
        <v>7190</v>
      </c>
      <c r="U17" s="11" t="s">
        <v>7191</v>
      </c>
      <c r="V17" s="11">
        <v>75.0</v>
      </c>
      <c r="W17" s="11" t="s">
        <v>7192</v>
      </c>
      <c r="X17" s="11">
        <v>65.0</v>
      </c>
      <c r="Y17" s="11" t="s">
        <v>7193</v>
      </c>
      <c r="Z17" s="11">
        <v>25.0</v>
      </c>
      <c r="AA17" s="13" t="s">
        <v>7194</v>
      </c>
      <c r="AB17" s="11">
        <v>50.0</v>
      </c>
      <c r="AC17" s="11" t="s">
        <v>7195</v>
      </c>
      <c r="AD17" s="13" t="s">
        <v>6994</v>
      </c>
      <c r="AE17" s="11">
        <v>0.0</v>
      </c>
      <c r="AF17" s="11">
        <f t="shared" ref="AF17:AF19" si="4">O17+Q17+S17+V17+X17+Z17+AB17+AE17</f>
        <v>365</v>
      </c>
      <c r="AG17" s="11" t="s">
        <v>7196</v>
      </c>
      <c r="AH17" s="11"/>
    </row>
    <row r="18" ht="15.75" customHeight="1">
      <c r="A18" s="11">
        <v>228.0</v>
      </c>
      <c r="B18" s="12" t="s">
        <v>7197</v>
      </c>
      <c r="C18" s="11" t="s">
        <v>4344</v>
      </c>
      <c r="D18" s="11" t="s">
        <v>7198</v>
      </c>
      <c r="E18" s="11" t="s">
        <v>7199</v>
      </c>
      <c r="F18" s="11" t="s">
        <v>7200</v>
      </c>
      <c r="G18" s="11" t="s">
        <v>7201</v>
      </c>
      <c r="H18" s="11" t="s">
        <v>7047</v>
      </c>
      <c r="I18" s="11"/>
      <c r="J18" s="11"/>
      <c r="K18" s="15" t="s">
        <v>7086</v>
      </c>
      <c r="L18" s="11" t="s">
        <v>7003</v>
      </c>
      <c r="M18" s="11" t="s">
        <v>7202</v>
      </c>
      <c r="N18" s="11" t="s">
        <v>7203</v>
      </c>
      <c r="O18" s="11">
        <v>50.0</v>
      </c>
      <c r="P18" s="11" t="s">
        <v>7204</v>
      </c>
      <c r="Q18" s="11">
        <v>25.0</v>
      </c>
      <c r="R18" s="11" t="s">
        <v>7205</v>
      </c>
      <c r="S18" s="11">
        <v>25.0</v>
      </c>
      <c r="T18" s="11" t="s">
        <v>7206</v>
      </c>
      <c r="U18" s="11" t="s">
        <v>7207</v>
      </c>
      <c r="V18" s="11">
        <v>50.0</v>
      </c>
      <c r="W18" s="11" t="s">
        <v>7208</v>
      </c>
      <c r="X18" s="11">
        <v>60.0</v>
      </c>
      <c r="Y18" s="11" t="s">
        <v>6991</v>
      </c>
      <c r="Z18" s="11">
        <v>25.0</v>
      </c>
      <c r="AA18" s="11" t="s">
        <v>7078</v>
      </c>
      <c r="AB18" s="11">
        <v>0.0</v>
      </c>
      <c r="AC18" s="11" t="s">
        <v>7209</v>
      </c>
      <c r="AD18" s="13" t="s">
        <v>6994</v>
      </c>
      <c r="AE18" s="11">
        <v>0.0</v>
      </c>
      <c r="AF18" s="11">
        <f t="shared" si="4"/>
        <v>235</v>
      </c>
      <c r="AG18" s="11" t="s">
        <v>7210</v>
      </c>
      <c r="AH18" s="11"/>
    </row>
    <row r="19" ht="15.75" customHeight="1">
      <c r="A19" s="11">
        <v>125.0</v>
      </c>
      <c r="B19" s="12" t="s">
        <v>7211</v>
      </c>
      <c r="C19" s="11" t="s">
        <v>4344</v>
      </c>
      <c r="D19" s="11" t="s">
        <v>7212</v>
      </c>
      <c r="E19" s="11" t="s">
        <v>411</v>
      </c>
      <c r="F19" s="11" t="s">
        <v>6494</v>
      </c>
      <c r="G19" s="11" t="s">
        <v>6495</v>
      </c>
      <c r="H19" s="11" t="s">
        <v>7184</v>
      </c>
      <c r="I19" s="11" t="s">
        <v>5380</v>
      </c>
      <c r="J19" s="11">
        <v>7.717776769E9</v>
      </c>
      <c r="K19" s="11" t="s">
        <v>6982</v>
      </c>
      <c r="L19" s="11" t="s">
        <v>6983</v>
      </c>
      <c r="M19" s="11" t="s">
        <v>7213</v>
      </c>
      <c r="N19" s="11" t="s">
        <v>7214</v>
      </c>
      <c r="O19" s="11">
        <v>50.0</v>
      </c>
      <c r="P19" s="11" t="s">
        <v>7215</v>
      </c>
      <c r="Q19" s="11">
        <v>35.0</v>
      </c>
      <c r="R19" s="11" t="s">
        <v>7216</v>
      </c>
      <c r="S19" s="11">
        <v>25.0</v>
      </c>
      <c r="T19" s="11" t="s">
        <v>7217</v>
      </c>
      <c r="U19" s="11" t="s">
        <v>7218</v>
      </c>
      <c r="V19" s="11">
        <v>75.0</v>
      </c>
      <c r="W19" s="11" t="s">
        <v>7219</v>
      </c>
      <c r="X19" s="11">
        <v>60.0</v>
      </c>
      <c r="Y19" s="11" t="s">
        <v>7027</v>
      </c>
      <c r="Z19" s="11">
        <v>25.0</v>
      </c>
      <c r="AA19" s="13" t="s">
        <v>7220</v>
      </c>
      <c r="AB19" s="11">
        <v>70.0</v>
      </c>
      <c r="AC19" s="11" t="s">
        <v>7221</v>
      </c>
      <c r="AD19" s="13" t="s">
        <v>6994</v>
      </c>
      <c r="AE19" s="11">
        <v>0.0</v>
      </c>
      <c r="AF19" s="11">
        <f t="shared" si="4"/>
        <v>340</v>
      </c>
      <c r="AG19" s="11" t="s">
        <v>7222</v>
      </c>
      <c r="AH19" s="11"/>
    </row>
    <row r="20" ht="15.75" customHeight="1">
      <c r="A20" s="11">
        <v>233.0</v>
      </c>
      <c r="B20" s="12" t="s">
        <v>7223</v>
      </c>
      <c r="C20" s="11"/>
      <c r="D20" s="11" t="s">
        <v>7224</v>
      </c>
      <c r="E20" s="11" t="s">
        <v>7225</v>
      </c>
      <c r="F20" s="11" t="s">
        <v>7226</v>
      </c>
      <c r="G20" s="11" t="s">
        <v>4700</v>
      </c>
      <c r="H20" s="11"/>
      <c r="I20" s="11"/>
      <c r="J20" s="23">
        <v>9.654731261E9</v>
      </c>
      <c r="K20" s="11"/>
      <c r="L20" s="11" t="s">
        <v>7003</v>
      </c>
      <c r="M20" s="11" t="s">
        <v>7227</v>
      </c>
      <c r="N20" s="11" t="s">
        <v>7228</v>
      </c>
      <c r="O20" s="11">
        <v>50.0</v>
      </c>
      <c r="P20" s="11" t="s">
        <v>7229</v>
      </c>
      <c r="Q20" s="11">
        <v>60.0</v>
      </c>
      <c r="R20" s="11" t="s">
        <v>7230</v>
      </c>
      <c r="S20" s="11">
        <v>70.0</v>
      </c>
      <c r="T20" s="11" t="s">
        <v>7231</v>
      </c>
      <c r="U20" s="11" t="s">
        <v>7232</v>
      </c>
      <c r="V20" s="11">
        <v>0.0</v>
      </c>
      <c r="W20" s="11" t="s">
        <v>7233</v>
      </c>
      <c r="X20" s="11">
        <v>0.0</v>
      </c>
      <c r="Y20" s="11" t="s">
        <v>7027</v>
      </c>
      <c r="Z20" s="11">
        <v>25.0</v>
      </c>
      <c r="AA20" s="13" t="s">
        <v>7234</v>
      </c>
      <c r="AB20" s="11">
        <v>25.0</v>
      </c>
      <c r="AC20" s="11" t="s">
        <v>7235</v>
      </c>
      <c r="AD20" s="13" t="s">
        <v>6994</v>
      </c>
      <c r="AE20" s="11"/>
      <c r="AF20" s="11">
        <f t="shared" ref="AF20:AF21" si="5">AB20+Z20+X20+V20+S20+Q20+O20</f>
        <v>230</v>
      </c>
      <c r="AG20" s="11" t="s">
        <v>7236</v>
      </c>
      <c r="AH20" s="11"/>
    </row>
    <row r="21" ht="15.75" customHeight="1">
      <c r="A21" s="11">
        <v>201.0</v>
      </c>
      <c r="B21" s="12" t="s">
        <v>7237</v>
      </c>
      <c r="C21" s="12" t="s">
        <v>7168</v>
      </c>
      <c r="D21" s="11" t="s">
        <v>7238</v>
      </c>
      <c r="E21" s="11" t="s">
        <v>7239</v>
      </c>
      <c r="F21" s="11" t="s">
        <v>7240</v>
      </c>
      <c r="G21" s="11" t="s">
        <v>4700</v>
      </c>
      <c r="H21" s="11" t="s">
        <v>7241</v>
      </c>
      <c r="I21" s="11" t="s">
        <v>4015</v>
      </c>
      <c r="J21" s="24" t="s">
        <v>7242</v>
      </c>
      <c r="K21" s="11"/>
      <c r="L21" s="11" t="s">
        <v>7003</v>
      </c>
      <c r="M21" s="11" t="s">
        <v>7243</v>
      </c>
      <c r="N21" s="11" t="s">
        <v>7244</v>
      </c>
      <c r="O21" s="11">
        <v>25.0</v>
      </c>
      <c r="P21" s="11" t="s">
        <v>7245</v>
      </c>
      <c r="Q21" s="11">
        <v>50.0</v>
      </c>
      <c r="R21" s="11" t="s">
        <v>7246</v>
      </c>
      <c r="S21" s="11">
        <v>50.0</v>
      </c>
      <c r="T21" s="11" t="s">
        <v>7247</v>
      </c>
      <c r="U21" s="11" t="s">
        <v>7248</v>
      </c>
      <c r="V21" s="11">
        <v>50.0</v>
      </c>
      <c r="W21" s="11" t="s">
        <v>7249</v>
      </c>
      <c r="X21" s="11">
        <v>25.0</v>
      </c>
      <c r="Y21" s="11" t="s">
        <v>6991</v>
      </c>
      <c r="Z21" s="11">
        <v>25.0</v>
      </c>
      <c r="AA21" s="13" t="s">
        <v>7250</v>
      </c>
      <c r="AB21" s="11">
        <v>25.0</v>
      </c>
      <c r="AC21" s="11" t="s">
        <v>7251</v>
      </c>
      <c r="AD21" s="13" t="s">
        <v>6994</v>
      </c>
      <c r="AE21" s="11"/>
      <c r="AF21" s="11">
        <f t="shared" si="5"/>
        <v>250</v>
      </c>
      <c r="AG21" s="11"/>
      <c r="AH21" s="11"/>
    </row>
    <row r="22" ht="15.75" customHeight="1">
      <c r="A22" s="11">
        <v>1.0</v>
      </c>
      <c r="B22" s="12" t="s">
        <v>7252</v>
      </c>
      <c r="C22" s="11"/>
      <c r="D22" s="11" t="s">
        <v>7253</v>
      </c>
      <c r="E22" s="11" t="s">
        <v>5705</v>
      </c>
      <c r="F22" s="11" t="s">
        <v>5706</v>
      </c>
      <c r="G22" s="11" t="s">
        <v>5707</v>
      </c>
      <c r="H22" s="11" t="s">
        <v>7001</v>
      </c>
      <c r="I22" s="11" t="s">
        <v>5708</v>
      </c>
      <c r="J22" s="11">
        <v>7.001569636E9</v>
      </c>
      <c r="K22" s="11" t="s">
        <v>6982</v>
      </c>
      <c r="L22" s="11" t="s">
        <v>6983</v>
      </c>
      <c r="M22" s="11" t="s">
        <v>7254</v>
      </c>
      <c r="N22" s="11" t="s">
        <v>7255</v>
      </c>
      <c r="O22" s="11"/>
      <c r="P22" s="11" t="s">
        <v>7256</v>
      </c>
      <c r="Q22" s="11"/>
      <c r="R22" s="11" t="s">
        <v>7257</v>
      </c>
      <c r="S22" s="11"/>
      <c r="T22" s="11" t="s">
        <v>7258</v>
      </c>
      <c r="U22" s="11" t="s">
        <v>7259</v>
      </c>
      <c r="V22" s="11"/>
      <c r="W22" s="11" t="s">
        <v>7260</v>
      </c>
      <c r="X22" s="11"/>
      <c r="Y22" s="11" t="s">
        <v>6991</v>
      </c>
      <c r="Z22" s="11"/>
      <c r="AA22" s="11" t="s">
        <v>7078</v>
      </c>
      <c r="AB22" s="11"/>
      <c r="AC22" s="11" t="s">
        <v>7261</v>
      </c>
      <c r="AD22" s="13" t="s">
        <v>6994</v>
      </c>
      <c r="AE22" s="21"/>
      <c r="AF22" s="11">
        <f>O22+Q22+S22+V22+X22+Z22+AB22+AE22</f>
        <v>0</v>
      </c>
      <c r="AG22" s="11"/>
      <c r="AH22" s="11" t="s">
        <v>7262</v>
      </c>
    </row>
    <row r="23" ht="15.75" customHeight="1">
      <c r="A23" s="11">
        <v>66.0</v>
      </c>
      <c r="B23" s="12" t="s">
        <v>7263</v>
      </c>
      <c r="C23" s="11" t="s">
        <v>7168</v>
      </c>
      <c r="D23" s="11" t="s">
        <v>7264</v>
      </c>
      <c r="E23" s="11" t="s">
        <v>4701</v>
      </c>
      <c r="F23" s="11" t="s">
        <v>4702</v>
      </c>
      <c r="G23" s="11" t="s">
        <v>4703</v>
      </c>
      <c r="H23" s="11" t="s">
        <v>7047</v>
      </c>
      <c r="I23" s="11" t="s">
        <v>4704</v>
      </c>
      <c r="J23" s="11">
        <v>9.811888432E9</v>
      </c>
      <c r="K23" s="11" t="s">
        <v>6982</v>
      </c>
      <c r="L23" s="11" t="s">
        <v>6983</v>
      </c>
      <c r="M23" s="11" t="s">
        <v>7265</v>
      </c>
      <c r="N23" s="11" t="s">
        <v>7266</v>
      </c>
      <c r="O23" s="11">
        <v>70.0</v>
      </c>
      <c r="P23" s="11" t="s">
        <v>7267</v>
      </c>
      <c r="Q23" s="11">
        <v>50.0</v>
      </c>
      <c r="R23" s="11" t="s">
        <v>7268</v>
      </c>
      <c r="S23" s="11">
        <v>75.0</v>
      </c>
      <c r="T23" s="11" t="s">
        <v>7269</v>
      </c>
      <c r="U23" s="11" t="s">
        <v>7270</v>
      </c>
      <c r="V23" s="11">
        <v>70.0</v>
      </c>
      <c r="W23" s="11" t="s">
        <v>7271</v>
      </c>
      <c r="X23" s="11">
        <v>50.0</v>
      </c>
      <c r="Y23" s="11" t="s">
        <v>6991</v>
      </c>
      <c r="Z23" s="11">
        <v>50.0</v>
      </c>
      <c r="AA23" s="11" t="s">
        <v>7078</v>
      </c>
      <c r="AB23" s="11">
        <v>50.0</v>
      </c>
      <c r="AC23" s="11" t="s">
        <v>7272</v>
      </c>
      <c r="AD23" s="13" t="s">
        <v>6994</v>
      </c>
      <c r="AE23" s="11"/>
      <c r="AF23" s="11">
        <f>AB23+Z23+X23+V23+S23+Q23+O23</f>
        <v>415</v>
      </c>
      <c r="AG23" s="11"/>
      <c r="AH23" s="11"/>
    </row>
    <row r="24" ht="15.75" customHeight="1">
      <c r="A24" s="11">
        <v>269.0</v>
      </c>
      <c r="B24" s="12" t="s">
        <v>7273</v>
      </c>
      <c r="C24" s="12" t="s">
        <v>4344</v>
      </c>
      <c r="D24" s="15" t="s">
        <v>7274</v>
      </c>
      <c r="E24" s="16"/>
      <c r="F24" s="16"/>
      <c r="G24" s="16"/>
      <c r="H24" s="16"/>
      <c r="I24" s="16"/>
      <c r="J24" s="16"/>
      <c r="K24" s="11"/>
      <c r="L24" s="11" t="s">
        <v>6983</v>
      </c>
      <c r="M24" s="11" t="s">
        <v>7275</v>
      </c>
      <c r="N24" s="11" t="s">
        <v>7276</v>
      </c>
      <c r="O24" s="11">
        <v>40.0</v>
      </c>
      <c r="P24" s="11" t="s">
        <v>7277</v>
      </c>
      <c r="Q24" s="11">
        <v>40.0</v>
      </c>
      <c r="R24" s="11" t="s">
        <v>7277</v>
      </c>
      <c r="S24" s="11">
        <v>20.0</v>
      </c>
      <c r="T24" s="11" t="s">
        <v>7278</v>
      </c>
      <c r="U24" s="11" t="s">
        <v>7279</v>
      </c>
      <c r="V24" s="11">
        <v>50.0</v>
      </c>
      <c r="W24" s="11" t="s">
        <v>7280</v>
      </c>
      <c r="X24" s="11">
        <v>25.0</v>
      </c>
      <c r="Y24" s="11" t="s">
        <v>6991</v>
      </c>
      <c r="Z24" s="11">
        <v>25.0</v>
      </c>
      <c r="AA24" s="11" t="s">
        <v>7078</v>
      </c>
      <c r="AB24" s="11">
        <v>0.0</v>
      </c>
      <c r="AC24" s="11" t="s">
        <v>7281</v>
      </c>
      <c r="AD24" s="13" t="s">
        <v>7282</v>
      </c>
      <c r="AE24" s="11">
        <v>0.0</v>
      </c>
      <c r="AF24" s="11">
        <f t="shared" ref="AF24:AF25" si="6">O24+Q24+S24+V24+X24+Z24+AB24+AE24</f>
        <v>200</v>
      </c>
      <c r="AG24" s="11" t="s">
        <v>7283</v>
      </c>
      <c r="AH24" s="11"/>
    </row>
    <row r="25" ht="15.75" customHeight="1">
      <c r="A25" s="11">
        <v>8.0</v>
      </c>
      <c r="B25" s="12" t="s">
        <v>7284</v>
      </c>
      <c r="C25" s="11" t="s">
        <v>4344</v>
      </c>
      <c r="D25" s="11" t="s">
        <v>7285</v>
      </c>
      <c r="E25" s="16" t="s">
        <v>4608</v>
      </c>
      <c r="F25" s="16" t="s">
        <v>108</v>
      </c>
      <c r="G25" s="18" t="s">
        <v>6014</v>
      </c>
      <c r="H25" s="16" t="s">
        <v>7097</v>
      </c>
      <c r="I25" s="16" t="s">
        <v>434</v>
      </c>
      <c r="J25" s="18" t="s">
        <v>7286</v>
      </c>
      <c r="K25" s="11"/>
      <c r="L25" s="11" t="s">
        <v>7003</v>
      </c>
      <c r="M25" s="11" t="s">
        <v>7287</v>
      </c>
      <c r="N25" s="11" t="s">
        <v>7288</v>
      </c>
      <c r="O25" s="11">
        <v>85.0</v>
      </c>
      <c r="P25" s="11" t="s">
        <v>7289</v>
      </c>
      <c r="Q25" s="11">
        <v>85.0</v>
      </c>
      <c r="R25" s="11" t="s">
        <v>7290</v>
      </c>
      <c r="S25" s="11">
        <v>75.0</v>
      </c>
      <c r="T25" s="11" t="s">
        <v>7291</v>
      </c>
      <c r="U25" s="11" t="s">
        <v>7292</v>
      </c>
      <c r="V25" s="11">
        <v>90.0</v>
      </c>
      <c r="W25" s="11" t="s">
        <v>7293</v>
      </c>
      <c r="X25" s="11">
        <v>90.0</v>
      </c>
      <c r="Y25" s="11" t="s">
        <v>6991</v>
      </c>
      <c r="Z25" s="11">
        <v>50.0</v>
      </c>
      <c r="AA25" s="13" t="s">
        <v>7294</v>
      </c>
      <c r="AB25" s="11">
        <v>90.0</v>
      </c>
      <c r="AC25" s="11" t="s">
        <v>7295</v>
      </c>
      <c r="AD25" s="13" t="s">
        <v>6994</v>
      </c>
      <c r="AE25" s="11">
        <v>0.0</v>
      </c>
      <c r="AF25" s="11">
        <f t="shared" si="6"/>
        <v>565</v>
      </c>
      <c r="AG25" s="11" t="s">
        <v>7296</v>
      </c>
      <c r="AH25" s="11"/>
    </row>
    <row r="26" ht="15.75" customHeight="1">
      <c r="A26" s="11">
        <v>339.0</v>
      </c>
      <c r="B26" s="12" t="s">
        <v>7297</v>
      </c>
      <c r="C26" s="11"/>
      <c r="D26" s="11" t="s">
        <v>7298</v>
      </c>
      <c r="E26" s="16" t="s">
        <v>7299</v>
      </c>
      <c r="F26" s="16" t="s">
        <v>5227</v>
      </c>
      <c r="G26" s="16"/>
      <c r="H26" s="16"/>
      <c r="I26" s="16"/>
      <c r="J26" s="16"/>
      <c r="K26" s="11"/>
      <c r="L26" s="11" t="s">
        <v>7003</v>
      </c>
      <c r="M26" s="11" t="s">
        <v>7300</v>
      </c>
      <c r="N26" s="11" t="s">
        <v>7301</v>
      </c>
      <c r="O26" s="11">
        <v>20.0</v>
      </c>
      <c r="P26" s="11" t="s">
        <v>7302</v>
      </c>
      <c r="Q26" s="11">
        <v>20.0</v>
      </c>
      <c r="R26" s="11" t="s">
        <v>7303</v>
      </c>
      <c r="S26" s="11">
        <v>50.0</v>
      </c>
      <c r="T26" s="11" t="s">
        <v>7304</v>
      </c>
      <c r="U26" s="11" t="s">
        <v>7305</v>
      </c>
      <c r="V26" s="11">
        <v>0.0</v>
      </c>
      <c r="W26" s="11" t="s">
        <v>7306</v>
      </c>
      <c r="X26" s="11">
        <v>0.0</v>
      </c>
      <c r="Y26" s="11" t="s">
        <v>6991</v>
      </c>
      <c r="Z26" s="11">
        <v>25.0</v>
      </c>
      <c r="AA26" s="11" t="s">
        <v>7078</v>
      </c>
      <c r="AB26" s="11">
        <v>0.0</v>
      </c>
      <c r="AC26" s="11" t="s">
        <v>7307</v>
      </c>
      <c r="AD26" s="13" t="s">
        <v>6994</v>
      </c>
      <c r="AE26" s="11"/>
      <c r="AF26" s="11">
        <f>AB26+Z26+X26+V26+S26+Q26+O26</f>
        <v>115</v>
      </c>
      <c r="AG26" s="11"/>
      <c r="AH26" s="11"/>
    </row>
    <row r="27" ht="15.75" customHeight="1">
      <c r="A27" s="11">
        <v>22.0</v>
      </c>
      <c r="B27" s="12" t="s">
        <v>7308</v>
      </c>
      <c r="C27" s="11"/>
      <c r="D27" s="11" t="s">
        <v>7309</v>
      </c>
      <c r="E27" s="11" t="s">
        <v>4593</v>
      </c>
      <c r="F27" s="11" t="s">
        <v>3078</v>
      </c>
      <c r="G27" s="11" t="s">
        <v>4594</v>
      </c>
      <c r="H27" s="11" t="s">
        <v>7019</v>
      </c>
      <c r="I27" s="11" t="s">
        <v>4595</v>
      </c>
      <c r="J27" s="11">
        <v>8.073362951E9</v>
      </c>
      <c r="K27" s="11" t="s">
        <v>6982</v>
      </c>
      <c r="L27" s="11" t="s">
        <v>6983</v>
      </c>
      <c r="M27" s="11" t="s">
        <v>7310</v>
      </c>
      <c r="N27" s="11" t="s">
        <v>7311</v>
      </c>
      <c r="O27" s="11">
        <v>60.0</v>
      </c>
      <c r="P27" s="11" t="s">
        <v>7312</v>
      </c>
      <c r="Q27" s="11">
        <v>70.0</v>
      </c>
      <c r="R27" s="11" t="s">
        <v>7313</v>
      </c>
      <c r="S27" s="11">
        <v>70.0</v>
      </c>
      <c r="T27" s="11" t="s">
        <v>7314</v>
      </c>
      <c r="U27" s="11" t="s">
        <v>7315</v>
      </c>
      <c r="V27" s="11">
        <v>80.0</v>
      </c>
      <c r="W27" s="11" t="s">
        <v>7316</v>
      </c>
      <c r="X27" s="11">
        <v>80.0</v>
      </c>
      <c r="Y27" s="11" t="s">
        <v>6991</v>
      </c>
      <c r="Z27" s="11">
        <v>40.0</v>
      </c>
      <c r="AA27" s="13" t="s">
        <v>7317</v>
      </c>
      <c r="AB27" s="19">
        <v>80.0</v>
      </c>
      <c r="AC27" s="11" t="s">
        <v>7318</v>
      </c>
      <c r="AD27" s="13" t="s">
        <v>6994</v>
      </c>
      <c r="AE27" s="11"/>
      <c r="AF27" s="11">
        <f>AE27+AB27+Z27+X27+V27+S27+Q27+O27</f>
        <v>480</v>
      </c>
      <c r="AG27" s="11"/>
      <c r="AH27" s="11"/>
    </row>
    <row r="28" ht="15.75" customHeight="1">
      <c r="A28" s="11">
        <v>194.0</v>
      </c>
      <c r="B28" s="12" t="s">
        <v>7319</v>
      </c>
      <c r="C28" s="11" t="s">
        <v>1531</v>
      </c>
      <c r="D28" s="11" t="s">
        <v>7320</v>
      </c>
      <c r="E28" s="11" t="s">
        <v>4593</v>
      </c>
      <c r="F28" s="11" t="s">
        <v>4986</v>
      </c>
      <c r="G28" s="11" t="s">
        <v>4700</v>
      </c>
      <c r="H28" s="11" t="s">
        <v>7019</v>
      </c>
      <c r="I28" s="11" t="s">
        <v>2025</v>
      </c>
      <c r="J28" s="18">
        <v>9.811037805E9</v>
      </c>
      <c r="K28" s="11"/>
      <c r="L28" s="11" t="s">
        <v>6983</v>
      </c>
      <c r="M28" s="11" t="s">
        <v>7321</v>
      </c>
      <c r="N28" s="11" t="s">
        <v>7322</v>
      </c>
      <c r="O28" s="11">
        <v>60.0</v>
      </c>
      <c r="P28" s="11" t="s">
        <v>7323</v>
      </c>
      <c r="Q28" s="11">
        <v>20.0</v>
      </c>
      <c r="R28" s="11" t="s">
        <v>7324</v>
      </c>
      <c r="S28" s="11">
        <v>40.0</v>
      </c>
      <c r="T28" s="11" t="s">
        <v>7325</v>
      </c>
      <c r="U28" s="11" t="s">
        <v>7326</v>
      </c>
      <c r="V28" s="11">
        <v>40.0</v>
      </c>
      <c r="W28" s="11" t="s">
        <v>7327</v>
      </c>
      <c r="X28" s="11">
        <v>30.0</v>
      </c>
      <c r="Y28" s="11" t="s">
        <v>6991</v>
      </c>
      <c r="Z28" s="11">
        <v>40.0</v>
      </c>
      <c r="AA28" s="13" t="s">
        <v>7328</v>
      </c>
      <c r="AB28" s="11">
        <v>30.0</v>
      </c>
      <c r="AC28" s="11" t="s">
        <v>7329</v>
      </c>
      <c r="AD28" s="13" t="s">
        <v>6994</v>
      </c>
      <c r="AE28" s="11"/>
      <c r="AF28" s="11">
        <f>O28+Q28+S28+V28+X28+Z28+AB28+AE28</f>
        <v>260</v>
      </c>
      <c r="AG28" s="11"/>
      <c r="AH28" s="11"/>
    </row>
    <row r="29" ht="15.75" customHeight="1">
      <c r="A29" s="11">
        <v>258.0</v>
      </c>
      <c r="B29" s="12" t="s">
        <v>7330</v>
      </c>
      <c r="C29" s="12" t="s">
        <v>7168</v>
      </c>
      <c r="D29" s="11" t="s">
        <v>7331</v>
      </c>
      <c r="E29" s="11" t="s">
        <v>5476</v>
      </c>
      <c r="F29" s="11" t="s">
        <v>5960</v>
      </c>
      <c r="G29" s="11" t="s">
        <v>5961</v>
      </c>
      <c r="H29" s="11" t="s">
        <v>7097</v>
      </c>
      <c r="I29" s="11" t="s">
        <v>4276</v>
      </c>
      <c r="J29" s="11">
        <v>9.000234056E9</v>
      </c>
      <c r="K29" s="11" t="s">
        <v>6982</v>
      </c>
      <c r="L29" s="11" t="s">
        <v>6983</v>
      </c>
      <c r="M29" s="11" t="s">
        <v>7332</v>
      </c>
      <c r="N29" s="11" t="s">
        <v>7333</v>
      </c>
      <c r="O29" s="11">
        <v>50.0</v>
      </c>
      <c r="P29" s="11" t="s">
        <v>7334</v>
      </c>
      <c r="Q29" s="11">
        <v>25.0</v>
      </c>
      <c r="R29" s="11" t="s">
        <v>7335</v>
      </c>
      <c r="S29" s="11">
        <v>20.0</v>
      </c>
      <c r="T29" s="11" t="s">
        <v>7336</v>
      </c>
      <c r="U29" s="11" t="s">
        <v>7337</v>
      </c>
      <c r="V29" s="11">
        <v>40.0</v>
      </c>
      <c r="W29" s="11" t="s">
        <v>7338</v>
      </c>
      <c r="X29" s="11">
        <v>50.0</v>
      </c>
      <c r="Y29" s="11" t="s">
        <v>6991</v>
      </c>
      <c r="Z29" s="11">
        <v>25.0</v>
      </c>
      <c r="AA29" s="11" t="s">
        <v>7078</v>
      </c>
      <c r="AB29" s="11">
        <v>0.0</v>
      </c>
      <c r="AC29" s="11" t="s">
        <v>7339</v>
      </c>
      <c r="AD29" s="13" t="s">
        <v>6994</v>
      </c>
      <c r="AE29" s="11"/>
      <c r="AF29" s="11">
        <f t="shared" ref="AF29:AF30" si="7">AB29+Z29+X29+V29+S29+Q29+O29</f>
        <v>210</v>
      </c>
      <c r="AG29" s="11"/>
      <c r="AH29" s="11"/>
    </row>
    <row r="30" ht="15.75" customHeight="1">
      <c r="A30" s="11">
        <v>45.0</v>
      </c>
      <c r="B30" s="12" t="s">
        <v>7340</v>
      </c>
      <c r="C30" s="11" t="s">
        <v>7168</v>
      </c>
      <c r="D30" s="11" t="s">
        <v>7341</v>
      </c>
      <c r="E30" s="11" t="s">
        <v>1862</v>
      </c>
      <c r="F30" s="11" t="s">
        <v>6729</v>
      </c>
      <c r="G30" s="11" t="s">
        <v>6730</v>
      </c>
      <c r="H30" s="11" t="s">
        <v>7001</v>
      </c>
      <c r="I30" s="11" t="s">
        <v>4571</v>
      </c>
      <c r="J30" s="11">
        <v>9.511536301E9</v>
      </c>
      <c r="K30" s="11" t="s">
        <v>6982</v>
      </c>
      <c r="L30" s="11" t="s">
        <v>6983</v>
      </c>
      <c r="M30" s="11" t="s">
        <v>7342</v>
      </c>
      <c r="N30" s="11" t="s">
        <v>7343</v>
      </c>
      <c r="O30" s="11">
        <v>60.0</v>
      </c>
      <c r="P30" s="11" t="s">
        <v>7344</v>
      </c>
      <c r="Q30" s="11">
        <v>50.0</v>
      </c>
      <c r="R30" s="11" t="s">
        <v>7345</v>
      </c>
      <c r="S30" s="11">
        <v>75.0</v>
      </c>
      <c r="T30" s="11" t="s">
        <v>7346</v>
      </c>
      <c r="U30" s="11" t="s">
        <v>7347</v>
      </c>
      <c r="V30" s="11">
        <v>80.0</v>
      </c>
      <c r="W30" s="11" t="s">
        <v>7348</v>
      </c>
      <c r="X30" s="11">
        <v>75.0</v>
      </c>
      <c r="Y30" s="11" t="s">
        <v>7027</v>
      </c>
      <c r="Z30" s="11">
        <v>50.0</v>
      </c>
      <c r="AA30" s="13" t="s">
        <v>7349</v>
      </c>
      <c r="AB30" s="11">
        <v>50.0</v>
      </c>
      <c r="AC30" s="11" t="s">
        <v>7350</v>
      </c>
      <c r="AD30" s="13" t="s">
        <v>6994</v>
      </c>
      <c r="AE30" s="11"/>
      <c r="AF30" s="11">
        <f t="shared" si="7"/>
        <v>440</v>
      </c>
      <c r="AG30" s="11" t="s">
        <v>7351</v>
      </c>
      <c r="AH30" s="11"/>
    </row>
    <row r="31" ht="15.75" customHeight="1">
      <c r="A31" s="11">
        <v>2.0</v>
      </c>
      <c r="B31" s="12" t="s">
        <v>7352</v>
      </c>
      <c r="C31" s="11"/>
      <c r="D31" s="11" t="s">
        <v>7353</v>
      </c>
      <c r="E31" s="11" t="s">
        <v>3653</v>
      </c>
      <c r="F31" s="11" t="s">
        <v>108</v>
      </c>
      <c r="G31" s="11" t="s">
        <v>4578</v>
      </c>
      <c r="H31" s="11" t="s">
        <v>7001</v>
      </c>
      <c r="I31" s="11" t="s">
        <v>4579</v>
      </c>
      <c r="J31" s="11">
        <v>8.306709022E9</v>
      </c>
      <c r="K31" s="11" t="s">
        <v>6982</v>
      </c>
      <c r="L31" s="11" t="s">
        <v>6983</v>
      </c>
      <c r="M31" s="11" t="s">
        <v>7354</v>
      </c>
      <c r="N31" s="11" t="s">
        <v>7355</v>
      </c>
      <c r="O31" s="11"/>
      <c r="P31" s="11" t="s">
        <v>7356</v>
      </c>
      <c r="Q31" s="11"/>
      <c r="R31" s="11" t="s">
        <v>7357</v>
      </c>
      <c r="S31" s="11"/>
      <c r="T31" s="11" t="s">
        <v>7358</v>
      </c>
      <c r="U31" s="11" t="s">
        <v>7359</v>
      </c>
      <c r="V31" s="11"/>
      <c r="W31" s="11" t="s">
        <v>7360</v>
      </c>
      <c r="X31" s="11"/>
      <c r="Y31" s="11" t="s">
        <v>6991</v>
      </c>
      <c r="Z31" s="11"/>
      <c r="AA31" s="11" t="s">
        <v>7078</v>
      </c>
      <c r="AB31" s="11"/>
      <c r="AC31" s="11" t="s">
        <v>7361</v>
      </c>
      <c r="AD31" s="13" t="s">
        <v>6994</v>
      </c>
      <c r="AE31" s="11"/>
      <c r="AF31" s="11">
        <f>O31+Q31+S31+V31+X31+Z31+AB31+AE31</f>
        <v>0</v>
      </c>
      <c r="AG31" s="11"/>
      <c r="AH31" s="11"/>
    </row>
    <row r="32" ht="15.75" customHeight="1">
      <c r="A32" s="11">
        <v>390.0</v>
      </c>
      <c r="B32" s="12" t="s">
        <v>7362</v>
      </c>
      <c r="C32" s="11"/>
      <c r="D32" s="11" t="s">
        <v>7363</v>
      </c>
      <c r="E32" s="11" t="s">
        <v>4330</v>
      </c>
      <c r="F32" s="11" t="s">
        <v>65</v>
      </c>
      <c r="G32" s="11" t="s">
        <v>4331</v>
      </c>
      <c r="H32" s="11" t="s">
        <v>7184</v>
      </c>
      <c r="I32" s="11" t="s">
        <v>4332</v>
      </c>
      <c r="J32" s="11"/>
      <c r="K32" s="11" t="s">
        <v>6982</v>
      </c>
      <c r="L32" s="11" t="s">
        <v>6983</v>
      </c>
      <c r="M32" s="11" t="s">
        <v>7364</v>
      </c>
      <c r="N32" s="11" t="s">
        <v>7365</v>
      </c>
      <c r="O32" s="11"/>
      <c r="P32" s="11" t="s">
        <v>7366</v>
      </c>
      <c r="Q32" s="11"/>
      <c r="R32" s="11" t="s">
        <v>7367</v>
      </c>
      <c r="S32" s="11"/>
      <c r="T32" s="11" t="s">
        <v>7368</v>
      </c>
      <c r="U32" s="11" t="s">
        <v>7369</v>
      </c>
      <c r="V32" s="11"/>
      <c r="W32" s="11" t="s">
        <v>7370</v>
      </c>
      <c r="X32" s="11"/>
      <c r="Y32" s="11" t="s">
        <v>6991</v>
      </c>
      <c r="Z32" s="11"/>
      <c r="AA32" s="11" t="s">
        <v>7078</v>
      </c>
      <c r="AB32" s="11"/>
      <c r="AC32" s="11" t="s">
        <v>7371</v>
      </c>
      <c r="AD32" s="13" t="s">
        <v>6994</v>
      </c>
      <c r="AE32" s="11"/>
      <c r="AF32" s="11">
        <f>AB32+Z32+X32+V32+S32+Q32+O32</f>
        <v>0</v>
      </c>
      <c r="AG32" s="11" t="s">
        <v>7372</v>
      </c>
      <c r="AH32" s="11"/>
    </row>
    <row r="33" ht="15.75" customHeight="1">
      <c r="A33" s="11">
        <v>314.0</v>
      </c>
      <c r="B33" s="12" t="s">
        <v>7373</v>
      </c>
      <c r="C33" s="11"/>
      <c r="D33" s="11" t="s">
        <v>7374</v>
      </c>
      <c r="E33" s="11" t="s">
        <v>7375</v>
      </c>
      <c r="F33" s="11" t="s">
        <v>4706</v>
      </c>
      <c r="G33" s="11" t="s">
        <v>4449</v>
      </c>
      <c r="H33" s="11" t="s">
        <v>7047</v>
      </c>
      <c r="I33" s="11" t="s">
        <v>4381</v>
      </c>
      <c r="J33" s="11"/>
      <c r="K33" s="11" t="s">
        <v>7376</v>
      </c>
      <c r="L33" s="11" t="s">
        <v>7003</v>
      </c>
      <c r="M33" s="11" t="s">
        <v>7377</v>
      </c>
      <c r="N33" s="11" t="s">
        <v>7378</v>
      </c>
      <c r="O33" s="11">
        <v>60.0</v>
      </c>
      <c r="P33" s="11" t="s">
        <v>7379</v>
      </c>
      <c r="Q33" s="11">
        <v>25.0</v>
      </c>
      <c r="R33" s="11" t="s">
        <v>7380</v>
      </c>
      <c r="S33" s="11">
        <v>25.0</v>
      </c>
      <c r="T33" s="11" t="s">
        <v>7381</v>
      </c>
      <c r="U33" s="11" t="s">
        <v>7382</v>
      </c>
      <c r="V33" s="11">
        <v>25.0</v>
      </c>
      <c r="W33" s="11" t="s">
        <v>7383</v>
      </c>
      <c r="X33" s="11">
        <v>10.0</v>
      </c>
      <c r="Y33" s="11" t="s">
        <v>6991</v>
      </c>
      <c r="Z33" s="11">
        <v>10.0</v>
      </c>
      <c r="AA33" s="11" t="s">
        <v>7078</v>
      </c>
      <c r="AB33" s="11">
        <v>0.0</v>
      </c>
      <c r="AC33" s="11" t="s">
        <v>7384</v>
      </c>
      <c r="AD33" s="13" t="s">
        <v>6994</v>
      </c>
      <c r="AE33" s="11"/>
      <c r="AF33" s="11">
        <f>AE33+AB33+Z33+X33+V33+S33+Q33+O33</f>
        <v>155</v>
      </c>
      <c r="AG33" s="11"/>
      <c r="AH33" s="11"/>
    </row>
    <row r="34" ht="15.75" customHeight="1">
      <c r="A34" s="11">
        <v>375.0</v>
      </c>
      <c r="B34" s="12" t="s">
        <v>7385</v>
      </c>
      <c r="C34" s="11"/>
      <c r="D34" s="11" t="s">
        <v>7386</v>
      </c>
      <c r="E34" s="11" t="s">
        <v>4413</v>
      </c>
      <c r="F34" s="11" t="s">
        <v>606</v>
      </c>
      <c r="G34" s="11" t="s">
        <v>5893</v>
      </c>
      <c r="H34" s="11" t="s">
        <v>7097</v>
      </c>
      <c r="I34" s="11" t="s">
        <v>5964</v>
      </c>
      <c r="J34" s="11">
        <v>7.01197722E9</v>
      </c>
      <c r="K34" s="11" t="s">
        <v>7086</v>
      </c>
      <c r="L34" s="11" t="s">
        <v>7003</v>
      </c>
      <c r="M34" s="11" t="s">
        <v>7387</v>
      </c>
      <c r="N34" s="11" t="s">
        <v>7388</v>
      </c>
      <c r="O34" s="11"/>
      <c r="P34" s="11" t="s">
        <v>7389</v>
      </c>
      <c r="Q34" s="11"/>
      <c r="R34" s="11" t="s">
        <v>7390</v>
      </c>
      <c r="S34" s="11"/>
      <c r="T34" s="11" t="s">
        <v>7391</v>
      </c>
      <c r="U34" s="11" t="s">
        <v>7392</v>
      </c>
      <c r="V34" s="11"/>
      <c r="W34" s="11" t="s">
        <v>7393</v>
      </c>
      <c r="X34" s="11"/>
      <c r="Y34" s="11" t="s">
        <v>6991</v>
      </c>
      <c r="Z34" s="11"/>
      <c r="AA34" s="11" t="s">
        <v>7078</v>
      </c>
      <c r="AB34" s="11"/>
      <c r="AC34" s="11" t="s">
        <v>7394</v>
      </c>
      <c r="AD34" s="13" t="s">
        <v>6994</v>
      </c>
      <c r="AE34" s="11"/>
      <c r="AF34" s="11">
        <f>O34+Q34+S34+V34+X34+Z34+AB34+AE34</f>
        <v>0</v>
      </c>
      <c r="AG34" s="11"/>
      <c r="AH34" s="11"/>
    </row>
    <row r="35" ht="15.75" customHeight="1">
      <c r="A35" s="11">
        <v>19.0</v>
      </c>
      <c r="B35" s="12" t="s">
        <v>7395</v>
      </c>
      <c r="C35" s="11" t="s">
        <v>7168</v>
      </c>
      <c r="D35" s="11" t="s">
        <v>7396</v>
      </c>
      <c r="E35" s="16" t="s">
        <v>4098</v>
      </c>
      <c r="F35" s="16" t="s">
        <v>7397</v>
      </c>
      <c r="G35" s="16" t="s">
        <v>7398</v>
      </c>
      <c r="H35" s="16" t="s">
        <v>7047</v>
      </c>
      <c r="I35" s="16" t="s">
        <v>7399</v>
      </c>
      <c r="J35" s="16">
        <v>5.87200525E8</v>
      </c>
      <c r="K35" s="11"/>
      <c r="L35" s="11" t="s">
        <v>7003</v>
      </c>
      <c r="M35" s="11" t="s">
        <v>7400</v>
      </c>
      <c r="N35" s="11" t="s">
        <v>7401</v>
      </c>
      <c r="O35" s="11">
        <v>80.0</v>
      </c>
      <c r="P35" s="11" t="s">
        <v>7402</v>
      </c>
      <c r="Q35" s="11">
        <v>100.0</v>
      </c>
      <c r="R35" s="11" t="s">
        <v>7403</v>
      </c>
      <c r="S35" s="11">
        <v>100.0</v>
      </c>
      <c r="T35" s="25" t="s">
        <v>7404</v>
      </c>
      <c r="U35" s="11" t="s">
        <v>7405</v>
      </c>
      <c r="V35" s="11">
        <v>85.0</v>
      </c>
      <c r="W35" s="11" t="s">
        <v>7406</v>
      </c>
      <c r="X35" s="11">
        <v>75.0</v>
      </c>
      <c r="Y35" s="11" t="s">
        <v>6991</v>
      </c>
      <c r="Z35" s="11">
        <v>50.0</v>
      </c>
      <c r="AA35" s="13" t="s">
        <v>7407</v>
      </c>
      <c r="AB35" s="11"/>
      <c r="AC35" s="11" t="s">
        <v>7408</v>
      </c>
      <c r="AD35" s="13" t="s">
        <v>6994</v>
      </c>
      <c r="AE35" s="11"/>
      <c r="AF35" s="11">
        <f>AB35+Z35+X35+V35+S35+Q35+O35</f>
        <v>490</v>
      </c>
      <c r="AG35" s="11"/>
      <c r="AH35" s="11"/>
    </row>
    <row r="36" ht="15.75" customHeight="1">
      <c r="A36" s="11">
        <v>289.0</v>
      </c>
      <c r="B36" s="12" t="s">
        <v>7409</v>
      </c>
      <c r="C36" s="11" t="s">
        <v>1531</v>
      </c>
      <c r="D36" s="11" t="s">
        <v>7410</v>
      </c>
      <c r="E36" s="11" t="s">
        <v>4974</v>
      </c>
      <c r="F36" s="11" t="s">
        <v>5453</v>
      </c>
      <c r="G36" s="11" t="s">
        <v>5016</v>
      </c>
      <c r="H36" s="11" t="s">
        <v>7047</v>
      </c>
      <c r="I36" s="11" t="s">
        <v>4276</v>
      </c>
      <c r="J36" s="11">
        <v>9.885202511E9</v>
      </c>
      <c r="K36" s="11" t="s">
        <v>7411</v>
      </c>
      <c r="L36" s="11" t="s">
        <v>7003</v>
      </c>
      <c r="M36" s="11" t="s">
        <v>7412</v>
      </c>
      <c r="N36" s="11" t="s">
        <v>7413</v>
      </c>
      <c r="O36" s="11">
        <v>90.0</v>
      </c>
      <c r="P36" s="11" t="s">
        <v>7414</v>
      </c>
      <c r="Q36" s="11">
        <v>40.0</v>
      </c>
      <c r="R36" s="11" t="s">
        <v>7415</v>
      </c>
      <c r="S36" s="11">
        <v>60.0</v>
      </c>
      <c r="T36" s="11" t="s">
        <v>7416</v>
      </c>
      <c r="U36" s="11" t="s">
        <v>7417</v>
      </c>
      <c r="V36" s="11"/>
      <c r="W36" s="11" t="s">
        <v>7418</v>
      </c>
      <c r="X36" s="11"/>
      <c r="Y36" s="11" t="s">
        <v>6991</v>
      </c>
      <c r="Z36" s="11"/>
      <c r="AA36" s="11" t="s">
        <v>7078</v>
      </c>
      <c r="AB36" s="11"/>
      <c r="AC36" s="11" t="s">
        <v>7419</v>
      </c>
      <c r="AD36" s="13" t="s">
        <v>7420</v>
      </c>
      <c r="AE36" s="11"/>
      <c r="AF36" s="11">
        <f>O36+Q36+S36+V36+X36+Z36+AB36+AE36</f>
        <v>190</v>
      </c>
      <c r="AG36" s="11"/>
      <c r="AH36" s="11"/>
    </row>
    <row r="37" ht="15.75" customHeight="1">
      <c r="A37" s="11">
        <v>351.0</v>
      </c>
      <c r="B37" s="12" t="s">
        <v>7421</v>
      </c>
      <c r="C37" s="11"/>
      <c r="D37" s="11" t="s">
        <v>7422</v>
      </c>
      <c r="E37" s="16" t="s">
        <v>670</v>
      </c>
      <c r="F37" s="16" t="s">
        <v>675</v>
      </c>
      <c r="G37" s="16" t="s">
        <v>4449</v>
      </c>
      <c r="H37" s="16" t="s">
        <v>7019</v>
      </c>
      <c r="I37" s="16" t="s">
        <v>4381</v>
      </c>
      <c r="J37" s="16"/>
      <c r="K37" s="11" t="s">
        <v>7376</v>
      </c>
      <c r="L37" s="11" t="s">
        <v>7003</v>
      </c>
      <c r="M37" s="11" t="s">
        <v>7423</v>
      </c>
      <c r="N37" s="11" t="s">
        <v>7424</v>
      </c>
      <c r="O37" s="11">
        <v>12.5</v>
      </c>
      <c r="P37" s="11" t="s">
        <v>7425</v>
      </c>
      <c r="Q37" s="11">
        <v>50.0</v>
      </c>
      <c r="R37" s="11" t="s">
        <v>7426</v>
      </c>
      <c r="S37" s="11">
        <v>25.0</v>
      </c>
      <c r="T37" s="11" t="s">
        <v>7427</v>
      </c>
      <c r="U37" s="11" t="s">
        <v>7428</v>
      </c>
      <c r="V37" s="11">
        <v>12.5</v>
      </c>
      <c r="W37" s="11" t="s">
        <v>7429</v>
      </c>
      <c r="X37" s="11"/>
      <c r="Y37" s="11" t="s">
        <v>6991</v>
      </c>
      <c r="Z37" s="11">
        <v>0.0</v>
      </c>
      <c r="AA37" s="11" t="s">
        <v>7078</v>
      </c>
      <c r="AB37" s="11"/>
      <c r="AC37" s="11" t="s">
        <v>7430</v>
      </c>
      <c r="AD37" s="13" t="s">
        <v>6994</v>
      </c>
      <c r="AE37" s="11"/>
      <c r="AF37" s="11">
        <f>AE37+AB37+Z37+X37+V37+S37+Q37+O37</f>
        <v>100</v>
      </c>
      <c r="AG37" s="11"/>
      <c r="AH37" s="11" t="str">
        <f>AE37+AB37+AA38+Y38+W38+T38+R38+P38</f>
        <v>#VALUE!</v>
      </c>
    </row>
    <row r="38" ht="15.75" customHeight="1">
      <c r="A38" s="11">
        <v>357.0</v>
      </c>
      <c r="B38" s="12" t="s">
        <v>7431</v>
      </c>
      <c r="C38" s="11"/>
      <c r="D38" s="11" t="s">
        <v>7432</v>
      </c>
      <c r="E38" s="11" t="s">
        <v>4761</v>
      </c>
      <c r="F38" s="11" t="s">
        <v>125</v>
      </c>
      <c r="G38" s="11" t="s">
        <v>4762</v>
      </c>
      <c r="H38" s="11" t="s">
        <v>6981</v>
      </c>
      <c r="I38" s="11" t="s">
        <v>4763</v>
      </c>
      <c r="J38" s="11">
        <v>9.910067042E9</v>
      </c>
      <c r="K38" s="11" t="s">
        <v>7433</v>
      </c>
      <c r="L38" s="11" t="s">
        <v>7003</v>
      </c>
      <c r="M38" s="11" t="s">
        <v>7434</v>
      </c>
      <c r="N38" s="11" t="s">
        <v>7435</v>
      </c>
      <c r="O38" s="11">
        <v>20.0</v>
      </c>
      <c r="P38" s="11" t="s">
        <v>7436</v>
      </c>
      <c r="Q38" s="11">
        <v>10.0</v>
      </c>
      <c r="R38" s="11" t="s">
        <v>7437</v>
      </c>
      <c r="S38" s="11">
        <v>10.0</v>
      </c>
      <c r="T38" s="11" t="s">
        <v>7438</v>
      </c>
      <c r="U38" s="11" t="s">
        <v>7439</v>
      </c>
      <c r="V38" s="11">
        <v>10.0</v>
      </c>
      <c r="W38" s="11" t="s">
        <v>7440</v>
      </c>
      <c r="X38" s="11">
        <v>10.0</v>
      </c>
      <c r="Y38" s="11" t="s">
        <v>6991</v>
      </c>
      <c r="Z38" s="11">
        <v>10.0</v>
      </c>
      <c r="AA38" s="11" t="s">
        <v>7078</v>
      </c>
      <c r="AB38" s="11">
        <v>0.0</v>
      </c>
      <c r="AC38" s="11" t="s">
        <v>7441</v>
      </c>
      <c r="AD38" s="13" t="s">
        <v>6994</v>
      </c>
      <c r="AE38" s="11"/>
      <c r="AF38" s="11">
        <f>O38+Q38+S38+V38+X38+Z38+AB38+AE38</f>
        <v>70</v>
      </c>
      <c r="AG38" s="11" t="s">
        <v>7442</v>
      </c>
      <c r="AH38" s="11"/>
    </row>
    <row r="39" ht="15.75" customHeight="1">
      <c r="A39" s="11">
        <v>335.0</v>
      </c>
      <c r="B39" s="12" t="s">
        <v>7443</v>
      </c>
      <c r="C39" s="11"/>
      <c r="D39" s="11" t="s">
        <v>7444</v>
      </c>
      <c r="E39" s="11" t="s">
        <v>7445</v>
      </c>
      <c r="F39" s="11" t="s">
        <v>7446</v>
      </c>
      <c r="G39" s="11" t="s">
        <v>7447</v>
      </c>
      <c r="H39" s="11" t="s">
        <v>7019</v>
      </c>
      <c r="I39" s="11" t="s">
        <v>1102</v>
      </c>
      <c r="J39" s="23">
        <v>9.540273726E9</v>
      </c>
      <c r="K39" s="11"/>
      <c r="L39" s="11" t="s">
        <v>7003</v>
      </c>
      <c r="M39" s="11" t="s">
        <v>7448</v>
      </c>
      <c r="N39" s="11" t="s">
        <v>7449</v>
      </c>
      <c r="O39" s="11">
        <v>25.0</v>
      </c>
      <c r="P39" s="11" t="s">
        <v>7450</v>
      </c>
      <c r="Q39" s="11">
        <v>25.0</v>
      </c>
      <c r="R39" s="11" t="s">
        <v>7451</v>
      </c>
      <c r="S39" s="11">
        <v>25.0</v>
      </c>
      <c r="T39" s="11" t="s">
        <v>7452</v>
      </c>
      <c r="U39" s="11" t="s">
        <v>7453</v>
      </c>
      <c r="V39" s="11">
        <v>10.0</v>
      </c>
      <c r="W39" s="11" t="s">
        <v>7454</v>
      </c>
      <c r="X39" s="11">
        <v>25.0</v>
      </c>
      <c r="Y39" s="11" t="s">
        <v>7193</v>
      </c>
      <c r="Z39" s="11">
        <v>10.0</v>
      </c>
      <c r="AA39" s="13" t="s">
        <v>7455</v>
      </c>
      <c r="AB39" s="11">
        <v>10.0</v>
      </c>
      <c r="AC39" s="11" t="s">
        <v>7456</v>
      </c>
      <c r="AD39" s="13" t="s">
        <v>6994</v>
      </c>
      <c r="AE39" s="11"/>
      <c r="AF39" s="11">
        <f>AE39+AB39+Z39+X39+V39+S39+Q39+O39</f>
        <v>130</v>
      </c>
      <c r="AG39" s="11"/>
      <c r="AH39" s="11"/>
    </row>
    <row r="40" ht="15.75" customHeight="1">
      <c r="A40" s="11">
        <v>162.0</v>
      </c>
      <c r="B40" s="12" t="s">
        <v>7457</v>
      </c>
      <c r="C40" s="11" t="s">
        <v>4344</v>
      </c>
      <c r="D40" s="15" t="s">
        <v>7458</v>
      </c>
      <c r="E40" s="11"/>
      <c r="F40" s="11"/>
      <c r="G40" s="11"/>
      <c r="H40" s="11"/>
      <c r="I40" s="11"/>
      <c r="J40" s="11"/>
      <c r="K40" s="11"/>
      <c r="L40" s="11" t="s">
        <v>7003</v>
      </c>
      <c r="M40" s="11" t="s">
        <v>7459</v>
      </c>
      <c r="N40" s="11" t="s">
        <v>7460</v>
      </c>
      <c r="O40" s="11">
        <v>80.0</v>
      </c>
      <c r="P40" s="11" t="s">
        <v>7461</v>
      </c>
      <c r="Q40" s="11">
        <v>70.0</v>
      </c>
      <c r="R40" s="11" t="s">
        <v>7462</v>
      </c>
      <c r="S40" s="11">
        <v>25.0</v>
      </c>
      <c r="T40" s="11" t="s">
        <v>7463</v>
      </c>
      <c r="U40" s="11" t="s">
        <v>7464</v>
      </c>
      <c r="V40" s="11">
        <v>50.0</v>
      </c>
      <c r="W40" s="11" t="s">
        <v>7465</v>
      </c>
      <c r="X40" s="11">
        <v>40.0</v>
      </c>
      <c r="Y40" s="11" t="s">
        <v>6991</v>
      </c>
      <c r="Z40" s="11">
        <v>25.0</v>
      </c>
      <c r="AA40" s="19" t="s">
        <v>7078</v>
      </c>
      <c r="AB40" s="11">
        <v>0.0</v>
      </c>
      <c r="AC40" s="11" t="s">
        <v>7466</v>
      </c>
      <c r="AD40" s="13" t="s">
        <v>6994</v>
      </c>
      <c r="AE40" s="11">
        <v>0.0</v>
      </c>
      <c r="AF40" s="11">
        <f>O40+Q40+S40+V40+X40+Z40+AB40+AE40</f>
        <v>290</v>
      </c>
      <c r="AG40" s="11" t="s">
        <v>7467</v>
      </c>
      <c r="AH40" s="11"/>
    </row>
    <row r="41" ht="15.75" customHeight="1">
      <c r="A41" s="11">
        <v>115.0</v>
      </c>
      <c r="B41" s="12" t="s">
        <v>7468</v>
      </c>
      <c r="C41" s="15" t="s">
        <v>1531</v>
      </c>
      <c r="D41" s="11" t="s">
        <v>7469</v>
      </c>
      <c r="E41" s="11" t="s">
        <v>5150</v>
      </c>
      <c r="F41" s="11" t="s">
        <v>382</v>
      </c>
      <c r="G41" s="11" t="s">
        <v>5151</v>
      </c>
      <c r="H41" s="11" t="s">
        <v>7019</v>
      </c>
      <c r="I41" s="11" t="s">
        <v>4015</v>
      </c>
      <c r="J41" s="11">
        <v>8.826995795E9</v>
      </c>
      <c r="K41" s="11" t="s">
        <v>6982</v>
      </c>
      <c r="L41" s="11" t="s">
        <v>6983</v>
      </c>
      <c r="M41" s="11" t="s">
        <v>7470</v>
      </c>
      <c r="N41" s="11" t="s">
        <v>7471</v>
      </c>
      <c r="O41" s="11">
        <v>70.0</v>
      </c>
      <c r="P41" s="11" t="s">
        <v>7472</v>
      </c>
      <c r="Q41" s="11">
        <v>25.0</v>
      </c>
      <c r="R41" s="11" t="s">
        <v>7473</v>
      </c>
      <c r="S41" s="11">
        <v>70.0</v>
      </c>
      <c r="T41" s="11" t="s">
        <v>7474</v>
      </c>
      <c r="U41" s="11" t="s">
        <v>7475</v>
      </c>
      <c r="V41" s="11">
        <v>70.0</v>
      </c>
      <c r="W41" s="11" t="s">
        <v>7476</v>
      </c>
      <c r="X41" s="11">
        <v>50.0</v>
      </c>
      <c r="Y41" s="11" t="s">
        <v>6991</v>
      </c>
      <c r="Z41" s="11">
        <v>25.0</v>
      </c>
      <c r="AA41" s="13" t="s">
        <v>7477</v>
      </c>
      <c r="AB41" s="11">
        <v>40.0</v>
      </c>
      <c r="AC41" s="11" t="s">
        <v>7478</v>
      </c>
      <c r="AD41" s="13" t="s">
        <v>6994</v>
      </c>
      <c r="AE41" s="11"/>
      <c r="AF41" s="11">
        <f>AB41+Z41+X41+V41+S41+Q41+O41</f>
        <v>350</v>
      </c>
      <c r="AG41" s="11" t="s">
        <v>7479</v>
      </c>
      <c r="AH41" s="11"/>
    </row>
    <row r="42" ht="15.75" customHeight="1">
      <c r="A42" s="11">
        <v>345.0</v>
      </c>
      <c r="B42" s="12" t="s">
        <v>7480</v>
      </c>
      <c r="C42" s="11"/>
      <c r="D42" s="11" t="s">
        <v>7481</v>
      </c>
      <c r="E42" s="26" t="s">
        <v>1092</v>
      </c>
      <c r="F42" s="26" t="s">
        <v>1867</v>
      </c>
      <c r="G42" s="26" t="s">
        <v>5330</v>
      </c>
      <c r="H42" s="26" t="s">
        <v>29</v>
      </c>
      <c r="I42" s="26" t="s">
        <v>4587</v>
      </c>
      <c r="J42" s="27">
        <v>9.770207789E9</v>
      </c>
      <c r="K42" s="11"/>
      <c r="L42" s="11" t="s">
        <v>7003</v>
      </c>
      <c r="M42" s="11" t="s">
        <v>7482</v>
      </c>
      <c r="N42" s="11" t="s">
        <v>7483</v>
      </c>
      <c r="O42" s="11">
        <v>25.0</v>
      </c>
      <c r="P42" s="11" t="s">
        <v>7484</v>
      </c>
      <c r="Q42" s="11">
        <v>25.0</v>
      </c>
      <c r="R42" s="11" t="s">
        <v>7485</v>
      </c>
      <c r="S42" s="11">
        <v>25.0</v>
      </c>
      <c r="T42" s="11" t="s">
        <v>7486</v>
      </c>
      <c r="U42" s="11" t="s">
        <v>7487</v>
      </c>
      <c r="V42" s="11">
        <v>25.0</v>
      </c>
      <c r="W42" s="11" t="s">
        <v>7488</v>
      </c>
      <c r="X42" s="11">
        <v>10.0</v>
      </c>
      <c r="Y42" s="11" t="s">
        <v>7027</v>
      </c>
      <c r="Z42" s="11">
        <v>0.0</v>
      </c>
      <c r="AA42" s="11" t="s">
        <v>7078</v>
      </c>
      <c r="AB42" s="11">
        <v>0.0</v>
      </c>
      <c r="AC42" s="11" t="s">
        <v>7489</v>
      </c>
      <c r="AD42" s="13" t="s">
        <v>6994</v>
      </c>
      <c r="AE42" s="11"/>
      <c r="AF42" s="11">
        <f>AE42+AB42+Z42+X42+V42+S42+Q42+O42</f>
        <v>110</v>
      </c>
      <c r="AG42" s="11"/>
      <c r="AH42" s="11"/>
    </row>
    <row r="43" ht="15.75" customHeight="1">
      <c r="A43" s="11">
        <v>341.0</v>
      </c>
      <c r="B43" s="12" t="s">
        <v>7490</v>
      </c>
      <c r="C43" s="11" t="s">
        <v>2140</v>
      </c>
      <c r="D43" s="11" t="s">
        <v>7491</v>
      </c>
      <c r="E43" s="16" t="s">
        <v>7492</v>
      </c>
      <c r="F43" s="16" t="s">
        <v>7493</v>
      </c>
      <c r="G43" s="16" t="s">
        <v>7494</v>
      </c>
      <c r="H43" s="16" t="s">
        <v>7019</v>
      </c>
      <c r="I43" s="16"/>
      <c r="J43" s="23">
        <v>7.010950982E9</v>
      </c>
      <c r="K43" s="11" t="s">
        <v>6982</v>
      </c>
      <c r="L43" s="11" t="s">
        <v>6983</v>
      </c>
      <c r="M43" s="11" t="s">
        <v>7495</v>
      </c>
      <c r="N43" s="11" t="s">
        <v>7496</v>
      </c>
      <c r="O43" s="11">
        <v>40.0</v>
      </c>
      <c r="P43" s="11" t="s">
        <v>7497</v>
      </c>
      <c r="Q43" s="11">
        <v>20.0</v>
      </c>
      <c r="R43" s="11" t="s">
        <v>7498</v>
      </c>
      <c r="S43" s="11">
        <v>20.0</v>
      </c>
      <c r="T43" s="11" t="s">
        <v>7499</v>
      </c>
      <c r="U43" s="11" t="s">
        <v>7500</v>
      </c>
      <c r="V43" s="11">
        <v>20.0</v>
      </c>
      <c r="W43" s="11" t="s">
        <v>7501</v>
      </c>
      <c r="X43" s="11">
        <v>5.0</v>
      </c>
      <c r="Y43" s="11" t="s">
        <v>6991</v>
      </c>
      <c r="Z43" s="11">
        <v>5.0</v>
      </c>
      <c r="AA43" s="13" t="s">
        <v>7502</v>
      </c>
      <c r="AB43" s="11">
        <v>5.0</v>
      </c>
      <c r="AC43" s="11" t="s">
        <v>7503</v>
      </c>
      <c r="AD43" s="13" t="s">
        <v>7504</v>
      </c>
      <c r="AE43" s="11"/>
      <c r="AF43" s="11">
        <f>O43+Q43+S43+V43+X43+Z43+AB43</f>
        <v>115</v>
      </c>
      <c r="AG43" s="11"/>
      <c r="AH43" s="11"/>
    </row>
    <row r="44" ht="15.75" customHeight="1">
      <c r="A44" s="11">
        <v>305.0</v>
      </c>
      <c r="B44" s="12" t="s">
        <v>7505</v>
      </c>
      <c r="C44" s="11"/>
      <c r="D44" s="11" t="s">
        <v>7506</v>
      </c>
      <c r="E44" s="11" t="s">
        <v>1728</v>
      </c>
      <c r="F44" s="11" t="s">
        <v>108</v>
      </c>
      <c r="G44" s="11" t="s">
        <v>6076</v>
      </c>
      <c r="H44" s="11" t="s">
        <v>7184</v>
      </c>
      <c r="I44" s="11" t="s">
        <v>1102</v>
      </c>
      <c r="J44" s="11">
        <v>8.375059409E9</v>
      </c>
      <c r="K44" s="11" t="s">
        <v>7411</v>
      </c>
      <c r="L44" s="11" t="s">
        <v>6983</v>
      </c>
      <c r="M44" s="11" t="s">
        <v>7507</v>
      </c>
      <c r="N44" s="11" t="s">
        <v>7508</v>
      </c>
      <c r="O44" s="11">
        <v>30.0</v>
      </c>
      <c r="P44" s="11" t="s">
        <v>7509</v>
      </c>
      <c r="Q44" s="11">
        <v>25.0</v>
      </c>
      <c r="R44" s="11" t="s">
        <v>7510</v>
      </c>
      <c r="S44" s="11">
        <v>25.0</v>
      </c>
      <c r="T44" s="11" t="s">
        <v>7511</v>
      </c>
      <c r="U44" s="11" t="s">
        <v>7512</v>
      </c>
      <c r="V44" s="11">
        <v>40.0</v>
      </c>
      <c r="W44" s="11" t="s">
        <v>7513</v>
      </c>
      <c r="X44" s="11">
        <v>25.0</v>
      </c>
      <c r="Y44" s="11" t="s">
        <v>6991</v>
      </c>
      <c r="Z44" s="11">
        <v>25.0</v>
      </c>
      <c r="AA44" s="11" t="s">
        <v>7078</v>
      </c>
      <c r="AB44" s="11">
        <v>0.0</v>
      </c>
      <c r="AC44" s="11" t="s">
        <v>7514</v>
      </c>
      <c r="AD44" s="13" t="s">
        <v>6994</v>
      </c>
      <c r="AE44" s="11">
        <v>0.0</v>
      </c>
      <c r="AF44" s="11">
        <f t="shared" ref="AF44:AF45" si="8">O44+Q44+S44+V44+X44+Z44+AB44+AE44</f>
        <v>170</v>
      </c>
      <c r="AG44" s="11" t="s">
        <v>7515</v>
      </c>
      <c r="AH44" s="11"/>
    </row>
    <row r="45" ht="15.75" customHeight="1">
      <c r="A45" s="11">
        <v>29.0</v>
      </c>
      <c r="B45" s="12" t="s">
        <v>7516</v>
      </c>
      <c r="C45" s="11"/>
      <c r="D45" s="11" t="s">
        <v>7517</v>
      </c>
      <c r="E45" s="11" t="s">
        <v>2732</v>
      </c>
      <c r="F45" s="11" t="s">
        <v>654</v>
      </c>
      <c r="G45" s="11" t="s">
        <v>5058</v>
      </c>
      <c r="H45" s="11" t="s">
        <v>6981</v>
      </c>
      <c r="I45" s="11" t="s">
        <v>4015</v>
      </c>
      <c r="J45" s="11">
        <v>9.558985686E9</v>
      </c>
      <c r="K45" s="11" t="s">
        <v>7411</v>
      </c>
      <c r="L45" s="11" t="s">
        <v>6983</v>
      </c>
      <c r="M45" s="11" t="s">
        <v>7518</v>
      </c>
      <c r="N45" s="11" t="s">
        <v>7519</v>
      </c>
      <c r="O45" s="11">
        <v>80.0</v>
      </c>
      <c r="P45" s="11" t="s">
        <v>7520</v>
      </c>
      <c r="Q45" s="11">
        <v>60.0</v>
      </c>
      <c r="R45" s="11" t="s">
        <v>7521</v>
      </c>
      <c r="S45" s="11">
        <v>70.0</v>
      </c>
      <c r="T45" s="11" t="s">
        <v>7522</v>
      </c>
      <c r="U45" s="11" t="s">
        <v>7523</v>
      </c>
      <c r="V45" s="11">
        <v>80.0</v>
      </c>
      <c r="W45" s="11" t="s">
        <v>7524</v>
      </c>
      <c r="X45" s="11">
        <v>90.0</v>
      </c>
      <c r="Y45" s="11" t="s">
        <v>7193</v>
      </c>
      <c r="Z45" s="11">
        <v>40.0</v>
      </c>
      <c r="AA45" s="13" t="s">
        <v>7525</v>
      </c>
      <c r="AB45" s="19">
        <v>40.0</v>
      </c>
      <c r="AC45" s="11" t="s">
        <v>7526</v>
      </c>
      <c r="AD45" s="13" t="s">
        <v>6994</v>
      </c>
      <c r="AE45" s="11"/>
      <c r="AF45" s="11">
        <f t="shared" si="8"/>
        <v>460</v>
      </c>
      <c r="AG45" s="11"/>
      <c r="AH45" s="11"/>
    </row>
    <row r="46" ht="15.75" customHeight="1">
      <c r="A46" s="11">
        <v>13.0</v>
      </c>
      <c r="B46" s="11" t="s">
        <v>7527</v>
      </c>
      <c r="C46" s="11" t="s">
        <v>7168</v>
      </c>
      <c r="D46" s="11" t="s">
        <v>7528</v>
      </c>
      <c r="E46" s="11" t="s">
        <v>2732</v>
      </c>
      <c r="F46" s="11" t="s">
        <v>654</v>
      </c>
      <c r="G46" s="11" t="s">
        <v>5058</v>
      </c>
      <c r="H46" s="11" t="s">
        <v>6981</v>
      </c>
      <c r="I46" s="11" t="s">
        <v>4015</v>
      </c>
      <c r="J46" s="11">
        <v>9.558985686E9</v>
      </c>
      <c r="K46" s="11"/>
      <c r="L46" s="11" t="s">
        <v>7003</v>
      </c>
      <c r="M46" s="11" t="s">
        <v>7518</v>
      </c>
      <c r="N46" s="11" t="s">
        <v>7519</v>
      </c>
      <c r="O46" s="11">
        <v>70.0</v>
      </c>
      <c r="P46" s="11" t="s">
        <v>7520</v>
      </c>
      <c r="Q46" s="11">
        <v>50.0</v>
      </c>
      <c r="R46" s="11" t="s">
        <v>7529</v>
      </c>
      <c r="S46" s="11">
        <v>80.0</v>
      </c>
      <c r="T46" s="11" t="s">
        <v>7522</v>
      </c>
      <c r="U46" s="11" t="s">
        <v>7523</v>
      </c>
      <c r="V46" s="11">
        <v>80.0</v>
      </c>
      <c r="W46" s="11" t="s">
        <v>7524</v>
      </c>
      <c r="X46" s="11">
        <v>100.0</v>
      </c>
      <c r="Y46" s="11" t="s">
        <v>7193</v>
      </c>
      <c r="Z46" s="11">
        <v>70.0</v>
      </c>
      <c r="AA46" s="13" t="s">
        <v>7530</v>
      </c>
      <c r="AB46" s="11">
        <v>70.0</v>
      </c>
      <c r="AC46" s="11" t="s">
        <v>7531</v>
      </c>
      <c r="AD46" s="13" t="s">
        <v>6994</v>
      </c>
      <c r="AE46" s="11"/>
      <c r="AF46" s="11">
        <f>AB46+Z46+X46+V46+S46+Q46+O46</f>
        <v>520</v>
      </c>
      <c r="AG46" s="11"/>
      <c r="AH46" s="11"/>
    </row>
    <row r="47" ht="15.75" customHeight="1">
      <c r="A47" s="11">
        <v>267.0</v>
      </c>
      <c r="B47" s="12" t="s">
        <v>7532</v>
      </c>
      <c r="C47" s="11" t="s">
        <v>2140</v>
      </c>
      <c r="D47" s="11" t="s">
        <v>7533</v>
      </c>
      <c r="E47" s="11" t="s">
        <v>4589</v>
      </c>
      <c r="F47" s="11" t="s">
        <v>4590</v>
      </c>
      <c r="G47" s="11" t="s">
        <v>493</v>
      </c>
      <c r="H47" s="11" t="s">
        <v>7019</v>
      </c>
      <c r="I47" s="11" t="s">
        <v>494</v>
      </c>
      <c r="J47" s="11">
        <v>9.711604647E9</v>
      </c>
      <c r="K47" s="11" t="s">
        <v>6982</v>
      </c>
      <c r="L47" s="11" t="s">
        <v>6983</v>
      </c>
      <c r="M47" s="11" t="s">
        <v>7534</v>
      </c>
      <c r="N47" s="11" t="s">
        <v>7535</v>
      </c>
      <c r="O47" s="11">
        <v>30.0</v>
      </c>
      <c r="P47" s="11" t="s">
        <v>7536</v>
      </c>
      <c r="Q47" s="11">
        <v>40.0</v>
      </c>
      <c r="R47" s="11" t="s">
        <v>7537</v>
      </c>
      <c r="S47" s="11">
        <v>30.0</v>
      </c>
      <c r="T47" s="11" t="s">
        <v>7538</v>
      </c>
      <c r="U47" s="11" t="s">
        <v>7539</v>
      </c>
      <c r="V47" s="11">
        <v>60.0</v>
      </c>
      <c r="W47" s="11" t="s">
        <v>7540</v>
      </c>
      <c r="X47" s="11">
        <v>20.0</v>
      </c>
      <c r="Y47" s="11" t="s">
        <v>6991</v>
      </c>
      <c r="Z47" s="11">
        <v>20.0</v>
      </c>
      <c r="AA47" s="13" t="s">
        <v>7541</v>
      </c>
      <c r="AB47" s="11">
        <v>10.0</v>
      </c>
      <c r="AC47" s="11" t="s">
        <v>7542</v>
      </c>
      <c r="AD47" s="13" t="s">
        <v>6994</v>
      </c>
      <c r="AE47" s="11"/>
      <c r="AF47" s="11">
        <f>O47+Q47+S47+V47+X47+Z47+AB47</f>
        <v>210</v>
      </c>
      <c r="AG47" s="11"/>
      <c r="AH47" s="11"/>
    </row>
    <row r="48" ht="15.75" customHeight="1">
      <c r="A48" s="11">
        <v>211.0</v>
      </c>
      <c r="B48" s="12" t="s">
        <v>7543</v>
      </c>
      <c r="C48" s="11" t="s">
        <v>4344</v>
      </c>
      <c r="D48" s="11" t="s">
        <v>7544</v>
      </c>
      <c r="E48" s="11" t="s">
        <v>213</v>
      </c>
      <c r="F48" s="11" t="s">
        <v>108</v>
      </c>
      <c r="G48" s="11" t="s">
        <v>4677</v>
      </c>
      <c r="H48" s="11" t="s">
        <v>7184</v>
      </c>
      <c r="I48" s="11" t="s">
        <v>494</v>
      </c>
      <c r="J48" s="11">
        <v>9.211356225E9</v>
      </c>
      <c r="K48" s="11" t="s">
        <v>6982</v>
      </c>
      <c r="L48" s="11" t="s">
        <v>7003</v>
      </c>
      <c r="M48" s="11" t="s">
        <v>7545</v>
      </c>
      <c r="N48" s="11" t="s">
        <v>7546</v>
      </c>
      <c r="O48" s="11">
        <v>60.0</v>
      </c>
      <c r="P48" s="11" t="s">
        <v>7547</v>
      </c>
      <c r="Q48" s="11">
        <v>25.0</v>
      </c>
      <c r="R48" s="11" t="s">
        <v>7548</v>
      </c>
      <c r="S48" s="11">
        <v>25.0</v>
      </c>
      <c r="T48" s="11" t="s">
        <v>7549</v>
      </c>
      <c r="U48" s="11" t="s">
        <v>7550</v>
      </c>
      <c r="V48" s="11">
        <v>50.0</v>
      </c>
      <c r="W48" s="11" t="s">
        <v>7551</v>
      </c>
      <c r="X48" s="11">
        <v>40.0</v>
      </c>
      <c r="Y48" s="11" t="s">
        <v>6991</v>
      </c>
      <c r="Z48" s="11">
        <v>25.0</v>
      </c>
      <c r="AA48" s="13" t="s">
        <v>7552</v>
      </c>
      <c r="AB48" s="11">
        <v>25.0</v>
      </c>
      <c r="AC48" s="11" t="s">
        <v>7553</v>
      </c>
      <c r="AD48" s="13" t="s">
        <v>6994</v>
      </c>
      <c r="AE48" s="11">
        <v>0.0</v>
      </c>
      <c r="AF48" s="11">
        <f>O48+Q48+S48+V48+X48+Z48+AB48+AE48</f>
        <v>250</v>
      </c>
      <c r="AG48" s="11" t="s">
        <v>7554</v>
      </c>
      <c r="AH48" s="11"/>
    </row>
    <row r="49" ht="15.75" customHeight="1">
      <c r="A49" s="11">
        <v>174.0</v>
      </c>
      <c r="B49" s="12" t="s">
        <v>7555</v>
      </c>
      <c r="C49" s="12" t="s">
        <v>2140</v>
      </c>
      <c r="D49" s="11" t="s">
        <v>7556</v>
      </c>
      <c r="E49" s="11" t="s">
        <v>4054</v>
      </c>
      <c r="F49" s="11" t="s">
        <v>4055</v>
      </c>
      <c r="G49" s="11" t="s">
        <v>3749</v>
      </c>
      <c r="H49" s="11" t="s">
        <v>7097</v>
      </c>
      <c r="I49" s="11" t="s">
        <v>434</v>
      </c>
      <c r="J49" s="11">
        <v>9.820966117E9</v>
      </c>
      <c r="K49" s="11" t="s">
        <v>7086</v>
      </c>
      <c r="L49" s="11" t="s">
        <v>7003</v>
      </c>
      <c r="M49" s="11" t="s">
        <v>7557</v>
      </c>
      <c r="N49" s="11" t="s">
        <v>7558</v>
      </c>
      <c r="O49" s="11">
        <v>50.0</v>
      </c>
      <c r="P49" s="11" t="s">
        <v>7559</v>
      </c>
      <c r="Q49" s="11">
        <v>50.0</v>
      </c>
      <c r="R49" s="11" t="s">
        <v>7560</v>
      </c>
      <c r="S49" s="11">
        <v>50.0</v>
      </c>
      <c r="T49" s="11" t="s">
        <v>7561</v>
      </c>
      <c r="U49" s="11" t="s">
        <v>7562</v>
      </c>
      <c r="V49" s="11">
        <v>40.0</v>
      </c>
      <c r="W49" s="11" t="s">
        <v>7563</v>
      </c>
      <c r="X49" s="11">
        <v>40.0</v>
      </c>
      <c r="Y49" s="11" t="s">
        <v>6991</v>
      </c>
      <c r="Z49" s="11">
        <v>30.0</v>
      </c>
      <c r="AA49" s="13" t="s">
        <v>7564</v>
      </c>
      <c r="AB49" s="11">
        <v>20.0</v>
      </c>
      <c r="AC49" s="11" t="s">
        <v>7565</v>
      </c>
      <c r="AD49" s="13" t="s">
        <v>6994</v>
      </c>
      <c r="AE49" s="11"/>
      <c r="AF49" s="11">
        <f>O49+Q49+S49+V49+X49+Z49+AB49</f>
        <v>280</v>
      </c>
      <c r="AG49" s="11"/>
      <c r="AH49" s="11"/>
    </row>
    <row r="50" ht="15.75" customHeight="1">
      <c r="A50" s="11">
        <v>10.0</v>
      </c>
      <c r="B50" s="12" t="s">
        <v>7566</v>
      </c>
      <c r="C50" s="11"/>
      <c r="D50" s="11" t="s">
        <v>7567</v>
      </c>
      <c r="E50" s="11" t="s">
        <v>6603</v>
      </c>
      <c r="F50" s="11" t="s">
        <v>63</v>
      </c>
      <c r="G50" s="11" t="s">
        <v>6604</v>
      </c>
      <c r="H50" s="11" t="s">
        <v>7019</v>
      </c>
      <c r="I50" s="11" t="s">
        <v>6605</v>
      </c>
      <c r="J50" s="11">
        <v>8.708635177E9</v>
      </c>
      <c r="K50" s="11" t="s">
        <v>7411</v>
      </c>
      <c r="L50" s="11" t="s">
        <v>7003</v>
      </c>
      <c r="M50" s="11" t="s">
        <v>7568</v>
      </c>
      <c r="N50" s="11" t="s">
        <v>7569</v>
      </c>
      <c r="O50" s="11">
        <v>75.0</v>
      </c>
      <c r="P50" s="11" t="s">
        <v>7570</v>
      </c>
      <c r="Q50" s="11">
        <v>50.0</v>
      </c>
      <c r="R50" s="11" t="s">
        <v>7571</v>
      </c>
      <c r="S50" s="11">
        <v>80.0</v>
      </c>
      <c r="T50" s="11" t="s">
        <v>7572</v>
      </c>
      <c r="U50" s="11" t="s">
        <v>7573</v>
      </c>
      <c r="V50" s="11">
        <v>90.0</v>
      </c>
      <c r="W50" s="13" t="s">
        <v>7574</v>
      </c>
      <c r="X50" s="11">
        <v>90.0</v>
      </c>
      <c r="Y50" s="11" t="s">
        <v>7027</v>
      </c>
      <c r="Z50" s="11">
        <v>60.0</v>
      </c>
      <c r="AA50" s="13" t="s">
        <v>7575</v>
      </c>
      <c r="AB50" s="11">
        <v>90.0</v>
      </c>
      <c r="AC50" s="11" t="s">
        <v>7576</v>
      </c>
      <c r="AD50" s="13" t="s">
        <v>6994</v>
      </c>
      <c r="AE50" s="11"/>
      <c r="AF50" s="11">
        <f>AE50+AB50+Z50+X50+V50+S50+Q50+O50</f>
        <v>535</v>
      </c>
      <c r="AG50" s="11"/>
      <c r="AH50" s="11"/>
    </row>
    <row r="51" ht="15.75" customHeight="1">
      <c r="A51" s="11">
        <v>395.0</v>
      </c>
      <c r="B51" s="12" t="s">
        <v>7577</v>
      </c>
      <c r="C51" s="11"/>
      <c r="D51" s="11" t="s">
        <v>7578</v>
      </c>
      <c r="E51" s="11" t="s">
        <v>1468</v>
      </c>
      <c r="F51" s="11" t="s">
        <v>47</v>
      </c>
      <c r="G51" s="11" t="s">
        <v>4730</v>
      </c>
      <c r="H51" s="11" t="s">
        <v>7097</v>
      </c>
      <c r="I51" s="11" t="s">
        <v>2115</v>
      </c>
      <c r="J51" s="11">
        <v>8.777427558E9</v>
      </c>
      <c r="K51" s="11" t="s">
        <v>7086</v>
      </c>
      <c r="L51" s="11" t="s">
        <v>7003</v>
      </c>
      <c r="M51" s="11"/>
      <c r="N51" s="11" t="s">
        <v>7579</v>
      </c>
      <c r="O51" s="11" t="s">
        <v>7580</v>
      </c>
      <c r="P51" s="11"/>
      <c r="Q51" s="11" t="s">
        <v>7581</v>
      </c>
      <c r="R51" s="11"/>
      <c r="S51" s="11" t="s">
        <v>7582</v>
      </c>
      <c r="T51" s="11"/>
      <c r="U51" s="11" t="s">
        <v>7583</v>
      </c>
      <c r="V51" s="11" t="s">
        <v>7584</v>
      </c>
      <c r="W51" s="11"/>
      <c r="X51" s="11" t="s">
        <v>7585</v>
      </c>
      <c r="Y51" s="11"/>
      <c r="Z51" s="11" t="s">
        <v>6991</v>
      </c>
      <c r="AA51" s="11"/>
      <c r="AB51" s="11" t="s">
        <v>7078</v>
      </c>
      <c r="AC51" s="11"/>
      <c r="AD51" s="11" t="s">
        <v>7586</v>
      </c>
      <c r="AE51" s="13" t="s">
        <v>6994</v>
      </c>
      <c r="AF51" s="11"/>
      <c r="AG51" s="11" t="str">
        <f>AF51+AC51+AA52+Y52+W52+T52+R52+P52</f>
        <v>#VALUE!</v>
      </c>
      <c r="AH51" s="11"/>
    </row>
    <row r="52" ht="15.75" customHeight="1">
      <c r="A52" s="11">
        <v>312.0</v>
      </c>
      <c r="B52" s="12" t="s">
        <v>7587</v>
      </c>
      <c r="C52" s="11" t="s">
        <v>1531</v>
      </c>
      <c r="D52" s="11" t="s">
        <v>7588</v>
      </c>
      <c r="E52" s="16" t="s">
        <v>961</v>
      </c>
      <c r="F52" s="16" t="s">
        <v>7589</v>
      </c>
      <c r="G52" s="16"/>
      <c r="H52" s="16"/>
      <c r="I52" s="16"/>
      <c r="J52" s="16"/>
      <c r="K52" s="11"/>
      <c r="L52" s="11" t="s">
        <v>7003</v>
      </c>
      <c r="M52" s="11" t="s">
        <v>7590</v>
      </c>
      <c r="N52" s="11" t="s">
        <v>7591</v>
      </c>
      <c r="O52" s="11">
        <v>20.0</v>
      </c>
      <c r="P52" s="11" t="s">
        <v>7592</v>
      </c>
      <c r="Q52" s="11">
        <v>40.0</v>
      </c>
      <c r="R52" s="11" t="s">
        <v>7593</v>
      </c>
      <c r="S52" s="11">
        <v>40.0</v>
      </c>
      <c r="T52" s="11" t="s">
        <v>7594</v>
      </c>
      <c r="U52" s="11" t="s">
        <v>7595</v>
      </c>
      <c r="V52" s="11">
        <v>40.0</v>
      </c>
      <c r="W52" s="11" t="s">
        <v>7596</v>
      </c>
      <c r="X52" s="11">
        <v>20.0</v>
      </c>
      <c r="Y52" s="11" t="s">
        <v>6991</v>
      </c>
      <c r="Z52" s="11">
        <v>0.0</v>
      </c>
      <c r="AA52" s="11" t="s">
        <v>7078</v>
      </c>
      <c r="AB52" s="11">
        <v>0.0</v>
      </c>
      <c r="AC52" s="11" t="s">
        <v>7597</v>
      </c>
      <c r="AD52" s="13" t="s">
        <v>6994</v>
      </c>
      <c r="AE52" s="11"/>
      <c r="AF52" s="11">
        <f t="shared" ref="AF52:AF53" si="9">O52+Q52+S52+V52+X52+Z52+AB52+AE52</f>
        <v>160</v>
      </c>
      <c r="AG52" s="11"/>
      <c r="AH52" s="11"/>
    </row>
    <row r="53" ht="15.75" customHeight="1">
      <c r="A53" s="11">
        <v>150.0</v>
      </c>
      <c r="B53" s="12" t="s">
        <v>7598</v>
      </c>
      <c r="C53" s="11" t="s">
        <v>4344</v>
      </c>
      <c r="D53" s="11" t="s">
        <v>7599</v>
      </c>
      <c r="E53" s="11" t="s">
        <v>3389</v>
      </c>
      <c r="F53" s="11" t="s">
        <v>5183</v>
      </c>
      <c r="G53" s="11" t="s">
        <v>5659</v>
      </c>
      <c r="H53" s="11" t="s">
        <v>6981</v>
      </c>
      <c r="I53" s="11" t="s">
        <v>494</v>
      </c>
      <c r="J53" s="11" t="s">
        <v>7600</v>
      </c>
      <c r="K53" s="11"/>
      <c r="L53" s="11" t="s">
        <v>7003</v>
      </c>
      <c r="M53" s="11" t="s">
        <v>7601</v>
      </c>
      <c r="N53" s="11" t="s">
        <v>7602</v>
      </c>
      <c r="O53" s="11">
        <v>50.0</v>
      </c>
      <c r="P53" s="11" t="s">
        <v>7603</v>
      </c>
      <c r="Q53" s="11">
        <v>40.0</v>
      </c>
      <c r="R53" s="11" t="s">
        <v>7604</v>
      </c>
      <c r="S53" s="11">
        <v>35.0</v>
      </c>
      <c r="T53" s="11" t="s">
        <v>7605</v>
      </c>
      <c r="U53" s="11" t="s">
        <v>7606</v>
      </c>
      <c r="V53" s="11">
        <v>70.0</v>
      </c>
      <c r="W53" s="11" t="s">
        <v>7607</v>
      </c>
      <c r="X53" s="11">
        <v>25.0</v>
      </c>
      <c r="Y53" s="11" t="s">
        <v>7027</v>
      </c>
      <c r="Z53" s="11">
        <v>25.0</v>
      </c>
      <c r="AA53" s="13" t="s">
        <v>7608</v>
      </c>
      <c r="AB53" s="11">
        <v>60.0</v>
      </c>
      <c r="AC53" s="11" t="s">
        <v>7609</v>
      </c>
      <c r="AD53" s="13" t="s">
        <v>6994</v>
      </c>
      <c r="AE53" s="11">
        <v>0.0</v>
      </c>
      <c r="AF53" s="11">
        <f t="shared" si="9"/>
        <v>305</v>
      </c>
      <c r="AG53" s="11" t="s">
        <v>7610</v>
      </c>
      <c r="AH53" s="11"/>
    </row>
    <row r="54" ht="15.75" customHeight="1">
      <c r="A54" s="11">
        <v>397.0</v>
      </c>
      <c r="B54" s="12" t="s">
        <v>7611</v>
      </c>
      <c r="C54" s="11"/>
      <c r="D54" s="11" t="s">
        <v>7612</v>
      </c>
      <c r="E54" s="16" t="s">
        <v>961</v>
      </c>
      <c r="F54" s="16" t="s">
        <v>1712</v>
      </c>
      <c r="G54" s="16" t="s">
        <v>7613</v>
      </c>
      <c r="H54" s="16" t="s">
        <v>7001</v>
      </c>
      <c r="I54" s="16"/>
      <c r="J54" s="16"/>
      <c r="K54" s="11" t="s">
        <v>6982</v>
      </c>
      <c r="L54" s="11" t="s">
        <v>7003</v>
      </c>
      <c r="M54" s="11"/>
      <c r="N54" s="11" t="s">
        <v>7614</v>
      </c>
      <c r="O54" s="11" t="s">
        <v>7615</v>
      </c>
      <c r="P54" s="11">
        <v>12.5</v>
      </c>
      <c r="Q54" s="11" t="s">
        <v>7616</v>
      </c>
      <c r="R54" s="11">
        <v>25.0</v>
      </c>
      <c r="S54" s="11" t="s">
        <v>7617</v>
      </c>
      <c r="T54" s="11">
        <v>25.0</v>
      </c>
      <c r="U54" s="11" t="s">
        <v>7618</v>
      </c>
      <c r="V54" s="11" t="s">
        <v>7619</v>
      </c>
      <c r="W54" s="11">
        <v>10.0</v>
      </c>
      <c r="X54" s="11" t="s">
        <v>7620</v>
      </c>
      <c r="Y54" s="11">
        <v>10.0</v>
      </c>
      <c r="Z54" s="11" t="s">
        <v>6991</v>
      </c>
      <c r="AA54" s="11">
        <v>10.0</v>
      </c>
      <c r="AB54" s="11" t="s">
        <v>7078</v>
      </c>
      <c r="AC54" s="11">
        <v>0.0</v>
      </c>
      <c r="AD54" s="11" t="s">
        <v>7621</v>
      </c>
      <c r="AE54" s="13" t="s">
        <v>6994</v>
      </c>
      <c r="AF54" s="11"/>
      <c r="AG54" s="11">
        <f>AF54+AC54+AA54+Y54+W54+T54+R54+P54</f>
        <v>92.5</v>
      </c>
      <c r="AH54" s="11" t="str">
        <f>AF54+AC54+AA55+Y55+W55+T55+R55+P55</f>
        <v>#VALUE!</v>
      </c>
    </row>
    <row r="55" ht="15.75" customHeight="1">
      <c r="A55" s="11">
        <v>155.0</v>
      </c>
      <c r="B55" s="12" t="s">
        <v>7622</v>
      </c>
      <c r="C55" s="11" t="s">
        <v>4344</v>
      </c>
      <c r="D55" s="11" t="s">
        <v>7623</v>
      </c>
      <c r="E55" s="11" t="s">
        <v>1421</v>
      </c>
      <c r="F55" s="11" t="s">
        <v>225</v>
      </c>
      <c r="G55" s="11" t="s">
        <v>4845</v>
      </c>
      <c r="H55" s="11" t="s">
        <v>6981</v>
      </c>
      <c r="I55" s="11" t="s">
        <v>5211</v>
      </c>
      <c r="J55" s="11">
        <v>9.910143352E9</v>
      </c>
      <c r="K55" s="11" t="s">
        <v>7411</v>
      </c>
      <c r="L55" s="11" t="s">
        <v>6983</v>
      </c>
      <c r="M55" s="11" t="s">
        <v>7624</v>
      </c>
      <c r="N55" s="11" t="s">
        <v>7625</v>
      </c>
      <c r="O55" s="11">
        <v>70.0</v>
      </c>
      <c r="P55" s="11" t="s">
        <v>7626</v>
      </c>
      <c r="Q55" s="11">
        <v>50.0</v>
      </c>
      <c r="R55" s="11" t="s">
        <v>7627</v>
      </c>
      <c r="S55" s="11">
        <v>75.0</v>
      </c>
      <c r="T55" s="11" t="s">
        <v>7628</v>
      </c>
      <c r="U55" s="11" t="s">
        <v>7629</v>
      </c>
      <c r="V55" s="11">
        <v>25.0</v>
      </c>
      <c r="W55" s="11" t="s">
        <v>7630</v>
      </c>
      <c r="X55" s="11">
        <v>50.0</v>
      </c>
      <c r="Y55" s="11" t="s">
        <v>7055</v>
      </c>
      <c r="Z55" s="11">
        <v>25.0</v>
      </c>
      <c r="AA55" s="13" t="s">
        <v>7631</v>
      </c>
      <c r="AB55" s="11">
        <v>0.0</v>
      </c>
      <c r="AC55" s="11" t="s">
        <v>7632</v>
      </c>
      <c r="AD55" s="13" t="s">
        <v>6994</v>
      </c>
      <c r="AE55" s="11">
        <v>0.0</v>
      </c>
      <c r="AF55" s="11">
        <f>O55+Q55+S55+V55+X55+Z55+AB55+AE55</f>
        <v>295</v>
      </c>
      <c r="AG55" s="11" t="s">
        <v>7633</v>
      </c>
      <c r="AH55" s="11"/>
    </row>
    <row r="56" ht="15.75" customHeight="1">
      <c r="A56" s="11">
        <v>113.0</v>
      </c>
      <c r="B56" s="12" t="s">
        <v>7634</v>
      </c>
      <c r="C56" s="11"/>
      <c r="D56" s="11" t="s">
        <v>7635</v>
      </c>
      <c r="E56" s="11" t="s">
        <v>3728</v>
      </c>
      <c r="F56" s="11" t="s">
        <v>5006</v>
      </c>
      <c r="G56" s="11" t="s">
        <v>5934</v>
      </c>
      <c r="H56" s="11" t="s">
        <v>7019</v>
      </c>
      <c r="I56" s="11" t="s">
        <v>5906</v>
      </c>
      <c r="J56" s="11">
        <v>9.497600646E9</v>
      </c>
      <c r="K56" s="11" t="s">
        <v>6982</v>
      </c>
      <c r="L56" s="11" t="s">
        <v>6983</v>
      </c>
      <c r="M56" s="11" t="s">
        <v>7636</v>
      </c>
      <c r="N56" s="11" t="s">
        <v>7637</v>
      </c>
      <c r="O56" s="11">
        <v>88.0</v>
      </c>
      <c r="P56" s="11" t="s">
        <v>7638</v>
      </c>
      <c r="Q56" s="11">
        <v>70.0</v>
      </c>
      <c r="R56" s="11" t="s">
        <v>7639</v>
      </c>
      <c r="S56" s="11">
        <v>70.0</v>
      </c>
      <c r="T56" s="11" t="s">
        <v>7640</v>
      </c>
      <c r="U56" s="11" t="s">
        <v>7641</v>
      </c>
      <c r="V56" s="11">
        <v>75.0</v>
      </c>
      <c r="W56" s="11" t="s">
        <v>7642</v>
      </c>
      <c r="X56" s="11">
        <v>25.0</v>
      </c>
      <c r="Y56" s="11" t="s">
        <v>6991</v>
      </c>
      <c r="Z56" s="11">
        <v>25.0</v>
      </c>
      <c r="AA56" s="11" t="s">
        <v>7078</v>
      </c>
      <c r="AB56" s="11">
        <v>0.0</v>
      </c>
      <c r="AC56" s="11" t="s">
        <v>7643</v>
      </c>
      <c r="AD56" s="13" t="s">
        <v>6994</v>
      </c>
      <c r="AE56" s="11"/>
      <c r="AF56" s="11">
        <f>AE56+AB56+Z56+X56+V56+S56+Q56+O56</f>
        <v>353</v>
      </c>
      <c r="AG56" s="11"/>
      <c r="AH56" s="11"/>
    </row>
    <row r="57" ht="15.75" customHeight="1">
      <c r="A57" s="11">
        <v>364.0</v>
      </c>
      <c r="B57" s="12" t="s">
        <v>7644</v>
      </c>
      <c r="C57" s="11"/>
      <c r="D57" s="13" t="s">
        <v>7645</v>
      </c>
      <c r="E57" s="13" t="s">
        <v>5751</v>
      </c>
      <c r="F57" s="13" t="s">
        <v>65</v>
      </c>
      <c r="G57" s="13" t="s">
        <v>5752</v>
      </c>
      <c r="H57" s="13" t="s">
        <v>102</v>
      </c>
      <c r="I57" s="13" t="s">
        <v>5684</v>
      </c>
      <c r="J57" s="13" t="s">
        <v>5753</v>
      </c>
      <c r="K57" s="13" t="s">
        <v>6982</v>
      </c>
      <c r="L57" s="11" t="s">
        <v>6983</v>
      </c>
      <c r="M57" s="11" t="s">
        <v>7646</v>
      </c>
      <c r="N57" s="11" t="s">
        <v>7647</v>
      </c>
      <c r="O57" s="11"/>
      <c r="P57" s="11" t="s">
        <v>7648</v>
      </c>
      <c r="Q57" s="11"/>
      <c r="R57" s="11" t="s">
        <v>7649</v>
      </c>
      <c r="S57" s="11"/>
      <c r="T57" s="11" t="s">
        <v>7650</v>
      </c>
      <c r="U57" s="11" t="s">
        <v>7651</v>
      </c>
      <c r="V57" s="11"/>
      <c r="W57" s="11" t="s">
        <v>7652</v>
      </c>
      <c r="X57" s="11"/>
      <c r="Y57" s="11" t="s">
        <v>6991</v>
      </c>
      <c r="Z57" s="11"/>
      <c r="AA57" s="13" t="s">
        <v>7653</v>
      </c>
      <c r="AB57" s="28"/>
      <c r="AC57" s="28">
        <v>44170.0</v>
      </c>
      <c r="AD57" s="11"/>
      <c r="AE57" s="11"/>
      <c r="AF57" s="28">
        <f>O57+Q57+S57+V57+X57+Z57+AB57+AE57</f>
        <v>0</v>
      </c>
      <c r="AG57" s="11"/>
      <c r="AH57" s="11"/>
    </row>
    <row r="58" ht="15.75" customHeight="1">
      <c r="A58" s="11">
        <v>14.0</v>
      </c>
      <c r="B58" s="12" t="s">
        <v>7654</v>
      </c>
      <c r="C58" s="11"/>
      <c r="D58" s="13" t="s">
        <v>7655</v>
      </c>
      <c r="E58" s="13" t="s">
        <v>1421</v>
      </c>
      <c r="F58" s="13" t="s">
        <v>6217</v>
      </c>
      <c r="G58" s="13" t="s">
        <v>4334</v>
      </c>
      <c r="H58" s="13" t="s">
        <v>7047</v>
      </c>
      <c r="I58" s="13" t="s">
        <v>2025</v>
      </c>
      <c r="J58" s="13">
        <v>8.860094202E9</v>
      </c>
      <c r="K58" s="13" t="s">
        <v>6982</v>
      </c>
      <c r="L58" s="11" t="s">
        <v>6983</v>
      </c>
      <c r="M58" s="29" t="s">
        <v>7656</v>
      </c>
      <c r="N58" s="11" t="s">
        <v>7657</v>
      </c>
      <c r="O58" s="11">
        <v>70.0</v>
      </c>
      <c r="P58" s="11" t="s">
        <v>7658</v>
      </c>
      <c r="Q58" s="11">
        <v>75.0</v>
      </c>
      <c r="R58" s="11" t="s">
        <v>7659</v>
      </c>
      <c r="S58" s="11">
        <v>60.0</v>
      </c>
      <c r="T58" s="11" t="s">
        <v>7660</v>
      </c>
      <c r="U58" s="11" t="s">
        <v>7661</v>
      </c>
      <c r="V58" s="11">
        <v>80.0</v>
      </c>
      <c r="W58" s="11" t="s">
        <v>7662</v>
      </c>
      <c r="X58" s="11">
        <v>80.0</v>
      </c>
      <c r="Y58" s="11" t="s">
        <v>7027</v>
      </c>
      <c r="Z58" s="11">
        <v>60.0</v>
      </c>
      <c r="AA58" s="13" t="s">
        <v>7663</v>
      </c>
      <c r="AB58" s="19">
        <v>80.0</v>
      </c>
      <c r="AC58" s="30">
        <v>44169.0</v>
      </c>
      <c r="AD58" s="30"/>
      <c r="AE58" s="11"/>
      <c r="AF58" s="11">
        <f>AE58+AB58+Z58+X58+V58+S58+Q58+O58</f>
        <v>505</v>
      </c>
      <c r="AG58" s="11"/>
      <c r="AH58" s="11"/>
    </row>
    <row r="59" ht="15.75" customHeight="1">
      <c r="A59" s="11">
        <v>133.0</v>
      </c>
      <c r="B59" s="12" t="s">
        <v>7664</v>
      </c>
      <c r="C59" s="11"/>
      <c r="D59" s="11" t="s">
        <v>7665</v>
      </c>
      <c r="E59" s="11" t="s">
        <v>6191</v>
      </c>
      <c r="F59" s="11" t="s">
        <v>6192</v>
      </c>
      <c r="G59" s="11" t="s">
        <v>6193</v>
      </c>
      <c r="H59" s="11" t="s">
        <v>7184</v>
      </c>
      <c r="I59" s="11" t="s">
        <v>6037</v>
      </c>
      <c r="J59" s="11">
        <v>8.83896985E9</v>
      </c>
      <c r="K59" s="11" t="s">
        <v>6982</v>
      </c>
      <c r="L59" s="11" t="s">
        <v>6983</v>
      </c>
      <c r="M59" s="11" t="s">
        <v>7666</v>
      </c>
      <c r="N59" s="11" t="s">
        <v>7667</v>
      </c>
      <c r="O59" s="11"/>
      <c r="P59" s="11" t="s">
        <v>7668</v>
      </c>
      <c r="Q59" s="11">
        <v>80.0</v>
      </c>
      <c r="R59" s="11" t="s">
        <v>7669</v>
      </c>
      <c r="S59" s="11">
        <v>60.0</v>
      </c>
      <c r="T59" s="25" t="s">
        <v>7670</v>
      </c>
      <c r="U59" s="11" t="s">
        <v>7671</v>
      </c>
      <c r="V59" s="11">
        <v>70.0</v>
      </c>
      <c r="W59" s="11" t="s">
        <v>7672</v>
      </c>
      <c r="X59" s="11">
        <v>80.0</v>
      </c>
      <c r="Y59" s="11" t="s">
        <v>6991</v>
      </c>
      <c r="Z59" s="11">
        <v>40.0</v>
      </c>
      <c r="AA59" s="13" t="s">
        <v>7673</v>
      </c>
      <c r="AB59" s="19">
        <v>0.0</v>
      </c>
      <c r="AC59" s="11" t="s">
        <v>7674</v>
      </c>
      <c r="AD59" s="13" t="s">
        <v>6994</v>
      </c>
      <c r="AE59" s="11"/>
      <c r="AF59" s="11">
        <f>O59+Q59+S59+V59+X59+Z59+AB59+AE59</f>
        <v>330</v>
      </c>
      <c r="AG59" s="11"/>
      <c r="AH59" s="11"/>
    </row>
    <row r="60" ht="15.75" customHeight="1">
      <c r="A60" s="11">
        <v>199.0</v>
      </c>
      <c r="B60" s="12" t="s">
        <v>7675</v>
      </c>
      <c r="C60" s="11" t="s">
        <v>7043</v>
      </c>
      <c r="D60" s="11" t="s">
        <v>7676</v>
      </c>
      <c r="E60" s="11" t="s">
        <v>5053</v>
      </c>
      <c r="F60" s="11" t="s">
        <v>65</v>
      </c>
      <c r="G60" s="11" t="s">
        <v>4700</v>
      </c>
      <c r="H60" s="11" t="s">
        <v>7677</v>
      </c>
      <c r="I60" s="11" t="s">
        <v>4015</v>
      </c>
      <c r="J60" s="11">
        <v>9.821610158E9</v>
      </c>
      <c r="K60" s="11"/>
      <c r="L60" s="11" t="s">
        <v>7003</v>
      </c>
      <c r="M60" s="11" t="s">
        <v>7678</v>
      </c>
      <c r="N60" s="11" t="s">
        <v>7679</v>
      </c>
      <c r="O60" s="11">
        <v>75.0</v>
      </c>
      <c r="P60" s="11" t="s">
        <v>7680</v>
      </c>
      <c r="Q60" s="11">
        <v>50.0</v>
      </c>
      <c r="R60" s="11" t="s">
        <v>7681</v>
      </c>
      <c r="S60" s="11">
        <v>25.0</v>
      </c>
      <c r="T60" s="11" t="s">
        <v>7682</v>
      </c>
      <c r="U60" s="11" t="s">
        <v>7683</v>
      </c>
      <c r="V60" s="11">
        <v>25.0</v>
      </c>
      <c r="W60" s="11" t="s">
        <v>7684</v>
      </c>
      <c r="X60" s="11">
        <v>25.0</v>
      </c>
      <c r="Y60" s="11" t="s">
        <v>7027</v>
      </c>
      <c r="Z60" s="11">
        <v>25.0</v>
      </c>
      <c r="AA60" s="13" t="s">
        <v>7685</v>
      </c>
      <c r="AB60" s="11">
        <v>25.0</v>
      </c>
      <c r="AC60" s="11" t="s">
        <v>7686</v>
      </c>
      <c r="AD60" s="13" t="s">
        <v>6994</v>
      </c>
      <c r="AE60" s="11"/>
      <c r="AF60" s="11">
        <f>AE60+AB60+Z60+X60+V60+S60+Q60+O60</f>
        <v>250</v>
      </c>
      <c r="AG60" s="11"/>
      <c r="AH60" s="11"/>
    </row>
    <row r="61" ht="15.75" customHeight="1">
      <c r="A61" s="11">
        <v>184.0</v>
      </c>
      <c r="B61" s="12" t="s">
        <v>7687</v>
      </c>
      <c r="C61" s="11" t="s">
        <v>7168</v>
      </c>
      <c r="D61" s="11" t="s">
        <v>7688</v>
      </c>
      <c r="E61" s="11" t="s">
        <v>5166</v>
      </c>
      <c r="F61" s="11" t="s">
        <v>5167</v>
      </c>
      <c r="G61" s="11" t="s">
        <v>5165</v>
      </c>
      <c r="H61" s="11" t="s">
        <v>7184</v>
      </c>
      <c r="I61" s="11" t="s">
        <v>5168</v>
      </c>
      <c r="J61" s="11">
        <v>8.233222111E9</v>
      </c>
      <c r="K61" s="11" t="s">
        <v>6982</v>
      </c>
      <c r="L61" s="11" t="s">
        <v>6983</v>
      </c>
      <c r="M61" s="11" t="s">
        <v>7689</v>
      </c>
      <c r="N61" s="11" t="s">
        <v>7690</v>
      </c>
      <c r="O61" s="11">
        <v>75.0</v>
      </c>
      <c r="P61" s="11" t="s">
        <v>7691</v>
      </c>
      <c r="Q61" s="11">
        <v>50.0</v>
      </c>
      <c r="R61" s="11" t="s">
        <v>7692</v>
      </c>
      <c r="S61" s="11">
        <v>75.0</v>
      </c>
      <c r="T61" s="11" t="s">
        <v>7693</v>
      </c>
      <c r="U61" s="11" t="s">
        <v>7694</v>
      </c>
      <c r="V61" s="11">
        <v>50.0</v>
      </c>
      <c r="W61" s="11" t="s">
        <v>4988</v>
      </c>
      <c r="X61" s="11">
        <v>0.0</v>
      </c>
      <c r="Y61" s="11" t="s">
        <v>7027</v>
      </c>
      <c r="Z61" s="11">
        <v>25.0</v>
      </c>
      <c r="AA61" s="11" t="s">
        <v>7078</v>
      </c>
      <c r="AB61" s="11"/>
      <c r="AC61" s="11" t="s">
        <v>7695</v>
      </c>
      <c r="AD61" s="13" t="s">
        <v>6994</v>
      </c>
      <c r="AE61" s="11"/>
      <c r="AF61" s="11">
        <f t="shared" ref="AF61:AF62" si="10">AB61+Z61+X61+V61+S61+Q61+O61</f>
        <v>275</v>
      </c>
      <c r="AG61" s="11" t="s">
        <v>7696</v>
      </c>
      <c r="AH61" s="11"/>
    </row>
    <row r="62" ht="15.75" customHeight="1">
      <c r="A62" s="11">
        <v>89.0</v>
      </c>
      <c r="B62" s="12" t="s">
        <v>7697</v>
      </c>
      <c r="C62" s="11"/>
      <c r="D62" s="11" t="s">
        <v>7698</v>
      </c>
      <c r="E62" s="11" t="s">
        <v>4605</v>
      </c>
      <c r="F62" s="11" t="s">
        <v>2003</v>
      </c>
      <c r="G62" s="11" t="s">
        <v>6384</v>
      </c>
      <c r="H62" s="11" t="s">
        <v>7047</v>
      </c>
      <c r="I62" s="11" t="s">
        <v>4276</v>
      </c>
      <c r="J62" s="11">
        <v>9.701303895E9</v>
      </c>
      <c r="K62" s="11" t="s">
        <v>7411</v>
      </c>
      <c r="L62" s="11" t="s">
        <v>6983</v>
      </c>
      <c r="M62" s="11" t="s">
        <v>7699</v>
      </c>
      <c r="N62" s="11" t="s">
        <v>7700</v>
      </c>
      <c r="O62" s="11">
        <v>70.0</v>
      </c>
      <c r="P62" s="11" t="s">
        <v>7701</v>
      </c>
      <c r="Q62" s="11">
        <v>50.0</v>
      </c>
      <c r="R62" s="11" t="s">
        <v>7702</v>
      </c>
      <c r="S62" s="11">
        <v>50.0</v>
      </c>
      <c r="T62" s="11" t="s">
        <v>7703</v>
      </c>
      <c r="U62" s="11" t="s">
        <v>7704</v>
      </c>
      <c r="V62" s="11">
        <v>80.0</v>
      </c>
      <c r="W62" s="11" t="s">
        <v>7705</v>
      </c>
      <c r="X62" s="11">
        <v>60.0</v>
      </c>
      <c r="Y62" s="11" t="s">
        <v>6991</v>
      </c>
      <c r="Z62" s="11">
        <v>25.0</v>
      </c>
      <c r="AA62" s="13" t="s">
        <v>7706</v>
      </c>
      <c r="AB62" s="11">
        <v>50.0</v>
      </c>
      <c r="AC62" s="11" t="s">
        <v>7707</v>
      </c>
      <c r="AD62" s="13" t="s">
        <v>6994</v>
      </c>
      <c r="AE62" s="11"/>
      <c r="AF62" s="11">
        <f t="shared" si="10"/>
        <v>385</v>
      </c>
      <c r="AG62" s="11"/>
      <c r="AH62" s="11"/>
    </row>
    <row r="63" ht="15.75" customHeight="1">
      <c r="A63" s="11">
        <v>76.0</v>
      </c>
      <c r="B63" s="12" t="s">
        <v>7708</v>
      </c>
      <c r="C63" s="11"/>
      <c r="D63" s="11" t="s">
        <v>7709</v>
      </c>
      <c r="E63" s="11" t="s">
        <v>3686</v>
      </c>
      <c r="F63" s="11" t="s">
        <v>63</v>
      </c>
      <c r="G63" s="11" t="s">
        <v>4700</v>
      </c>
      <c r="H63" s="11" t="s">
        <v>6981</v>
      </c>
      <c r="I63" s="11" t="s">
        <v>4015</v>
      </c>
      <c r="J63" s="11" t="s">
        <v>7710</v>
      </c>
      <c r="K63" s="11"/>
      <c r="L63" s="11" t="s">
        <v>7003</v>
      </c>
      <c r="M63" s="11" t="s">
        <v>7711</v>
      </c>
      <c r="N63" s="11" t="s">
        <v>7712</v>
      </c>
      <c r="O63" s="11">
        <v>50.0</v>
      </c>
      <c r="P63" s="11" t="s">
        <v>7713</v>
      </c>
      <c r="Q63" s="11">
        <v>60.0</v>
      </c>
      <c r="R63" s="11" t="s">
        <v>7714</v>
      </c>
      <c r="S63" s="11">
        <v>80.0</v>
      </c>
      <c r="T63" s="11" t="s">
        <v>7715</v>
      </c>
      <c r="U63" s="11" t="s">
        <v>7716</v>
      </c>
      <c r="V63" s="11">
        <v>80.0</v>
      </c>
      <c r="W63" s="11" t="s">
        <v>7717</v>
      </c>
      <c r="X63" s="11">
        <v>90.0</v>
      </c>
      <c r="Y63" s="11" t="s">
        <v>6991</v>
      </c>
      <c r="Z63" s="11">
        <v>40.0</v>
      </c>
      <c r="AA63" s="11" t="s">
        <v>7078</v>
      </c>
      <c r="AB63" s="11">
        <v>0.0</v>
      </c>
      <c r="AC63" s="11" t="s">
        <v>7718</v>
      </c>
      <c r="AD63" s="13" t="s">
        <v>6994</v>
      </c>
      <c r="AE63" s="11"/>
      <c r="AF63" s="11">
        <f>O63+Q63+S63+V63+X63+Z63+AB63+AE63</f>
        <v>400</v>
      </c>
      <c r="AG63" s="11"/>
      <c r="AH63" s="11"/>
    </row>
    <row r="64" ht="15.75" customHeight="1">
      <c r="A64" s="11">
        <v>82.0</v>
      </c>
      <c r="B64" s="12" t="s">
        <v>7719</v>
      </c>
      <c r="C64" s="11" t="s">
        <v>7081</v>
      </c>
      <c r="D64" s="11" t="s">
        <v>7720</v>
      </c>
      <c r="E64" s="11" t="s">
        <v>4657</v>
      </c>
      <c r="F64" s="11" t="s">
        <v>65</v>
      </c>
      <c r="G64" s="11" t="s">
        <v>7721</v>
      </c>
      <c r="H64" s="11" t="s">
        <v>7019</v>
      </c>
      <c r="I64" s="11" t="s">
        <v>4652</v>
      </c>
      <c r="J64" s="11"/>
      <c r="K64" s="11" t="s">
        <v>7411</v>
      </c>
      <c r="L64" s="11" t="s">
        <v>6983</v>
      </c>
      <c r="M64" s="11" t="s">
        <v>7722</v>
      </c>
      <c r="N64" s="11" t="s">
        <v>7723</v>
      </c>
      <c r="O64" s="11">
        <v>70.0</v>
      </c>
      <c r="P64" s="11" t="s">
        <v>7724</v>
      </c>
      <c r="Q64" s="11">
        <v>50.0</v>
      </c>
      <c r="R64" s="11" t="s">
        <v>7725</v>
      </c>
      <c r="S64" s="11">
        <v>50.0</v>
      </c>
      <c r="T64" s="11" t="s">
        <v>7726</v>
      </c>
      <c r="U64" s="11" t="s">
        <v>7727</v>
      </c>
      <c r="V64" s="11">
        <v>100.0</v>
      </c>
      <c r="W64" s="11" t="s">
        <v>7728</v>
      </c>
      <c r="X64" s="11">
        <v>50.0</v>
      </c>
      <c r="Y64" s="11" t="s">
        <v>7027</v>
      </c>
      <c r="Z64" s="13">
        <v>25.0</v>
      </c>
      <c r="AA64" s="13" t="s">
        <v>7729</v>
      </c>
      <c r="AB64" s="11">
        <v>50.0</v>
      </c>
      <c r="AC64" s="11" t="s">
        <v>7730</v>
      </c>
      <c r="AD64" s="13" t="s">
        <v>6994</v>
      </c>
      <c r="AE64" s="11"/>
      <c r="AF64" s="11">
        <f>AE64+AB64+Z64+X64+V64+S64+Q64+O64</f>
        <v>395</v>
      </c>
      <c r="AG64" s="11"/>
      <c r="AH64" s="11"/>
    </row>
    <row r="65" ht="15.75" customHeight="1">
      <c r="A65" s="11">
        <v>122.0</v>
      </c>
      <c r="B65" s="12" t="s">
        <v>7731</v>
      </c>
      <c r="C65" s="11"/>
      <c r="D65" s="11" t="s">
        <v>7732</v>
      </c>
      <c r="E65" s="11" t="s">
        <v>1218</v>
      </c>
      <c r="F65" s="11" t="s">
        <v>4820</v>
      </c>
      <c r="G65" s="11" t="s">
        <v>4821</v>
      </c>
      <c r="H65" s="11" t="s">
        <v>7047</v>
      </c>
      <c r="I65" s="11" t="s">
        <v>1102</v>
      </c>
      <c r="J65" s="11">
        <v>9.625916855E9</v>
      </c>
      <c r="K65" s="11" t="s">
        <v>6982</v>
      </c>
      <c r="L65" s="11" t="s">
        <v>6983</v>
      </c>
      <c r="M65" s="11" t="s">
        <v>7733</v>
      </c>
      <c r="N65" s="11" t="s">
        <v>7734</v>
      </c>
      <c r="O65" s="11">
        <v>50.0</v>
      </c>
      <c r="P65" s="11" t="s">
        <v>7735</v>
      </c>
      <c r="Q65" s="11">
        <v>50.0</v>
      </c>
      <c r="R65" s="11" t="s">
        <v>7736</v>
      </c>
      <c r="S65" s="11">
        <v>70.0</v>
      </c>
      <c r="T65" s="11" t="s">
        <v>7737</v>
      </c>
      <c r="U65" s="11" t="s">
        <v>7738</v>
      </c>
      <c r="V65" s="11">
        <v>70.0</v>
      </c>
      <c r="W65" s="11" t="s">
        <v>7739</v>
      </c>
      <c r="X65" s="11">
        <v>50.0</v>
      </c>
      <c r="Y65" s="11" t="s">
        <v>7193</v>
      </c>
      <c r="Z65" s="11">
        <v>25.0</v>
      </c>
      <c r="AA65" s="13" t="s">
        <v>7740</v>
      </c>
      <c r="AB65" s="11">
        <v>25.0</v>
      </c>
      <c r="AC65" s="11" t="s">
        <v>7741</v>
      </c>
      <c r="AD65" s="13" t="s">
        <v>7504</v>
      </c>
      <c r="AE65" s="11"/>
      <c r="AF65" s="11">
        <f>AB65+Z65+X65+V65+S65+Q65+O65</f>
        <v>340</v>
      </c>
      <c r="AG65" s="11" t="s">
        <v>7742</v>
      </c>
      <c r="AH65" s="11"/>
    </row>
    <row r="66" ht="15.75" customHeight="1">
      <c r="A66" s="11">
        <v>222.0</v>
      </c>
      <c r="B66" s="11" t="s">
        <v>7743</v>
      </c>
      <c r="C66" s="11" t="s">
        <v>7043</v>
      </c>
      <c r="D66" s="11" t="s">
        <v>7744</v>
      </c>
      <c r="E66" s="11" t="s">
        <v>2930</v>
      </c>
      <c r="F66" s="11" t="s">
        <v>4229</v>
      </c>
      <c r="G66" s="11" t="s">
        <v>5429</v>
      </c>
      <c r="H66" s="11" t="s">
        <v>7097</v>
      </c>
      <c r="I66" s="11" t="s">
        <v>5408</v>
      </c>
      <c r="J66" s="11">
        <v>9.464791647E9</v>
      </c>
      <c r="K66" s="11" t="s">
        <v>6982</v>
      </c>
      <c r="L66" s="11" t="s">
        <v>7003</v>
      </c>
      <c r="M66" s="11" t="s">
        <v>7745</v>
      </c>
      <c r="N66" s="11" t="s">
        <v>7746</v>
      </c>
      <c r="O66" s="11">
        <v>60.0</v>
      </c>
      <c r="P66" s="11" t="s">
        <v>7747</v>
      </c>
      <c r="Q66" s="11">
        <v>50.0</v>
      </c>
      <c r="R66" s="11" t="s">
        <v>7748</v>
      </c>
      <c r="S66" s="11">
        <v>25.0</v>
      </c>
      <c r="T66" s="11" t="s">
        <v>7749</v>
      </c>
      <c r="U66" s="11" t="s">
        <v>7750</v>
      </c>
      <c r="V66" s="11">
        <v>60.0</v>
      </c>
      <c r="W66" s="11" t="s">
        <v>7751</v>
      </c>
      <c r="X66" s="11">
        <v>25.0</v>
      </c>
      <c r="Y66" s="11" t="s">
        <v>6991</v>
      </c>
      <c r="Z66" s="11">
        <v>25.0</v>
      </c>
      <c r="AA66" s="13" t="s">
        <v>7752</v>
      </c>
      <c r="AB66" s="11"/>
      <c r="AC66" s="11" t="s">
        <v>7753</v>
      </c>
      <c r="AD66" s="13" t="s">
        <v>6994</v>
      </c>
      <c r="AE66" s="11"/>
      <c r="AF66" s="11">
        <f>AE66+AB66+Z66+X66+V66+S66+Q66+O66</f>
        <v>245</v>
      </c>
      <c r="AG66" s="11"/>
      <c r="AH66" s="11"/>
    </row>
    <row r="67" ht="15.75" customHeight="1">
      <c r="A67" s="11">
        <v>54.0</v>
      </c>
      <c r="B67" s="12" t="s">
        <v>7754</v>
      </c>
      <c r="C67" s="11" t="s">
        <v>1531</v>
      </c>
      <c r="D67" s="11" t="s">
        <v>7755</v>
      </c>
      <c r="E67" s="11" t="s">
        <v>7756</v>
      </c>
      <c r="F67" s="11" t="s">
        <v>7757</v>
      </c>
      <c r="G67" s="11" t="s">
        <v>7758</v>
      </c>
      <c r="H67" s="11" t="s">
        <v>6981</v>
      </c>
      <c r="I67" s="11" t="s">
        <v>5645</v>
      </c>
      <c r="J67" s="11">
        <v>8.939770555E9</v>
      </c>
      <c r="K67" s="11" t="s">
        <v>7411</v>
      </c>
      <c r="L67" s="11" t="s">
        <v>6983</v>
      </c>
      <c r="M67" s="11" t="s">
        <v>7759</v>
      </c>
      <c r="N67" s="11" t="s">
        <v>7760</v>
      </c>
      <c r="O67" s="11">
        <v>75.0</v>
      </c>
      <c r="P67" s="11" t="s">
        <v>7761</v>
      </c>
      <c r="Q67" s="11">
        <v>60.0</v>
      </c>
      <c r="R67" s="11" t="s">
        <v>7762</v>
      </c>
      <c r="S67" s="11">
        <v>60.0</v>
      </c>
      <c r="T67" s="11" t="s">
        <v>7763</v>
      </c>
      <c r="U67" s="11" t="s">
        <v>7764</v>
      </c>
      <c r="V67" s="11">
        <v>80.0</v>
      </c>
      <c r="W67" s="11" t="s">
        <v>7765</v>
      </c>
      <c r="X67" s="11">
        <v>70.0</v>
      </c>
      <c r="Y67" s="11" t="s">
        <v>7027</v>
      </c>
      <c r="Z67" s="11">
        <v>40.0</v>
      </c>
      <c r="AA67" s="13" t="s">
        <v>7766</v>
      </c>
      <c r="AB67" s="11">
        <v>40.0</v>
      </c>
      <c r="AC67" s="11" t="s">
        <v>7767</v>
      </c>
      <c r="AD67" s="13" t="s">
        <v>6994</v>
      </c>
      <c r="AE67" s="11">
        <v>0.0</v>
      </c>
      <c r="AF67" s="11">
        <f t="shared" ref="AF67:AF68" si="11">O67+Q67+S67+V67+X67+Z67+AB67+AE67</f>
        <v>425</v>
      </c>
      <c r="AG67" s="11"/>
      <c r="AH67" s="11"/>
    </row>
    <row r="68" ht="15.75" customHeight="1">
      <c r="A68" s="11">
        <v>28.0</v>
      </c>
      <c r="B68" s="12" t="s">
        <v>7768</v>
      </c>
      <c r="C68" s="11"/>
      <c r="D68" s="11" t="s">
        <v>7769</v>
      </c>
      <c r="E68" s="11" t="s">
        <v>5047</v>
      </c>
      <c r="F68" s="11" t="s">
        <v>899</v>
      </c>
      <c r="G68" s="11" t="s">
        <v>5048</v>
      </c>
      <c r="H68" s="11" t="s">
        <v>6981</v>
      </c>
      <c r="I68" s="11" t="s">
        <v>4015</v>
      </c>
      <c r="J68" s="11">
        <v>9.71130816E9</v>
      </c>
      <c r="K68" s="11" t="s">
        <v>7411</v>
      </c>
      <c r="L68" s="11" t="s">
        <v>6983</v>
      </c>
      <c r="M68" s="11" t="s">
        <v>7770</v>
      </c>
      <c r="N68" s="11" t="s">
        <v>7771</v>
      </c>
      <c r="O68" s="11">
        <v>80.0</v>
      </c>
      <c r="P68" s="11" t="s">
        <v>7772</v>
      </c>
      <c r="Q68" s="11">
        <v>80.0</v>
      </c>
      <c r="R68" s="11" t="s">
        <v>7773</v>
      </c>
      <c r="S68" s="11">
        <v>80.0</v>
      </c>
      <c r="T68" s="11" t="s">
        <v>7774</v>
      </c>
      <c r="U68" s="11" t="s">
        <v>7775</v>
      </c>
      <c r="V68" s="11">
        <v>80.0</v>
      </c>
      <c r="W68" s="11" t="s">
        <v>7776</v>
      </c>
      <c r="X68" s="11">
        <v>80.0</v>
      </c>
      <c r="Y68" s="11" t="s">
        <v>6991</v>
      </c>
      <c r="Z68" s="11">
        <v>40.0</v>
      </c>
      <c r="AA68" s="13" t="s">
        <v>7777</v>
      </c>
      <c r="AB68" s="19">
        <v>20.0</v>
      </c>
      <c r="AC68" s="11" t="s">
        <v>7778</v>
      </c>
      <c r="AD68" s="13" t="s">
        <v>6994</v>
      </c>
      <c r="AE68" s="11"/>
      <c r="AF68" s="11">
        <f t="shared" si="11"/>
        <v>460</v>
      </c>
      <c r="AG68" s="11"/>
      <c r="AH68" s="11"/>
    </row>
    <row r="69" ht="15.75" customHeight="1">
      <c r="A69" s="11">
        <v>51.0</v>
      </c>
      <c r="B69" s="12" t="s">
        <v>7779</v>
      </c>
      <c r="C69" s="11"/>
      <c r="D69" s="11" t="s">
        <v>7780</v>
      </c>
      <c r="E69" s="11" t="s">
        <v>7781</v>
      </c>
      <c r="F69" s="11" t="s">
        <v>7782</v>
      </c>
      <c r="G69" s="11" t="s">
        <v>5254</v>
      </c>
      <c r="H69" s="11" t="s">
        <v>7097</v>
      </c>
      <c r="I69" s="11" t="s">
        <v>4276</v>
      </c>
      <c r="J69" s="11">
        <v>9.908888351E9</v>
      </c>
      <c r="K69" s="11"/>
      <c r="L69" s="11" t="s">
        <v>7003</v>
      </c>
      <c r="M69" s="11" t="s">
        <v>7783</v>
      </c>
      <c r="N69" s="11" t="s">
        <v>7784</v>
      </c>
      <c r="O69" s="11">
        <v>60.0</v>
      </c>
      <c r="P69" s="11" t="s">
        <v>7785</v>
      </c>
      <c r="Q69" s="11">
        <v>70.0</v>
      </c>
      <c r="R69" s="11" t="s">
        <v>7786</v>
      </c>
      <c r="S69" s="11">
        <v>70.0</v>
      </c>
      <c r="T69" s="11" t="s">
        <v>7787</v>
      </c>
      <c r="U69" s="11" t="s">
        <v>7788</v>
      </c>
      <c r="V69" s="11">
        <v>90.0</v>
      </c>
      <c r="W69" s="11" t="s">
        <v>7789</v>
      </c>
      <c r="X69" s="11">
        <v>60.0</v>
      </c>
      <c r="Y69" s="11" t="s">
        <v>6991</v>
      </c>
      <c r="Z69" s="11">
        <v>40.0</v>
      </c>
      <c r="AA69" s="13" t="s">
        <v>7790</v>
      </c>
      <c r="AB69" s="19">
        <v>40.0</v>
      </c>
      <c r="AC69" s="11" t="s">
        <v>7791</v>
      </c>
      <c r="AD69" s="13" t="s">
        <v>6994</v>
      </c>
      <c r="AE69" s="11"/>
      <c r="AF69" s="11">
        <f>AE69+AB69+Z69+X69+V69+S69+Q69+O69</f>
        <v>430</v>
      </c>
      <c r="AG69" s="11"/>
      <c r="AH69" s="11"/>
    </row>
    <row r="70" ht="15.75" customHeight="1">
      <c r="A70" s="11">
        <v>274.0</v>
      </c>
      <c r="B70" s="12" t="s">
        <v>7792</v>
      </c>
      <c r="C70" s="11" t="s">
        <v>4344</v>
      </c>
      <c r="D70" s="11" t="s">
        <v>7793</v>
      </c>
      <c r="E70" s="11" t="s">
        <v>6222</v>
      </c>
      <c r="F70" s="11" t="s">
        <v>4706</v>
      </c>
      <c r="G70" s="11" t="s">
        <v>7613</v>
      </c>
      <c r="H70" s="11" t="s">
        <v>7047</v>
      </c>
      <c r="I70" s="11"/>
      <c r="J70" s="11"/>
      <c r="K70" s="11" t="s">
        <v>6982</v>
      </c>
      <c r="L70" s="11" t="s">
        <v>7003</v>
      </c>
      <c r="M70" s="11" t="s">
        <v>7794</v>
      </c>
      <c r="N70" s="11" t="s">
        <v>7795</v>
      </c>
      <c r="O70" s="11">
        <v>40.0</v>
      </c>
      <c r="P70" s="11" t="s">
        <v>7796</v>
      </c>
      <c r="Q70" s="11">
        <v>25.0</v>
      </c>
      <c r="R70" s="11" t="s">
        <v>7797</v>
      </c>
      <c r="S70" s="11">
        <v>25.0</v>
      </c>
      <c r="T70" s="11" t="s">
        <v>7798</v>
      </c>
      <c r="U70" s="11" t="s">
        <v>7799</v>
      </c>
      <c r="V70" s="11">
        <v>50.0</v>
      </c>
      <c r="W70" s="11" t="s">
        <v>7800</v>
      </c>
      <c r="X70" s="11">
        <v>35.0</v>
      </c>
      <c r="Y70" s="11" t="s">
        <v>7055</v>
      </c>
      <c r="Z70" s="11">
        <v>25.0</v>
      </c>
      <c r="AA70" s="19" t="s">
        <v>7078</v>
      </c>
      <c r="AB70" s="11">
        <v>0.0</v>
      </c>
      <c r="AC70" s="11" t="s">
        <v>7801</v>
      </c>
      <c r="AD70" s="13" t="s">
        <v>7802</v>
      </c>
      <c r="AE70" s="11">
        <v>0.0</v>
      </c>
      <c r="AF70" s="11">
        <f>O70+Q70+S70+V70+X70+Z70+AB70+AE70</f>
        <v>200</v>
      </c>
      <c r="AG70" s="11" t="s">
        <v>7803</v>
      </c>
      <c r="AH70" s="11"/>
    </row>
    <row r="71" ht="15.75" customHeight="1">
      <c r="A71" s="11">
        <v>165.0</v>
      </c>
      <c r="B71" s="12" t="s">
        <v>7804</v>
      </c>
      <c r="C71" s="11" t="s">
        <v>7081</v>
      </c>
      <c r="D71" s="11" t="s">
        <v>7805</v>
      </c>
      <c r="E71" s="11" t="s">
        <v>1463</v>
      </c>
      <c r="F71" s="11" t="s">
        <v>4451</v>
      </c>
      <c r="G71" s="11" t="s">
        <v>4338</v>
      </c>
      <c r="H71" s="11" t="s">
        <v>7019</v>
      </c>
      <c r="I71" s="11" t="s">
        <v>2575</v>
      </c>
      <c r="J71" s="18">
        <v>9.790978976E9</v>
      </c>
      <c r="K71" s="11"/>
      <c r="L71" s="11" t="s">
        <v>7003</v>
      </c>
      <c r="M71" s="11" t="s">
        <v>7806</v>
      </c>
      <c r="N71" s="11" t="s">
        <v>7807</v>
      </c>
      <c r="O71" s="11">
        <v>70.0</v>
      </c>
      <c r="P71" s="11" t="s">
        <v>7808</v>
      </c>
      <c r="Q71" s="11">
        <v>50.0</v>
      </c>
      <c r="R71" s="11" t="s">
        <v>7809</v>
      </c>
      <c r="S71" s="11">
        <v>70.0</v>
      </c>
      <c r="T71" s="11" t="s">
        <v>7810</v>
      </c>
      <c r="U71" s="11" t="s">
        <v>7811</v>
      </c>
      <c r="V71" s="11">
        <v>50.0</v>
      </c>
      <c r="W71" s="11" t="s">
        <v>7812</v>
      </c>
      <c r="X71" s="11">
        <v>50.0</v>
      </c>
      <c r="Y71" s="11" t="s">
        <v>7027</v>
      </c>
      <c r="Z71" s="11"/>
      <c r="AA71" s="13" t="s">
        <v>7813</v>
      </c>
      <c r="AB71" s="11"/>
      <c r="AC71" s="11" t="s">
        <v>7814</v>
      </c>
      <c r="AD71" s="13" t="s">
        <v>6994</v>
      </c>
      <c r="AE71" s="11"/>
      <c r="AF71" s="11">
        <f t="shared" ref="AF71:AF74" si="12">AE71+AB71+Z71+X71+V71+S71+Q71+O71</f>
        <v>290</v>
      </c>
      <c r="AG71" s="11"/>
      <c r="AH71" s="11"/>
    </row>
    <row r="72" ht="15.75" customHeight="1">
      <c r="A72" s="11">
        <v>47.0</v>
      </c>
      <c r="B72" s="12" t="s">
        <v>7815</v>
      </c>
      <c r="C72" s="11" t="s">
        <v>7043</v>
      </c>
      <c r="D72" s="11" t="s">
        <v>7816</v>
      </c>
      <c r="E72" s="11" t="s">
        <v>4505</v>
      </c>
      <c r="F72" s="11" t="s">
        <v>3527</v>
      </c>
      <c r="G72" s="11" t="s">
        <v>7817</v>
      </c>
      <c r="H72" s="11" t="s">
        <v>7184</v>
      </c>
      <c r="I72" s="11"/>
      <c r="J72" s="11"/>
      <c r="K72" s="11" t="s">
        <v>6982</v>
      </c>
      <c r="L72" s="11" t="s">
        <v>6983</v>
      </c>
      <c r="M72" s="11" t="s">
        <v>7818</v>
      </c>
      <c r="N72" s="11" t="s">
        <v>7819</v>
      </c>
      <c r="O72" s="11">
        <v>60.0</v>
      </c>
      <c r="P72" s="11" t="s">
        <v>7820</v>
      </c>
      <c r="Q72" s="11">
        <v>75.0</v>
      </c>
      <c r="R72" s="11" t="s">
        <v>7821</v>
      </c>
      <c r="S72" s="11">
        <v>75.0</v>
      </c>
      <c r="T72" s="11" t="s">
        <v>7822</v>
      </c>
      <c r="U72" s="11" t="s">
        <v>7823</v>
      </c>
      <c r="V72" s="11">
        <v>75.0</v>
      </c>
      <c r="W72" s="11" t="s">
        <v>7824</v>
      </c>
      <c r="X72" s="11">
        <v>75.0</v>
      </c>
      <c r="Y72" s="11" t="s">
        <v>6991</v>
      </c>
      <c r="Z72" s="11">
        <v>25.0</v>
      </c>
      <c r="AA72" s="13" t="s">
        <v>7825</v>
      </c>
      <c r="AB72" s="11">
        <v>50.0</v>
      </c>
      <c r="AC72" s="11" t="s">
        <v>7826</v>
      </c>
      <c r="AD72" s="13" t="s">
        <v>6994</v>
      </c>
      <c r="AE72" s="11"/>
      <c r="AF72" s="11">
        <f t="shared" si="12"/>
        <v>435</v>
      </c>
      <c r="AG72" s="11"/>
      <c r="AH72" s="11"/>
    </row>
    <row r="73" ht="15.75" customHeight="1">
      <c r="A73" s="11">
        <v>219.0</v>
      </c>
      <c r="B73" s="12" t="s">
        <v>7827</v>
      </c>
      <c r="C73" s="11" t="s">
        <v>7043</v>
      </c>
      <c r="D73" s="11" t="s">
        <v>7828</v>
      </c>
      <c r="E73" s="11" t="s">
        <v>6</v>
      </c>
      <c r="F73" s="11" t="s">
        <v>7</v>
      </c>
      <c r="G73" s="11" t="s">
        <v>8</v>
      </c>
      <c r="H73" s="11" t="s">
        <v>7184</v>
      </c>
      <c r="I73" s="11" t="s">
        <v>10</v>
      </c>
      <c r="J73" s="11">
        <v>8.318713397E9</v>
      </c>
      <c r="K73" s="11" t="s">
        <v>7411</v>
      </c>
      <c r="L73" s="11" t="s">
        <v>6983</v>
      </c>
      <c r="M73" s="11" t="s">
        <v>7829</v>
      </c>
      <c r="N73" s="11" t="s">
        <v>7830</v>
      </c>
      <c r="O73" s="11">
        <v>60.0</v>
      </c>
      <c r="P73" s="11" t="s">
        <v>7831</v>
      </c>
      <c r="Q73" s="11">
        <v>75.0</v>
      </c>
      <c r="R73" s="11" t="s">
        <v>7832</v>
      </c>
      <c r="S73" s="11">
        <v>25.0</v>
      </c>
      <c r="T73" s="11" t="s">
        <v>7833</v>
      </c>
      <c r="U73" s="11" t="s">
        <v>7834</v>
      </c>
      <c r="V73" s="11">
        <v>40.0</v>
      </c>
      <c r="W73" s="11" t="s">
        <v>7835</v>
      </c>
      <c r="X73" s="11">
        <v>25.0</v>
      </c>
      <c r="Y73" s="11" t="s">
        <v>6991</v>
      </c>
      <c r="Z73" s="11">
        <v>25.0</v>
      </c>
      <c r="AA73" s="11" t="s">
        <v>7078</v>
      </c>
      <c r="AB73" s="11">
        <v>0.0</v>
      </c>
      <c r="AC73" s="11" t="s">
        <v>7836</v>
      </c>
      <c r="AD73" s="13" t="s">
        <v>6994</v>
      </c>
      <c r="AE73" s="11"/>
      <c r="AF73" s="11">
        <f t="shared" si="12"/>
        <v>250</v>
      </c>
      <c r="AG73" s="11"/>
      <c r="AH73" s="11"/>
    </row>
    <row r="74" ht="15.75" customHeight="1">
      <c r="A74" s="11">
        <v>373.0</v>
      </c>
      <c r="B74" s="12" t="s">
        <v>7837</v>
      </c>
      <c r="C74" s="11"/>
      <c r="D74" s="11" t="s">
        <v>7838</v>
      </c>
      <c r="E74" s="11" t="s">
        <v>4761</v>
      </c>
      <c r="F74" s="11" t="s">
        <v>108</v>
      </c>
      <c r="G74" s="11" t="s">
        <v>5407</v>
      </c>
      <c r="H74" s="11" t="s">
        <v>7019</v>
      </c>
      <c r="I74" s="11" t="s">
        <v>5408</v>
      </c>
      <c r="J74" s="11">
        <v>8.054714331E9</v>
      </c>
      <c r="K74" s="11" t="s">
        <v>6982</v>
      </c>
      <c r="L74" s="11" t="s">
        <v>7003</v>
      </c>
      <c r="M74" s="11" t="s">
        <v>7839</v>
      </c>
      <c r="N74" s="11" t="s">
        <v>7840</v>
      </c>
      <c r="O74" s="11"/>
      <c r="P74" s="11" t="s">
        <v>7841</v>
      </c>
      <c r="Q74" s="11"/>
      <c r="R74" s="11" t="s">
        <v>7842</v>
      </c>
      <c r="S74" s="11"/>
      <c r="T74" s="11" t="s">
        <v>7843</v>
      </c>
      <c r="U74" s="11" t="s">
        <v>7844</v>
      </c>
      <c r="V74" s="11"/>
      <c r="W74" s="11" t="s">
        <v>7845</v>
      </c>
      <c r="X74" s="11"/>
      <c r="Y74" s="11" t="s">
        <v>7193</v>
      </c>
      <c r="Z74" s="11"/>
      <c r="AA74" s="13" t="s">
        <v>7846</v>
      </c>
      <c r="AB74" s="11"/>
      <c r="AC74" s="11" t="s">
        <v>7847</v>
      </c>
      <c r="AD74" s="13" t="s">
        <v>6994</v>
      </c>
      <c r="AE74" s="11"/>
      <c r="AF74" s="11">
        <f t="shared" si="12"/>
        <v>0</v>
      </c>
      <c r="AG74" s="11"/>
      <c r="AH74" s="11"/>
    </row>
    <row r="75" ht="15.75" customHeight="1">
      <c r="A75" s="11">
        <v>31.0</v>
      </c>
      <c r="B75" s="12" t="s">
        <v>7848</v>
      </c>
      <c r="C75" s="11" t="s">
        <v>4344</v>
      </c>
      <c r="D75" s="11" t="s">
        <v>7849</v>
      </c>
      <c r="E75" s="11" t="s">
        <v>3028</v>
      </c>
      <c r="F75" s="11" t="s">
        <v>108</v>
      </c>
      <c r="G75" s="11" t="s">
        <v>160</v>
      </c>
      <c r="H75" s="11" t="s">
        <v>7184</v>
      </c>
      <c r="I75" s="11" t="s">
        <v>4007</v>
      </c>
      <c r="J75" s="11">
        <v>9.818687433E9</v>
      </c>
      <c r="K75" s="11" t="s">
        <v>6982</v>
      </c>
      <c r="L75" s="11" t="s">
        <v>6983</v>
      </c>
      <c r="M75" s="11" t="s">
        <v>7850</v>
      </c>
      <c r="N75" s="11" t="s">
        <v>7851</v>
      </c>
      <c r="O75" s="11">
        <v>75.0</v>
      </c>
      <c r="P75" s="11" t="s">
        <v>7852</v>
      </c>
      <c r="Q75" s="11">
        <v>50.0</v>
      </c>
      <c r="R75" s="11" t="s">
        <v>7853</v>
      </c>
      <c r="S75" s="11">
        <v>75.0</v>
      </c>
      <c r="T75" s="11" t="s">
        <v>7854</v>
      </c>
      <c r="U75" s="11" t="s">
        <v>7855</v>
      </c>
      <c r="V75" s="11">
        <v>75.0</v>
      </c>
      <c r="W75" s="11" t="s">
        <v>7856</v>
      </c>
      <c r="X75" s="11">
        <v>50.0</v>
      </c>
      <c r="Y75" s="11" t="s">
        <v>7027</v>
      </c>
      <c r="Z75" s="11">
        <v>50.0</v>
      </c>
      <c r="AA75" s="13" t="s">
        <v>7857</v>
      </c>
      <c r="AB75" s="11">
        <v>80.0</v>
      </c>
      <c r="AC75" s="11" t="s">
        <v>7858</v>
      </c>
      <c r="AD75" s="13" t="s">
        <v>6994</v>
      </c>
      <c r="AE75" s="11">
        <v>0.0</v>
      </c>
      <c r="AF75" s="11">
        <f>O75+Q75+S75+V75+X75+Z75+AB75+AE75</f>
        <v>455</v>
      </c>
      <c r="AG75" s="11" t="s">
        <v>7859</v>
      </c>
      <c r="AH75" s="11"/>
    </row>
    <row r="76" ht="15.75" customHeight="1">
      <c r="A76" s="11">
        <v>384.0</v>
      </c>
      <c r="B76" s="12" t="s">
        <v>7860</v>
      </c>
      <c r="C76" s="11"/>
      <c r="D76" s="11" t="s">
        <v>7861</v>
      </c>
      <c r="E76" s="11" t="s">
        <v>6742</v>
      </c>
      <c r="F76" s="11" t="s">
        <v>1430</v>
      </c>
      <c r="G76" s="11" t="s">
        <v>6649</v>
      </c>
      <c r="H76" s="11" t="s">
        <v>7097</v>
      </c>
      <c r="I76" s="11" t="s">
        <v>6578</v>
      </c>
      <c r="J76" s="11">
        <v>8.811967317E9</v>
      </c>
      <c r="K76" s="11" t="s">
        <v>7411</v>
      </c>
      <c r="L76" s="11" t="s">
        <v>6983</v>
      </c>
      <c r="M76" s="11" t="s">
        <v>7862</v>
      </c>
      <c r="N76" s="11" t="s">
        <v>7863</v>
      </c>
      <c r="O76" s="11"/>
      <c r="P76" s="11" t="s">
        <v>7864</v>
      </c>
      <c r="Q76" s="11"/>
      <c r="R76" s="11" t="s">
        <v>7865</v>
      </c>
      <c r="S76" s="11"/>
      <c r="T76" s="11" t="s">
        <v>7866</v>
      </c>
      <c r="U76" s="11" t="s">
        <v>7867</v>
      </c>
      <c r="V76" s="11"/>
      <c r="W76" s="11" t="s">
        <v>7868</v>
      </c>
      <c r="X76" s="11"/>
      <c r="Y76" s="11" t="s">
        <v>7027</v>
      </c>
      <c r="Z76" s="11"/>
      <c r="AA76" s="11" t="s">
        <v>7078</v>
      </c>
      <c r="AB76" s="11"/>
      <c r="AC76" s="11" t="s">
        <v>7869</v>
      </c>
      <c r="AD76" s="13" t="s">
        <v>6994</v>
      </c>
      <c r="AE76" s="11"/>
      <c r="AF76" s="11">
        <f>AB76+Z76+X76+V76+S76+Q76+O76</f>
        <v>0</v>
      </c>
      <c r="AG76" s="11" t="s">
        <v>7870</v>
      </c>
      <c r="AH76" s="11"/>
    </row>
    <row r="77" ht="15.75" customHeight="1">
      <c r="A77" s="11">
        <v>281.0</v>
      </c>
      <c r="B77" s="12" t="s">
        <v>7871</v>
      </c>
      <c r="C77" s="11" t="s">
        <v>7043</v>
      </c>
      <c r="D77" s="11" t="s">
        <v>7872</v>
      </c>
      <c r="E77" s="11" t="s">
        <v>976</v>
      </c>
      <c r="F77" s="11" t="s">
        <v>212</v>
      </c>
      <c r="G77" s="11" t="s">
        <v>977</v>
      </c>
      <c r="H77" s="11" t="s">
        <v>7097</v>
      </c>
      <c r="I77" s="11" t="s">
        <v>926</v>
      </c>
      <c r="J77" s="11">
        <v>8.968990667E9</v>
      </c>
      <c r="K77" s="11" t="s">
        <v>6982</v>
      </c>
      <c r="L77" s="11" t="s">
        <v>6983</v>
      </c>
      <c r="M77" s="11" t="s">
        <v>7873</v>
      </c>
      <c r="N77" s="11" t="s">
        <v>7874</v>
      </c>
      <c r="O77" s="11">
        <v>50.0</v>
      </c>
      <c r="P77" s="11" t="s">
        <v>7875</v>
      </c>
      <c r="Q77" s="11">
        <v>50.0</v>
      </c>
      <c r="R77" s="11" t="s">
        <v>7876</v>
      </c>
      <c r="S77" s="11">
        <v>25.0</v>
      </c>
      <c r="T77" s="11" t="s">
        <v>7877</v>
      </c>
      <c r="U77" s="11" t="s">
        <v>7878</v>
      </c>
      <c r="V77" s="11"/>
      <c r="W77" s="11" t="s">
        <v>7879</v>
      </c>
      <c r="X77" s="11">
        <v>25.0</v>
      </c>
      <c r="Y77" s="11" t="s">
        <v>7027</v>
      </c>
      <c r="Z77" s="11"/>
      <c r="AA77" s="13" t="s">
        <v>7880</v>
      </c>
      <c r="AB77" s="11">
        <v>50.0</v>
      </c>
      <c r="AC77" s="11" t="s">
        <v>7881</v>
      </c>
      <c r="AD77" s="13" t="s">
        <v>6994</v>
      </c>
      <c r="AE77" s="11"/>
      <c r="AF77" s="11">
        <f t="shared" ref="AF77:AF78" si="13">AE77+AB77+Z77+X77+V77+S77+Q77+O77</f>
        <v>200</v>
      </c>
      <c r="AG77" s="11"/>
      <c r="AH77" s="11"/>
    </row>
    <row r="78" ht="15.75" customHeight="1">
      <c r="A78" s="11">
        <v>205.0</v>
      </c>
      <c r="B78" s="12" t="s">
        <v>7882</v>
      </c>
      <c r="C78" s="11" t="s">
        <v>7081</v>
      </c>
      <c r="D78" s="11" t="s">
        <v>7883</v>
      </c>
      <c r="E78" s="11" t="s">
        <v>4495</v>
      </c>
      <c r="F78" s="11" t="s">
        <v>4496</v>
      </c>
      <c r="G78" s="11" t="s">
        <v>4497</v>
      </c>
      <c r="H78" s="11" t="s">
        <v>7184</v>
      </c>
      <c r="I78" s="11" t="s">
        <v>4498</v>
      </c>
      <c r="J78" s="11">
        <v>8.68804597E9</v>
      </c>
      <c r="K78" s="11" t="s">
        <v>7086</v>
      </c>
      <c r="L78" s="11" t="s">
        <v>7003</v>
      </c>
      <c r="M78" s="11" t="s">
        <v>7884</v>
      </c>
      <c r="N78" s="11" t="s">
        <v>7885</v>
      </c>
      <c r="O78" s="11">
        <v>50.0</v>
      </c>
      <c r="P78" s="11" t="s">
        <v>7886</v>
      </c>
      <c r="Q78" s="11">
        <v>25.0</v>
      </c>
      <c r="R78" s="11" t="s">
        <v>7887</v>
      </c>
      <c r="S78" s="11">
        <v>50.0</v>
      </c>
      <c r="T78" s="11" t="s">
        <v>7888</v>
      </c>
      <c r="U78" s="11" t="s">
        <v>7889</v>
      </c>
      <c r="V78" s="11">
        <v>50.0</v>
      </c>
      <c r="W78" s="11" t="s">
        <v>7890</v>
      </c>
      <c r="X78" s="11">
        <v>50.0</v>
      </c>
      <c r="Y78" s="11" t="s">
        <v>6991</v>
      </c>
      <c r="Z78" s="11">
        <v>25.0</v>
      </c>
      <c r="AA78" s="11" t="s">
        <v>7078</v>
      </c>
      <c r="AB78" s="11">
        <v>0.0</v>
      </c>
      <c r="AC78" s="11" t="s">
        <v>7891</v>
      </c>
      <c r="AD78" s="13" t="s">
        <v>6994</v>
      </c>
      <c r="AE78" s="11"/>
      <c r="AF78" s="11">
        <f t="shared" si="13"/>
        <v>250</v>
      </c>
      <c r="AG78" s="11"/>
      <c r="AH78" s="11"/>
    </row>
    <row r="79" ht="15.75" customHeight="1">
      <c r="A79" s="11">
        <v>338.0</v>
      </c>
      <c r="B79" s="12" t="s">
        <v>7892</v>
      </c>
      <c r="C79" s="11"/>
      <c r="D79" s="11" t="s">
        <v>7893</v>
      </c>
      <c r="E79" s="11" t="s">
        <v>4524</v>
      </c>
      <c r="F79" s="11" t="s">
        <v>4525</v>
      </c>
      <c r="G79" s="11" t="s">
        <v>4526</v>
      </c>
      <c r="H79" s="11" t="s">
        <v>7097</v>
      </c>
      <c r="I79" s="11" t="s">
        <v>1345</v>
      </c>
      <c r="J79" s="11">
        <v>8.867062764E9</v>
      </c>
      <c r="K79" s="11" t="s">
        <v>7086</v>
      </c>
      <c r="L79" s="11" t="s">
        <v>7003</v>
      </c>
      <c r="M79" s="11" t="s">
        <v>7894</v>
      </c>
      <c r="N79" s="11" t="s">
        <v>7895</v>
      </c>
      <c r="O79" s="11">
        <v>25.0</v>
      </c>
      <c r="P79" s="11" t="s">
        <v>7896</v>
      </c>
      <c r="Q79" s="11">
        <v>25.0</v>
      </c>
      <c r="R79" s="11" t="s">
        <v>7897</v>
      </c>
      <c r="S79" s="11">
        <v>25.0</v>
      </c>
      <c r="T79" s="11" t="s">
        <v>7898</v>
      </c>
      <c r="U79" s="11" t="s">
        <v>7899</v>
      </c>
      <c r="V79" s="11">
        <v>25.0</v>
      </c>
      <c r="W79" s="11" t="s">
        <v>7900</v>
      </c>
      <c r="X79" s="11">
        <v>15.0</v>
      </c>
      <c r="Y79" s="11" t="s">
        <v>7193</v>
      </c>
      <c r="Z79" s="11">
        <v>10.0</v>
      </c>
      <c r="AA79" s="11" t="s">
        <v>7078</v>
      </c>
      <c r="AB79" s="11">
        <v>0.0</v>
      </c>
      <c r="AC79" s="11" t="s">
        <v>7901</v>
      </c>
      <c r="AD79" s="13" t="s">
        <v>6994</v>
      </c>
      <c r="AE79" s="11">
        <v>0.0</v>
      </c>
      <c r="AF79" s="11">
        <f t="shared" ref="AF79:AF80" si="14">O79+Q79+S79+V79+X79+Z79+AB79+AE79</f>
        <v>125</v>
      </c>
      <c r="AG79" s="11" t="s">
        <v>7902</v>
      </c>
      <c r="AH79" s="11"/>
    </row>
    <row r="80" ht="15.75" customHeight="1">
      <c r="A80" s="11">
        <v>101.0</v>
      </c>
      <c r="B80" s="12" t="s">
        <v>7903</v>
      </c>
      <c r="C80" s="11"/>
      <c r="D80" s="11" t="s">
        <v>7904</v>
      </c>
      <c r="E80" s="11" t="s">
        <v>5152</v>
      </c>
      <c r="F80" s="11" t="s">
        <v>5153</v>
      </c>
      <c r="G80" s="11" t="s">
        <v>5117</v>
      </c>
      <c r="H80" s="11" t="s">
        <v>7019</v>
      </c>
      <c r="I80" s="11" t="s">
        <v>4015</v>
      </c>
      <c r="J80" s="11">
        <v>8.882344716E9</v>
      </c>
      <c r="K80" s="11" t="s">
        <v>7411</v>
      </c>
      <c r="L80" s="11" t="s">
        <v>6983</v>
      </c>
      <c r="M80" s="11" t="s">
        <v>7470</v>
      </c>
      <c r="N80" s="11" t="s">
        <v>7905</v>
      </c>
      <c r="O80" s="11">
        <v>60.0</v>
      </c>
      <c r="P80" s="11" t="s">
        <v>7906</v>
      </c>
      <c r="Q80" s="11">
        <v>40.0</v>
      </c>
      <c r="R80" s="11" t="s">
        <v>7907</v>
      </c>
      <c r="S80" s="11">
        <v>70.0</v>
      </c>
      <c r="T80" s="11" t="s">
        <v>7908</v>
      </c>
      <c r="U80" s="11" t="s">
        <v>7475</v>
      </c>
      <c r="V80" s="11">
        <v>50.0</v>
      </c>
      <c r="W80" s="11" t="s">
        <v>7476</v>
      </c>
      <c r="X80" s="11">
        <v>70.0</v>
      </c>
      <c r="Y80" s="11" t="s">
        <v>6991</v>
      </c>
      <c r="Z80" s="11">
        <v>40.0</v>
      </c>
      <c r="AA80" s="13" t="s">
        <v>7909</v>
      </c>
      <c r="AB80" s="19">
        <v>40.0</v>
      </c>
      <c r="AC80" s="11" t="s">
        <v>7910</v>
      </c>
      <c r="AD80" s="13" t="s">
        <v>6994</v>
      </c>
      <c r="AE80" s="11"/>
      <c r="AF80" s="11">
        <f t="shared" si="14"/>
        <v>370</v>
      </c>
      <c r="AG80" s="11"/>
      <c r="AH80" s="11"/>
    </row>
    <row r="81" ht="15.75" customHeight="1">
      <c r="A81" s="11">
        <v>96.0</v>
      </c>
      <c r="B81" s="12" t="s">
        <v>7911</v>
      </c>
      <c r="C81" s="11"/>
      <c r="D81" s="11" t="s">
        <v>7912</v>
      </c>
      <c r="E81" s="11" t="s">
        <v>4998</v>
      </c>
      <c r="F81" s="11" t="s">
        <v>1831</v>
      </c>
      <c r="G81" s="11" t="s">
        <v>4738</v>
      </c>
      <c r="H81" s="11" t="s">
        <v>7097</v>
      </c>
      <c r="I81" s="11" t="s">
        <v>4015</v>
      </c>
      <c r="J81" s="11">
        <v>9.354240693E9</v>
      </c>
      <c r="K81" s="11" t="s">
        <v>7411</v>
      </c>
      <c r="L81" s="11" t="s">
        <v>6983</v>
      </c>
      <c r="M81" s="11" t="s">
        <v>7913</v>
      </c>
      <c r="N81" s="11" t="s">
        <v>7914</v>
      </c>
      <c r="O81" s="11">
        <v>85.0</v>
      </c>
      <c r="P81" s="11" t="s">
        <v>7915</v>
      </c>
      <c r="Q81" s="11">
        <v>75.0</v>
      </c>
      <c r="R81" s="11" t="s">
        <v>7916</v>
      </c>
      <c r="S81" s="11">
        <v>70.0</v>
      </c>
      <c r="T81" s="11" t="s">
        <v>7917</v>
      </c>
      <c r="U81" s="11" t="s">
        <v>7918</v>
      </c>
      <c r="V81" s="11">
        <v>75.0</v>
      </c>
      <c r="W81" s="11" t="s">
        <v>7919</v>
      </c>
      <c r="X81" s="11">
        <v>50.0</v>
      </c>
      <c r="Y81" s="11" t="s">
        <v>6991</v>
      </c>
      <c r="Z81" s="11">
        <v>25.0</v>
      </c>
      <c r="AA81" s="11" t="s">
        <v>7078</v>
      </c>
      <c r="AB81" s="11">
        <v>0.0</v>
      </c>
      <c r="AC81" s="11" t="s">
        <v>7920</v>
      </c>
      <c r="AD81" s="13" t="s">
        <v>6994</v>
      </c>
      <c r="AE81" s="11"/>
      <c r="AF81" s="11">
        <f>AE81+AB81+Z81+X81+V81+S81+Q81+O81</f>
        <v>380</v>
      </c>
      <c r="AG81" s="11"/>
      <c r="AH81" s="11"/>
    </row>
    <row r="82" ht="15.75" customHeight="1">
      <c r="A82" s="11">
        <v>292.0</v>
      </c>
      <c r="B82" s="12" t="s">
        <v>7921</v>
      </c>
      <c r="C82" s="11"/>
      <c r="D82" s="11" t="s">
        <v>7922</v>
      </c>
      <c r="E82" s="11" t="s">
        <v>4237</v>
      </c>
      <c r="F82" s="11" t="s">
        <v>1343</v>
      </c>
      <c r="G82" s="11" t="s">
        <v>5181</v>
      </c>
      <c r="H82" s="11" t="s">
        <v>7019</v>
      </c>
      <c r="I82" s="11" t="s">
        <v>494</v>
      </c>
      <c r="J82" s="11">
        <v>9.055525254E9</v>
      </c>
      <c r="K82" s="11" t="s">
        <v>6982</v>
      </c>
      <c r="L82" s="11" t="s">
        <v>6983</v>
      </c>
      <c r="M82" s="11" t="s">
        <v>7923</v>
      </c>
      <c r="N82" s="11" t="s">
        <v>7924</v>
      </c>
      <c r="O82" s="11">
        <v>35.0</v>
      </c>
      <c r="P82" s="11" t="s">
        <v>7925</v>
      </c>
      <c r="Q82" s="11">
        <v>25.0</v>
      </c>
      <c r="R82" s="11" t="s">
        <v>7926</v>
      </c>
      <c r="S82" s="11">
        <v>10.0</v>
      </c>
      <c r="T82" s="11" t="s">
        <v>7927</v>
      </c>
      <c r="U82" s="11" t="s">
        <v>7928</v>
      </c>
      <c r="V82" s="11">
        <v>40.0</v>
      </c>
      <c r="W82" s="11" t="s">
        <v>7929</v>
      </c>
      <c r="X82" s="11">
        <v>40.0</v>
      </c>
      <c r="Y82" s="11" t="s">
        <v>6991</v>
      </c>
      <c r="Z82" s="11">
        <v>25.0</v>
      </c>
      <c r="AA82" s="13" t="s">
        <v>7930</v>
      </c>
      <c r="AB82" s="11">
        <v>15.0</v>
      </c>
      <c r="AC82" s="11" t="s">
        <v>7931</v>
      </c>
      <c r="AD82" s="13" t="s">
        <v>6994</v>
      </c>
      <c r="AE82" s="11">
        <v>0.0</v>
      </c>
      <c r="AF82" s="11">
        <f>O82+Q82+S82+V82+X82+Z82+AB82+AE82</f>
        <v>190</v>
      </c>
      <c r="AG82" s="11" t="s">
        <v>7932</v>
      </c>
      <c r="AH82" s="11"/>
    </row>
    <row r="83" ht="15.75" customHeight="1">
      <c r="A83" s="11">
        <v>321.0</v>
      </c>
      <c r="B83" s="12" t="s">
        <v>7933</v>
      </c>
      <c r="C83" s="11" t="s">
        <v>2140</v>
      </c>
      <c r="D83" s="11" t="s">
        <v>7934</v>
      </c>
      <c r="E83" s="11" t="s">
        <v>6437</v>
      </c>
      <c r="F83" s="11" t="s">
        <v>6438</v>
      </c>
      <c r="G83" s="11" t="s">
        <v>6439</v>
      </c>
      <c r="H83" s="11" t="s">
        <v>7184</v>
      </c>
      <c r="I83" s="11" t="s">
        <v>2575</v>
      </c>
      <c r="J83" s="11">
        <v>6.382192346E9</v>
      </c>
      <c r="K83" s="11" t="s">
        <v>6982</v>
      </c>
      <c r="L83" s="11" t="s">
        <v>6983</v>
      </c>
      <c r="M83" s="11" t="s">
        <v>7935</v>
      </c>
      <c r="N83" s="11" t="s">
        <v>7936</v>
      </c>
      <c r="O83" s="11">
        <v>40.0</v>
      </c>
      <c r="P83" s="11" t="s">
        <v>7937</v>
      </c>
      <c r="Q83" s="11">
        <v>40.0</v>
      </c>
      <c r="R83" s="11" t="s">
        <v>7938</v>
      </c>
      <c r="S83" s="11">
        <v>5.0</v>
      </c>
      <c r="T83" s="11" t="s">
        <v>7939</v>
      </c>
      <c r="U83" s="11" t="s">
        <v>7940</v>
      </c>
      <c r="V83" s="11">
        <v>40.0</v>
      </c>
      <c r="W83" s="11" t="s">
        <v>7941</v>
      </c>
      <c r="X83" s="11">
        <v>5.0</v>
      </c>
      <c r="Y83" s="11" t="s">
        <v>7027</v>
      </c>
      <c r="Z83" s="11">
        <v>10.0</v>
      </c>
      <c r="AA83" s="13" t="s">
        <v>7942</v>
      </c>
      <c r="AB83" s="11">
        <v>10.0</v>
      </c>
      <c r="AC83" s="11" t="s">
        <v>7943</v>
      </c>
      <c r="AD83" s="13" t="s">
        <v>6994</v>
      </c>
      <c r="AE83" s="11"/>
      <c r="AF83" s="11">
        <f>O83+Q83+S83+V83+X83+Z83+AB83</f>
        <v>150</v>
      </c>
      <c r="AG83" s="11"/>
      <c r="AH83" s="11"/>
    </row>
    <row r="84" ht="15.75" customHeight="1">
      <c r="A84" s="11">
        <v>328.0</v>
      </c>
      <c r="B84" s="12" t="s">
        <v>7944</v>
      </c>
      <c r="C84" s="11" t="s">
        <v>1531</v>
      </c>
      <c r="D84" s="11" t="s">
        <v>7945</v>
      </c>
      <c r="E84" s="16" t="s">
        <v>680</v>
      </c>
      <c r="F84" s="16" t="s">
        <v>800</v>
      </c>
      <c r="G84" s="16" t="s">
        <v>7946</v>
      </c>
      <c r="H84" s="16" t="s">
        <v>7019</v>
      </c>
      <c r="I84" s="16"/>
      <c r="J84" s="16"/>
      <c r="K84" s="11" t="s">
        <v>6982</v>
      </c>
      <c r="L84" s="11" t="s">
        <v>7003</v>
      </c>
      <c r="M84" s="11" t="s">
        <v>7947</v>
      </c>
      <c r="N84" s="11" t="s">
        <v>7948</v>
      </c>
      <c r="O84" s="11">
        <v>40.0</v>
      </c>
      <c r="P84" s="11" t="s">
        <v>7949</v>
      </c>
      <c r="Q84" s="11">
        <v>10.0</v>
      </c>
      <c r="R84" s="11" t="s">
        <v>7950</v>
      </c>
      <c r="S84" s="11">
        <v>10.0</v>
      </c>
      <c r="T84" s="11" t="s">
        <v>7951</v>
      </c>
      <c r="U84" s="11" t="s">
        <v>7952</v>
      </c>
      <c r="V84" s="11">
        <v>0.0</v>
      </c>
      <c r="W84" s="11" t="s">
        <v>7953</v>
      </c>
      <c r="X84" s="11">
        <v>0.0</v>
      </c>
      <c r="Y84" s="11" t="s">
        <v>6991</v>
      </c>
      <c r="Z84" s="11">
        <v>40.0</v>
      </c>
      <c r="AA84" s="13" t="s">
        <v>7954</v>
      </c>
      <c r="AB84" s="11">
        <v>40.0</v>
      </c>
      <c r="AC84" s="11" t="s">
        <v>7955</v>
      </c>
      <c r="AD84" s="13" t="s">
        <v>6994</v>
      </c>
      <c r="AE84" s="11"/>
      <c r="AF84" s="11">
        <f>O84+Q84+S84+V84+X84+Z84+AB84+AE84</f>
        <v>140</v>
      </c>
      <c r="AG84" s="11"/>
      <c r="AH84" s="11"/>
    </row>
    <row r="85" ht="15.75" customHeight="1">
      <c r="A85" s="11">
        <v>331.0</v>
      </c>
      <c r="B85" s="12" t="s">
        <v>7956</v>
      </c>
      <c r="C85" s="11" t="s">
        <v>2140</v>
      </c>
      <c r="D85" s="11" t="s">
        <v>7957</v>
      </c>
      <c r="E85" s="11" t="s">
        <v>4374</v>
      </c>
      <c r="F85" s="11" t="s">
        <v>4375</v>
      </c>
      <c r="G85" s="11" t="s">
        <v>4376</v>
      </c>
      <c r="H85" s="11" t="s">
        <v>7047</v>
      </c>
      <c r="I85" s="11" t="s">
        <v>2115</v>
      </c>
      <c r="J85" s="11">
        <v>7.439284858E9</v>
      </c>
      <c r="K85" s="11" t="s">
        <v>7376</v>
      </c>
      <c r="L85" s="11" t="s">
        <v>7003</v>
      </c>
      <c r="M85" s="11" t="s">
        <v>7958</v>
      </c>
      <c r="N85" s="11" t="s">
        <v>7959</v>
      </c>
      <c r="O85" s="11">
        <v>40.0</v>
      </c>
      <c r="P85" s="11" t="s">
        <v>7960</v>
      </c>
      <c r="Q85" s="11">
        <v>40.0</v>
      </c>
      <c r="R85" s="11" t="s">
        <v>7961</v>
      </c>
      <c r="S85" s="11">
        <v>10.0</v>
      </c>
      <c r="T85" s="11" t="s">
        <v>7962</v>
      </c>
      <c r="U85" s="11" t="s">
        <v>7963</v>
      </c>
      <c r="V85" s="11">
        <v>30.0</v>
      </c>
      <c r="W85" s="11" t="s">
        <v>7964</v>
      </c>
      <c r="X85" s="11">
        <v>10.0</v>
      </c>
      <c r="Y85" s="11" t="s">
        <v>7027</v>
      </c>
      <c r="Z85" s="11">
        <v>10.0</v>
      </c>
      <c r="AA85" s="11" t="s">
        <v>7078</v>
      </c>
      <c r="AB85" s="11">
        <v>0.0</v>
      </c>
      <c r="AC85" s="11" t="s">
        <v>7965</v>
      </c>
      <c r="AD85" s="13" t="s">
        <v>6994</v>
      </c>
      <c r="AE85" s="11"/>
      <c r="AF85" s="11">
        <f>O85+Q85+S85+V85+X85+Z85+AB85</f>
        <v>140</v>
      </c>
      <c r="AG85" s="11"/>
      <c r="AH85" s="11"/>
    </row>
    <row r="86" ht="15.75" customHeight="1">
      <c r="A86" s="11">
        <v>271.0</v>
      </c>
      <c r="B86" s="11" t="s">
        <v>7966</v>
      </c>
      <c r="C86" s="11" t="s">
        <v>4344</v>
      </c>
      <c r="D86" s="11" t="s">
        <v>7967</v>
      </c>
      <c r="E86" s="16" t="s">
        <v>7968</v>
      </c>
      <c r="F86" s="16" t="s">
        <v>5582</v>
      </c>
      <c r="G86" s="16" t="s">
        <v>7969</v>
      </c>
      <c r="H86" s="16" t="s">
        <v>7047</v>
      </c>
      <c r="I86" s="16"/>
      <c r="J86" s="16"/>
      <c r="K86" s="15"/>
      <c r="L86" s="11" t="s">
        <v>7003</v>
      </c>
      <c r="M86" s="11" t="s">
        <v>7970</v>
      </c>
      <c r="N86" s="11" t="s">
        <v>7971</v>
      </c>
      <c r="O86" s="11">
        <v>60.0</v>
      </c>
      <c r="P86" s="11" t="s">
        <v>7972</v>
      </c>
      <c r="Q86" s="11">
        <v>50.0</v>
      </c>
      <c r="R86" s="11" t="s">
        <v>7973</v>
      </c>
      <c r="S86" s="11">
        <v>20.0</v>
      </c>
      <c r="T86" s="11" t="s">
        <v>7974</v>
      </c>
      <c r="U86" s="11" t="s">
        <v>7975</v>
      </c>
      <c r="V86" s="11">
        <v>25.0</v>
      </c>
      <c r="W86" s="11" t="s">
        <v>7976</v>
      </c>
      <c r="X86" s="11">
        <v>25.0</v>
      </c>
      <c r="Y86" s="11" t="s">
        <v>7027</v>
      </c>
      <c r="Z86" s="11">
        <v>20.0</v>
      </c>
      <c r="AA86" s="11" t="s">
        <v>7078</v>
      </c>
      <c r="AB86" s="11">
        <v>0.0</v>
      </c>
      <c r="AC86" s="11" t="s">
        <v>7977</v>
      </c>
      <c r="AD86" s="13" t="s">
        <v>6994</v>
      </c>
      <c r="AE86" s="11">
        <v>0.0</v>
      </c>
      <c r="AF86" s="11">
        <f t="shared" ref="AF86:AF87" si="15">O86+Q86+S86+V86+X86+Z86+AB86+AE86</f>
        <v>200</v>
      </c>
      <c r="AG86" s="11" t="s">
        <v>7978</v>
      </c>
      <c r="AH86" s="11"/>
    </row>
    <row r="87" ht="15.75" customHeight="1">
      <c r="A87" s="11">
        <v>138.0</v>
      </c>
      <c r="B87" s="12" t="s">
        <v>7979</v>
      </c>
      <c r="C87" s="11" t="s">
        <v>4344</v>
      </c>
      <c r="D87" s="11" t="s">
        <v>7980</v>
      </c>
      <c r="E87" s="11" t="s">
        <v>5335</v>
      </c>
      <c r="F87" s="11" t="s">
        <v>63</v>
      </c>
      <c r="G87" s="11" t="s">
        <v>4368</v>
      </c>
      <c r="H87" s="11" t="s">
        <v>7184</v>
      </c>
      <c r="I87" s="11" t="s">
        <v>4625</v>
      </c>
      <c r="J87" s="11">
        <v>8.168675962E9</v>
      </c>
      <c r="K87" s="11" t="s">
        <v>7376</v>
      </c>
      <c r="L87" s="11" t="s">
        <v>7003</v>
      </c>
      <c r="M87" s="11" t="s">
        <v>7981</v>
      </c>
      <c r="N87" s="11" t="s">
        <v>7982</v>
      </c>
      <c r="O87" s="11">
        <v>50.0</v>
      </c>
      <c r="P87" s="11" t="s">
        <v>7983</v>
      </c>
      <c r="Q87" s="11">
        <v>50.0</v>
      </c>
      <c r="R87" s="11" t="s">
        <v>7984</v>
      </c>
      <c r="S87" s="11">
        <v>25.0</v>
      </c>
      <c r="T87" s="11" t="s">
        <v>7985</v>
      </c>
      <c r="U87" s="11" t="s">
        <v>7986</v>
      </c>
      <c r="V87" s="11">
        <v>50.0</v>
      </c>
      <c r="W87" s="11" t="s">
        <v>7987</v>
      </c>
      <c r="X87" s="11">
        <v>50.0</v>
      </c>
      <c r="Y87" s="11" t="s">
        <v>7055</v>
      </c>
      <c r="Z87" s="11">
        <v>25.0</v>
      </c>
      <c r="AA87" s="13" t="s">
        <v>7988</v>
      </c>
      <c r="AB87" s="11">
        <v>75.0</v>
      </c>
      <c r="AC87" s="11" t="s">
        <v>7989</v>
      </c>
      <c r="AD87" s="13" t="s">
        <v>6994</v>
      </c>
      <c r="AE87" s="11">
        <v>0.0</v>
      </c>
      <c r="AF87" s="11">
        <f t="shared" si="15"/>
        <v>325</v>
      </c>
      <c r="AG87" s="11" t="s">
        <v>7990</v>
      </c>
      <c r="AH87" s="11"/>
    </row>
    <row r="88" ht="15.75" customHeight="1">
      <c r="A88" s="11">
        <v>254.0</v>
      </c>
      <c r="B88" s="12" t="s">
        <v>7991</v>
      </c>
      <c r="C88" s="11" t="s">
        <v>7043</v>
      </c>
      <c r="D88" s="11" t="s">
        <v>7992</v>
      </c>
      <c r="E88" s="11" t="s">
        <v>4589</v>
      </c>
      <c r="F88" s="11" t="s">
        <v>1343</v>
      </c>
      <c r="G88" s="11" t="s">
        <v>5254</v>
      </c>
      <c r="H88" s="11" t="s">
        <v>7019</v>
      </c>
      <c r="I88" s="11" t="s">
        <v>4276</v>
      </c>
      <c r="J88" s="11">
        <v>7.799446565E9</v>
      </c>
      <c r="K88" s="11" t="s">
        <v>7411</v>
      </c>
      <c r="L88" s="11" t="s">
        <v>6983</v>
      </c>
      <c r="M88" s="11" t="s">
        <v>7993</v>
      </c>
      <c r="N88" s="11" t="s">
        <v>7994</v>
      </c>
      <c r="O88" s="11">
        <v>50.0</v>
      </c>
      <c r="P88" s="11" t="s">
        <v>7995</v>
      </c>
      <c r="Q88" s="11">
        <v>25.0</v>
      </c>
      <c r="R88" s="11" t="s">
        <v>7996</v>
      </c>
      <c r="S88" s="11">
        <v>25.0</v>
      </c>
      <c r="T88" s="11" t="s">
        <v>7997</v>
      </c>
      <c r="U88" s="11" t="s">
        <v>7998</v>
      </c>
      <c r="V88" s="11">
        <v>30.0</v>
      </c>
      <c r="W88" s="11" t="s">
        <v>7999</v>
      </c>
      <c r="X88" s="11">
        <v>10.0</v>
      </c>
      <c r="Y88" s="11" t="s">
        <v>7027</v>
      </c>
      <c r="Z88" s="11">
        <v>25.0</v>
      </c>
      <c r="AA88" s="13" t="s">
        <v>8000</v>
      </c>
      <c r="AB88" s="11">
        <v>50.0</v>
      </c>
      <c r="AC88" s="11" t="s">
        <v>8001</v>
      </c>
      <c r="AD88" s="13" t="s">
        <v>6994</v>
      </c>
      <c r="AE88" s="11"/>
      <c r="AF88" s="11">
        <f>AE88+AB88+Z88+X88+V88+S88+Q88+O88</f>
        <v>215</v>
      </c>
      <c r="AG88" s="11"/>
      <c r="AH88" s="11"/>
    </row>
    <row r="89" ht="15.75" customHeight="1">
      <c r="A89" s="11">
        <v>304.0</v>
      </c>
      <c r="B89" s="12" t="s">
        <v>8002</v>
      </c>
      <c r="C89" s="11"/>
      <c r="D89" s="11" t="s">
        <v>8003</v>
      </c>
      <c r="E89" s="16" t="s">
        <v>1800</v>
      </c>
      <c r="F89" s="16" t="s">
        <v>47</v>
      </c>
      <c r="G89" s="16" t="s">
        <v>8004</v>
      </c>
      <c r="H89" s="16" t="s">
        <v>7047</v>
      </c>
      <c r="I89" s="16"/>
      <c r="J89" s="16"/>
      <c r="K89" s="11" t="s">
        <v>7376</v>
      </c>
      <c r="L89" s="11" t="s">
        <v>7003</v>
      </c>
      <c r="M89" s="11" t="s">
        <v>8005</v>
      </c>
      <c r="N89" s="11" t="s">
        <v>8006</v>
      </c>
      <c r="O89" s="11">
        <v>30.0</v>
      </c>
      <c r="P89" s="11" t="s">
        <v>8007</v>
      </c>
      <c r="Q89" s="11">
        <v>25.0</v>
      </c>
      <c r="R89" s="11" t="s">
        <v>8008</v>
      </c>
      <c r="S89" s="11">
        <v>25.0</v>
      </c>
      <c r="T89" s="11" t="s">
        <v>8009</v>
      </c>
      <c r="U89" s="11" t="s">
        <v>8010</v>
      </c>
      <c r="V89" s="11">
        <v>40.0</v>
      </c>
      <c r="W89" s="11" t="s">
        <v>8011</v>
      </c>
      <c r="X89" s="11">
        <v>25.0</v>
      </c>
      <c r="Y89" s="11" t="s">
        <v>6991</v>
      </c>
      <c r="Z89" s="11">
        <v>25.0</v>
      </c>
      <c r="AA89" s="19" t="s">
        <v>7078</v>
      </c>
      <c r="AB89" s="11">
        <v>0.0</v>
      </c>
      <c r="AC89" s="11" t="s">
        <v>8012</v>
      </c>
      <c r="AD89" s="13" t="s">
        <v>6994</v>
      </c>
      <c r="AE89" s="11">
        <v>0.0</v>
      </c>
      <c r="AF89" s="11">
        <f>O89+Q89+S89+V89+X89+Z89+AB89+AE89</f>
        <v>170</v>
      </c>
      <c r="AG89" s="11" t="s">
        <v>8013</v>
      </c>
      <c r="AH89" s="11"/>
    </row>
    <row r="90" ht="15.75" customHeight="1">
      <c r="A90" s="11">
        <v>329.0</v>
      </c>
      <c r="B90" s="12" t="s">
        <v>8014</v>
      </c>
      <c r="C90" s="11" t="s">
        <v>2140</v>
      </c>
      <c r="D90" s="11" t="s">
        <v>8015</v>
      </c>
      <c r="E90" s="11" t="s">
        <v>3596</v>
      </c>
      <c r="F90" s="11" t="s">
        <v>3658</v>
      </c>
      <c r="G90" s="11" t="s">
        <v>4361</v>
      </c>
      <c r="H90" s="11" t="s">
        <v>7019</v>
      </c>
      <c r="I90" s="11" t="s">
        <v>434</v>
      </c>
      <c r="J90" s="11">
        <v>9.820725484E9</v>
      </c>
      <c r="K90" s="11" t="s">
        <v>8016</v>
      </c>
      <c r="L90" s="11" t="s">
        <v>7003</v>
      </c>
      <c r="M90" s="11" t="s">
        <v>8017</v>
      </c>
      <c r="N90" s="11" t="s">
        <v>8018</v>
      </c>
      <c r="O90" s="11">
        <v>50.0</v>
      </c>
      <c r="P90" s="11" t="s">
        <v>8019</v>
      </c>
      <c r="Q90" s="11">
        <v>30.0</v>
      </c>
      <c r="R90" s="11" t="s">
        <v>8020</v>
      </c>
      <c r="S90" s="11">
        <v>20.0</v>
      </c>
      <c r="T90" s="11" t="s">
        <v>8021</v>
      </c>
      <c r="U90" s="11" t="s">
        <v>8021</v>
      </c>
      <c r="V90" s="11">
        <v>10.0</v>
      </c>
      <c r="W90" s="11" t="s">
        <v>8022</v>
      </c>
      <c r="X90" s="11">
        <v>20.0</v>
      </c>
      <c r="Y90" s="11" t="s">
        <v>7193</v>
      </c>
      <c r="Z90" s="11">
        <v>5.0</v>
      </c>
      <c r="AA90" s="13" t="s">
        <v>8023</v>
      </c>
      <c r="AB90" s="11">
        <v>5.0</v>
      </c>
      <c r="AC90" s="11" t="s">
        <v>8024</v>
      </c>
      <c r="AD90" s="13" t="s">
        <v>6994</v>
      </c>
      <c r="AE90" s="11"/>
      <c r="AF90" s="11">
        <f>O90+Q90+S90+V90+X90+Z90+AB90</f>
        <v>140</v>
      </c>
      <c r="AG90" s="11"/>
      <c r="AH90" s="11"/>
    </row>
    <row r="91" ht="15.75" customHeight="1">
      <c r="A91" s="11">
        <v>319.0</v>
      </c>
      <c r="B91" s="12" t="s">
        <v>8025</v>
      </c>
      <c r="C91" s="11"/>
      <c r="D91" s="11" t="s">
        <v>8026</v>
      </c>
      <c r="E91" s="11" t="s">
        <v>2592</v>
      </c>
      <c r="F91" s="11" t="s">
        <v>4613</v>
      </c>
      <c r="G91" s="11" t="s">
        <v>576</v>
      </c>
      <c r="H91" s="11" t="s">
        <v>6981</v>
      </c>
      <c r="I91" s="11" t="s">
        <v>4015</v>
      </c>
      <c r="J91" s="11">
        <v>9.31162679E9</v>
      </c>
      <c r="K91" s="11" t="s">
        <v>6982</v>
      </c>
      <c r="L91" s="11" t="s">
        <v>6983</v>
      </c>
      <c r="M91" s="11" t="s">
        <v>8027</v>
      </c>
      <c r="N91" s="11" t="s">
        <v>8028</v>
      </c>
      <c r="O91" s="11"/>
      <c r="P91" s="11" t="s">
        <v>8029</v>
      </c>
      <c r="Q91" s="11"/>
      <c r="R91" s="11" t="s">
        <v>8030</v>
      </c>
      <c r="S91" s="11"/>
      <c r="T91" s="11" t="s">
        <v>8031</v>
      </c>
      <c r="U91" s="11" t="s">
        <v>8032</v>
      </c>
      <c r="V91" s="11"/>
      <c r="W91" s="11" t="s">
        <v>8033</v>
      </c>
      <c r="X91" s="11"/>
      <c r="Y91" s="11" t="s">
        <v>6991</v>
      </c>
      <c r="Z91" s="11"/>
      <c r="AA91" s="13" t="s">
        <v>8034</v>
      </c>
      <c r="AB91" s="11"/>
      <c r="AC91" s="11" t="s">
        <v>8035</v>
      </c>
      <c r="AD91" s="13" t="s">
        <v>6994</v>
      </c>
      <c r="AE91" s="11"/>
      <c r="AF91" s="11">
        <f>AE91+AB91+Z92+X92+V92+S92+Q92+O92</f>
        <v>220</v>
      </c>
      <c r="AG91" s="11"/>
      <c r="AH91" s="11" t="s">
        <v>8036</v>
      </c>
    </row>
    <row r="92" ht="15.75" customHeight="1">
      <c r="A92" s="11">
        <v>253.0</v>
      </c>
      <c r="B92" s="12" t="s">
        <v>8037</v>
      </c>
      <c r="C92" s="11" t="s">
        <v>2140</v>
      </c>
      <c r="D92" s="11" t="s">
        <v>8038</v>
      </c>
      <c r="E92" s="11" t="s">
        <v>1515</v>
      </c>
      <c r="F92" s="11" t="s">
        <v>153</v>
      </c>
      <c r="G92" s="11" t="s">
        <v>4211</v>
      </c>
      <c r="H92" s="11" t="s">
        <v>7097</v>
      </c>
      <c r="I92" s="11" t="s">
        <v>4212</v>
      </c>
      <c r="J92" s="11">
        <v>7.838464513E9</v>
      </c>
      <c r="K92" s="11" t="s">
        <v>6982</v>
      </c>
      <c r="L92" s="11" t="s">
        <v>6983</v>
      </c>
      <c r="M92" s="11" t="s">
        <v>8039</v>
      </c>
      <c r="N92" s="11" t="s">
        <v>8040</v>
      </c>
      <c r="O92" s="11">
        <v>40.0</v>
      </c>
      <c r="P92" s="11" t="s">
        <v>8041</v>
      </c>
      <c r="Q92" s="11">
        <v>30.0</v>
      </c>
      <c r="R92" s="11" t="s">
        <v>8042</v>
      </c>
      <c r="S92" s="11">
        <v>40.0</v>
      </c>
      <c r="T92" s="11" t="s">
        <v>8043</v>
      </c>
      <c r="U92" s="11" t="s">
        <v>8044</v>
      </c>
      <c r="V92" s="11">
        <v>50.0</v>
      </c>
      <c r="W92" s="11" t="s">
        <v>8045</v>
      </c>
      <c r="X92" s="11">
        <v>30.0</v>
      </c>
      <c r="Y92" s="11" t="s">
        <v>6991</v>
      </c>
      <c r="Z92" s="11">
        <v>30.0</v>
      </c>
      <c r="AA92" s="11" t="s">
        <v>7078</v>
      </c>
      <c r="AB92" s="11">
        <v>0.0</v>
      </c>
      <c r="AC92" s="11" t="s">
        <v>8046</v>
      </c>
      <c r="AD92" s="13" t="s">
        <v>6994</v>
      </c>
      <c r="AE92" s="11"/>
      <c r="AF92" s="11">
        <f>O92+Q92+S92+V92+X92+Z92+AB92</f>
        <v>220</v>
      </c>
      <c r="AG92" s="11" t="s">
        <v>8047</v>
      </c>
      <c r="AH92" s="11"/>
    </row>
    <row r="93" ht="15.75" customHeight="1">
      <c r="A93" s="11">
        <v>283.0</v>
      </c>
      <c r="B93" s="12" t="s">
        <v>8048</v>
      </c>
      <c r="C93" s="11" t="s">
        <v>1531</v>
      </c>
      <c r="D93" s="11" t="s">
        <v>8049</v>
      </c>
      <c r="E93" s="16" t="s">
        <v>67</v>
      </c>
      <c r="F93" s="16" t="s">
        <v>245</v>
      </c>
      <c r="G93" s="16" t="s">
        <v>4700</v>
      </c>
      <c r="H93" s="16" t="s">
        <v>7019</v>
      </c>
      <c r="I93" s="16" t="s">
        <v>4015</v>
      </c>
      <c r="J93" s="18">
        <v>9.818447679E9</v>
      </c>
      <c r="K93" s="11"/>
      <c r="L93" s="11" t="s">
        <v>7003</v>
      </c>
      <c r="M93" s="11" t="s">
        <v>8050</v>
      </c>
      <c r="N93" s="11" t="s">
        <v>8051</v>
      </c>
      <c r="O93" s="11">
        <v>40.0</v>
      </c>
      <c r="P93" s="11" t="s">
        <v>8052</v>
      </c>
      <c r="Q93" s="11">
        <v>20.0</v>
      </c>
      <c r="R93" s="11" t="s">
        <v>8053</v>
      </c>
      <c r="S93" s="11">
        <v>30.0</v>
      </c>
      <c r="T93" s="11" t="s">
        <v>8054</v>
      </c>
      <c r="U93" s="11" t="s">
        <v>8055</v>
      </c>
      <c r="V93" s="11">
        <v>20.0</v>
      </c>
      <c r="W93" s="11" t="s">
        <v>8056</v>
      </c>
      <c r="X93" s="11">
        <v>30.0</v>
      </c>
      <c r="Y93" s="11" t="s">
        <v>7193</v>
      </c>
      <c r="Z93" s="11">
        <v>20.0</v>
      </c>
      <c r="AA93" s="13" t="s">
        <v>8057</v>
      </c>
      <c r="AB93" s="11">
        <v>40.0</v>
      </c>
      <c r="AC93" s="11" t="s">
        <v>8058</v>
      </c>
      <c r="AD93" s="13" t="s">
        <v>6994</v>
      </c>
      <c r="AE93" s="11"/>
      <c r="AF93" s="11">
        <f>O93+Q93+S93+V93+X93+Z93+AB93+AE93</f>
        <v>200</v>
      </c>
      <c r="AG93" s="11"/>
      <c r="AH93" s="11"/>
    </row>
    <row r="94" ht="15.75" customHeight="1">
      <c r="A94" s="11">
        <v>206.0</v>
      </c>
      <c r="B94" s="12" t="s">
        <v>8059</v>
      </c>
      <c r="C94" s="11" t="s">
        <v>7081</v>
      </c>
      <c r="D94" s="11" t="s">
        <v>8060</v>
      </c>
      <c r="E94" s="16" t="s">
        <v>8061</v>
      </c>
      <c r="F94" s="16" t="s">
        <v>8062</v>
      </c>
      <c r="G94" s="16" t="s">
        <v>8063</v>
      </c>
      <c r="H94" s="16" t="s">
        <v>7047</v>
      </c>
      <c r="I94" s="16"/>
      <c r="J94" s="16"/>
      <c r="K94" s="11" t="s">
        <v>8064</v>
      </c>
      <c r="L94" s="11" t="s">
        <v>6983</v>
      </c>
      <c r="M94" s="11" t="s">
        <v>8065</v>
      </c>
      <c r="N94" s="11" t="s">
        <v>8066</v>
      </c>
      <c r="O94" s="11">
        <v>50.0</v>
      </c>
      <c r="P94" s="11" t="s">
        <v>8067</v>
      </c>
      <c r="Q94" s="11">
        <v>25.0</v>
      </c>
      <c r="R94" s="11" t="s">
        <v>8068</v>
      </c>
      <c r="S94" s="11">
        <v>50.0</v>
      </c>
      <c r="T94" s="11" t="s">
        <v>8069</v>
      </c>
      <c r="U94" s="11" t="s">
        <v>8070</v>
      </c>
      <c r="V94" s="11">
        <v>50.0</v>
      </c>
      <c r="W94" s="11" t="s">
        <v>8071</v>
      </c>
      <c r="X94" s="11">
        <v>50.0</v>
      </c>
      <c r="Y94" s="11" t="s">
        <v>7027</v>
      </c>
      <c r="Z94" s="11">
        <v>25.0</v>
      </c>
      <c r="AA94" s="11" t="s">
        <v>7078</v>
      </c>
      <c r="AB94" s="11">
        <v>0.0</v>
      </c>
      <c r="AC94" s="11" t="s">
        <v>8072</v>
      </c>
      <c r="AD94" s="13" t="s">
        <v>6994</v>
      </c>
      <c r="AE94" s="11"/>
      <c r="AF94" s="11">
        <f>AE94+AB94+Z94+X94+V94+S94+Q94+O94</f>
        <v>250</v>
      </c>
      <c r="AG94" s="11"/>
      <c r="AH94" s="11"/>
    </row>
    <row r="95" ht="15.75" customHeight="1">
      <c r="A95" s="11">
        <v>349.0</v>
      </c>
      <c r="B95" s="12" t="s">
        <v>8073</v>
      </c>
      <c r="C95" s="11"/>
      <c r="D95" s="11" t="s">
        <v>8074</v>
      </c>
      <c r="E95" s="11" t="s">
        <v>565</v>
      </c>
      <c r="F95" s="11" t="s">
        <v>4128</v>
      </c>
      <c r="G95" s="11" t="s">
        <v>4129</v>
      </c>
      <c r="H95" s="11" t="s">
        <v>7001</v>
      </c>
      <c r="I95" s="11" t="s">
        <v>1102</v>
      </c>
      <c r="J95" s="11">
        <v>9.250725729E9</v>
      </c>
      <c r="K95" s="11" t="s">
        <v>6982</v>
      </c>
      <c r="L95" s="11" t="s">
        <v>6983</v>
      </c>
      <c r="M95" s="11" t="s">
        <v>8075</v>
      </c>
      <c r="N95" s="11" t="s">
        <v>8076</v>
      </c>
      <c r="O95" s="11">
        <v>25.0</v>
      </c>
      <c r="P95" s="11" t="s">
        <v>8077</v>
      </c>
      <c r="Q95" s="11">
        <v>20.0</v>
      </c>
      <c r="R95" s="11" t="s">
        <v>8078</v>
      </c>
      <c r="S95" s="11">
        <v>10.0</v>
      </c>
      <c r="T95" s="11" t="s">
        <v>8079</v>
      </c>
      <c r="U95" s="11" t="s">
        <v>8080</v>
      </c>
      <c r="V95" s="11">
        <v>25.0</v>
      </c>
      <c r="W95" s="11" t="s">
        <v>8081</v>
      </c>
      <c r="X95" s="11">
        <v>10.0</v>
      </c>
      <c r="Y95" s="11" t="s">
        <v>6991</v>
      </c>
      <c r="Z95" s="11">
        <v>10.0</v>
      </c>
      <c r="AA95" s="11" t="s">
        <v>7078</v>
      </c>
      <c r="AB95" s="11">
        <v>0.0</v>
      </c>
      <c r="AC95" s="11" t="s">
        <v>8082</v>
      </c>
      <c r="AD95" s="13" t="s">
        <v>6994</v>
      </c>
      <c r="AE95" s="11">
        <v>0.0</v>
      </c>
      <c r="AF95" s="11">
        <f>O95+Q95+S95+V95+X95+Z95+AB95+AE95</f>
        <v>100</v>
      </c>
      <c r="AG95" s="11" t="s">
        <v>8083</v>
      </c>
      <c r="AH95" s="11"/>
    </row>
    <row r="96" ht="15.75" customHeight="1">
      <c r="A96" s="11">
        <v>170.0</v>
      </c>
      <c r="B96" s="12" t="s">
        <v>8084</v>
      </c>
      <c r="C96" s="11" t="s">
        <v>7043</v>
      </c>
      <c r="D96" s="11" t="s">
        <v>8085</v>
      </c>
      <c r="E96" s="16" t="s">
        <v>2505</v>
      </c>
      <c r="F96" s="16" t="s">
        <v>47</v>
      </c>
      <c r="G96" s="16" t="s">
        <v>4449</v>
      </c>
      <c r="H96" s="16" t="s">
        <v>8086</v>
      </c>
      <c r="I96" s="16" t="s">
        <v>4546</v>
      </c>
      <c r="J96" s="18">
        <v>7.068505843E9</v>
      </c>
      <c r="K96" s="11" t="s">
        <v>7376</v>
      </c>
      <c r="L96" s="11" t="s">
        <v>7003</v>
      </c>
      <c r="M96" s="11" t="s">
        <v>8087</v>
      </c>
      <c r="N96" s="11" t="s">
        <v>8088</v>
      </c>
      <c r="O96" s="11">
        <v>60.0</v>
      </c>
      <c r="P96" s="11" t="s">
        <v>8089</v>
      </c>
      <c r="Q96" s="11">
        <v>50.0</v>
      </c>
      <c r="R96" s="11" t="s">
        <v>8090</v>
      </c>
      <c r="S96" s="11">
        <v>25.0</v>
      </c>
      <c r="T96" s="11" t="s">
        <v>8091</v>
      </c>
      <c r="U96" s="11" t="s">
        <v>8092</v>
      </c>
      <c r="V96" s="11">
        <v>25.0</v>
      </c>
      <c r="W96" s="11" t="s">
        <v>8093</v>
      </c>
      <c r="X96" s="11">
        <v>50.0</v>
      </c>
      <c r="Y96" s="11" t="s">
        <v>6991</v>
      </c>
      <c r="Z96" s="11">
        <v>25.0</v>
      </c>
      <c r="AA96" s="13" t="s">
        <v>8094</v>
      </c>
      <c r="AB96" s="11">
        <v>50.0</v>
      </c>
      <c r="AC96" s="11" t="s">
        <v>8095</v>
      </c>
      <c r="AD96" s="13" t="s">
        <v>6994</v>
      </c>
      <c r="AE96" s="11"/>
      <c r="AF96" s="11">
        <f>AE96+AB96+Z96+X96+V96+S96+Q96+O96</f>
        <v>285</v>
      </c>
      <c r="AG96" s="11"/>
      <c r="AH96" s="11"/>
    </row>
    <row r="97" ht="15.75" customHeight="1">
      <c r="A97" s="11">
        <v>135.0</v>
      </c>
      <c r="B97" s="12" t="s">
        <v>8096</v>
      </c>
      <c r="C97" s="11" t="s">
        <v>2140</v>
      </c>
      <c r="D97" s="11" t="s">
        <v>8097</v>
      </c>
      <c r="E97" s="11" t="s">
        <v>5806</v>
      </c>
      <c r="F97" s="11" t="s">
        <v>5807</v>
      </c>
      <c r="G97" s="11" t="s">
        <v>5808</v>
      </c>
      <c r="H97" s="11" t="s">
        <v>7047</v>
      </c>
      <c r="I97" s="11" t="s">
        <v>5809</v>
      </c>
      <c r="J97" s="11">
        <v>9.894597757E9</v>
      </c>
      <c r="K97" s="11" t="s">
        <v>8064</v>
      </c>
      <c r="L97" s="11" t="s">
        <v>6983</v>
      </c>
      <c r="M97" s="11" t="s">
        <v>8098</v>
      </c>
      <c r="N97" s="11" t="s">
        <v>8099</v>
      </c>
      <c r="O97" s="11">
        <v>30.0</v>
      </c>
      <c r="P97" s="11" t="s">
        <v>8100</v>
      </c>
      <c r="Q97" s="11">
        <v>40.0</v>
      </c>
      <c r="R97" s="11" t="s">
        <v>8101</v>
      </c>
      <c r="S97" s="11">
        <v>40.0</v>
      </c>
      <c r="T97" s="11" t="s">
        <v>8102</v>
      </c>
      <c r="U97" s="11" t="s">
        <v>8103</v>
      </c>
      <c r="V97" s="11">
        <v>60.0</v>
      </c>
      <c r="W97" s="11" t="s">
        <v>8104</v>
      </c>
      <c r="X97" s="11">
        <v>40.0</v>
      </c>
      <c r="Y97" s="11" t="s">
        <v>7027</v>
      </c>
      <c r="Z97" s="11">
        <v>50.0</v>
      </c>
      <c r="AA97" s="13" t="s">
        <v>8105</v>
      </c>
      <c r="AB97" s="11">
        <v>70.0</v>
      </c>
      <c r="AC97" s="11" t="s">
        <v>8106</v>
      </c>
      <c r="AD97" s="13" t="s">
        <v>6994</v>
      </c>
      <c r="AE97" s="11"/>
      <c r="AF97" s="11">
        <f>O97+Q97+S97+V97+X97+Z97+AB97</f>
        <v>330</v>
      </c>
      <c r="AG97" s="11"/>
      <c r="AH97" s="11"/>
    </row>
    <row r="98" ht="15.75" customHeight="1">
      <c r="A98" s="11">
        <v>212.0</v>
      </c>
      <c r="B98" s="12" t="s">
        <v>8107</v>
      </c>
      <c r="C98" s="11" t="s">
        <v>7168</v>
      </c>
      <c r="D98" s="11" t="s">
        <v>8108</v>
      </c>
      <c r="E98" s="11" t="s">
        <v>213</v>
      </c>
      <c r="F98" s="11" t="s">
        <v>4401</v>
      </c>
      <c r="G98" s="11" t="s">
        <v>4449</v>
      </c>
      <c r="H98" s="11" t="s">
        <v>7019</v>
      </c>
      <c r="I98" s="11" t="s">
        <v>4450</v>
      </c>
      <c r="J98" s="11">
        <v>9.373522879E9</v>
      </c>
      <c r="K98" s="11" t="s">
        <v>7376</v>
      </c>
      <c r="L98" s="11" t="s">
        <v>7003</v>
      </c>
      <c r="M98" s="11" t="s">
        <v>8109</v>
      </c>
      <c r="N98" s="11" t="s">
        <v>8110</v>
      </c>
      <c r="O98" s="11">
        <v>25.0</v>
      </c>
      <c r="P98" s="11" t="s">
        <v>8111</v>
      </c>
      <c r="Q98" s="11">
        <v>25.0</v>
      </c>
      <c r="R98" s="11" t="s">
        <v>8112</v>
      </c>
      <c r="S98" s="11">
        <v>50.0</v>
      </c>
      <c r="T98" s="11" t="s">
        <v>8113</v>
      </c>
      <c r="U98" s="11" t="s">
        <v>8114</v>
      </c>
      <c r="V98" s="11">
        <v>50.0</v>
      </c>
      <c r="W98" s="11" t="s">
        <v>8115</v>
      </c>
      <c r="X98" s="11">
        <v>50.0</v>
      </c>
      <c r="Y98" s="11" t="s">
        <v>7027</v>
      </c>
      <c r="Z98" s="11">
        <v>25.0</v>
      </c>
      <c r="AA98" s="13" t="s">
        <v>8116</v>
      </c>
      <c r="AB98" s="11">
        <v>25.0</v>
      </c>
      <c r="AC98" s="11" t="s">
        <v>8117</v>
      </c>
      <c r="AD98" s="13" t="s">
        <v>6994</v>
      </c>
      <c r="AE98" s="11"/>
      <c r="AF98" s="11">
        <f>AB98+Z98+X98+V98+S98+Q98+O98</f>
        <v>250</v>
      </c>
      <c r="AG98" s="11"/>
      <c r="AH98" s="11"/>
    </row>
    <row r="99" ht="15.75" customHeight="1">
      <c r="A99" s="11">
        <v>276.0</v>
      </c>
      <c r="B99" s="12" t="s">
        <v>8118</v>
      </c>
      <c r="C99" s="11" t="s">
        <v>4344</v>
      </c>
      <c r="D99" s="11" t="s">
        <v>8119</v>
      </c>
      <c r="E99" s="11"/>
      <c r="F99" s="11"/>
      <c r="G99" s="11"/>
      <c r="H99" s="11"/>
      <c r="I99" s="11"/>
      <c r="J99" s="11"/>
      <c r="K99" s="11"/>
      <c r="L99" s="11" t="s">
        <v>7003</v>
      </c>
      <c r="M99" s="11" t="s">
        <v>8120</v>
      </c>
      <c r="N99" s="11" t="s">
        <v>8121</v>
      </c>
      <c r="O99" s="11">
        <v>50.0</v>
      </c>
      <c r="P99" s="11" t="s">
        <v>8122</v>
      </c>
      <c r="Q99" s="11">
        <v>25.0</v>
      </c>
      <c r="R99" s="11" t="s">
        <v>8123</v>
      </c>
      <c r="S99" s="11">
        <v>25.0</v>
      </c>
      <c r="T99" s="11" t="s">
        <v>8124</v>
      </c>
      <c r="U99" s="11" t="s">
        <v>8125</v>
      </c>
      <c r="V99" s="11">
        <v>50.0</v>
      </c>
      <c r="W99" s="11" t="s">
        <v>8126</v>
      </c>
      <c r="X99" s="11">
        <v>25.0</v>
      </c>
      <c r="Y99" s="11" t="s">
        <v>7027</v>
      </c>
      <c r="Z99" s="11">
        <v>25.0</v>
      </c>
      <c r="AA99" s="11" t="s">
        <v>7078</v>
      </c>
      <c r="AB99" s="11">
        <v>0.0</v>
      </c>
      <c r="AC99" s="11" t="s">
        <v>8127</v>
      </c>
      <c r="AD99" s="13" t="s">
        <v>6994</v>
      </c>
      <c r="AE99" s="11">
        <v>0.0</v>
      </c>
      <c r="AF99" s="11">
        <f t="shared" ref="AF99:AF100" si="16">O99+Q99+S99+V99+X99+Z99+AB99+AE99</f>
        <v>200</v>
      </c>
      <c r="AG99" s="11" t="s">
        <v>8128</v>
      </c>
      <c r="AH99" s="11"/>
    </row>
    <row r="100" ht="15.75" customHeight="1">
      <c r="A100" s="11">
        <v>301.0</v>
      </c>
      <c r="B100" s="12" t="s">
        <v>8129</v>
      </c>
      <c r="C100" s="11"/>
      <c r="D100" s="11" t="s">
        <v>8130</v>
      </c>
      <c r="E100" s="11" t="s">
        <v>1824</v>
      </c>
      <c r="F100" s="11" t="s">
        <v>4379</v>
      </c>
      <c r="G100" s="11" t="s">
        <v>4380</v>
      </c>
      <c r="H100" s="11" t="s">
        <v>7184</v>
      </c>
      <c r="I100" s="11" t="s">
        <v>4381</v>
      </c>
      <c r="J100" s="11">
        <v>8.934096862E9</v>
      </c>
      <c r="K100" s="11" t="s">
        <v>7376</v>
      </c>
      <c r="L100" s="11" t="s">
        <v>7003</v>
      </c>
      <c r="M100" s="11" t="s">
        <v>8131</v>
      </c>
      <c r="N100" s="11" t="s">
        <v>8132</v>
      </c>
      <c r="O100" s="11">
        <v>40.0</v>
      </c>
      <c r="P100" s="11" t="s">
        <v>8133</v>
      </c>
      <c r="Q100" s="11">
        <v>25.0</v>
      </c>
      <c r="R100" s="11" t="s">
        <v>8134</v>
      </c>
      <c r="S100" s="11">
        <v>25.0</v>
      </c>
      <c r="T100" s="11" t="s">
        <v>8135</v>
      </c>
      <c r="U100" s="11" t="s">
        <v>8136</v>
      </c>
      <c r="V100" s="11">
        <v>40.0</v>
      </c>
      <c r="W100" s="11" t="s">
        <v>8137</v>
      </c>
      <c r="X100" s="11">
        <v>25.0</v>
      </c>
      <c r="Y100" s="11" t="s">
        <v>6991</v>
      </c>
      <c r="Z100" s="11">
        <v>25.0</v>
      </c>
      <c r="AA100" s="13" t="s">
        <v>8138</v>
      </c>
      <c r="AB100" s="11">
        <v>0.0</v>
      </c>
      <c r="AC100" s="11" t="s">
        <v>8139</v>
      </c>
      <c r="AD100" s="13" t="s">
        <v>6994</v>
      </c>
      <c r="AE100" s="11">
        <v>0.0</v>
      </c>
      <c r="AF100" s="11">
        <f t="shared" si="16"/>
        <v>180</v>
      </c>
      <c r="AG100" s="11" t="s">
        <v>8140</v>
      </c>
      <c r="AH100" s="11"/>
    </row>
    <row r="101" ht="15.75" customHeight="1">
      <c r="A101" s="11">
        <v>381.0</v>
      </c>
      <c r="B101" s="12" t="s">
        <v>8141</v>
      </c>
      <c r="C101" s="11" t="s">
        <v>7081</v>
      </c>
      <c r="D101" s="11" t="s">
        <v>8142</v>
      </c>
      <c r="E101" s="11" t="s">
        <v>707</v>
      </c>
      <c r="F101" s="11" t="s">
        <v>6752</v>
      </c>
      <c r="G101" s="11" t="s">
        <v>6753</v>
      </c>
      <c r="H101" s="11" t="s">
        <v>7019</v>
      </c>
      <c r="I101" s="11" t="s">
        <v>4276</v>
      </c>
      <c r="J101" s="11">
        <v>9.705902992E9</v>
      </c>
      <c r="K101" s="11" t="s">
        <v>6982</v>
      </c>
      <c r="L101" s="11" t="s">
        <v>7003</v>
      </c>
      <c r="M101" s="11" t="s">
        <v>8143</v>
      </c>
      <c r="N101" s="11" t="s">
        <v>8144</v>
      </c>
      <c r="O101" s="11"/>
      <c r="P101" s="11" t="s">
        <v>8145</v>
      </c>
      <c r="Q101" s="11"/>
      <c r="R101" s="11" t="s">
        <v>8146</v>
      </c>
      <c r="S101" s="11"/>
      <c r="T101" s="11" t="s">
        <v>8147</v>
      </c>
      <c r="U101" s="11" t="s">
        <v>8148</v>
      </c>
      <c r="V101" s="11"/>
      <c r="W101" s="11" t="s">
        <v>8149</v>
      </c>
      <c r="X101" s="11"/>
      <c r="Y101" s="11" t="s">
        <v>6991</v>
      </c>
      <c r="Z101" s="11"/>
      <c r="AA101" s="13" t="s">
        <v>8150</v>
      </c>
      <c r="AB101" s="11"/>
      <c r="AC101" s="11" t="s">
        <v>8151</v>
      </c>
      <c r="AD101" s="13" t="s">
        <v>6994</v>
      </c>
      <c r="AE101" s="11"/>
      <c r="AF101" s="11">
        <f>AE101+AB101+Z101+X101+V101+S101+Q101+O101</f>
        <v>0</v>
      </c>
      <c r="AG101" s="11" t="s">
        <v>8152</v>
      </c>
      <c r="AH101" s="11"/>
    </row>
    <row r="102" ht="15.75" customHeight="1">
      <c r="A102" s="11">
        <v>367.0</v>
      </c>
      <c r="B102" s="12" t="s">
        <v>8153</v>
      </c>
      <c r="C102" s="11"/>
      <c r="D102" s="11" t="s">
        <v>8154</v>
      </c>
      <c r="E102" s="11" t="s">
        <v>2595</v>
      </c>
      <c r="F102" s="11" t="s">
        <v>3920</v>
      </c>
      <c r="G102" s="11" t="s">
        <v>5000</v>
      </c>
      <c r="H102" s="11" t="s">
        <v>7184</v>
      </c>
      <c r="I102" s="11" t="s">
        <v>4571</v>
      </c>
      <c r="J102" s="11">
        <v>9.116611806E9</v>
      </c>
      <c r="K102" s="11" t="s">
        <v>6982</v>
      </c>
      <c r="L102" s="11" t="s">
        <v>6983</v>
      </c>
      <c r="M102" s="11" t="s">
        <v>8155</v>
      </c>
      <c r="N102" s="11" t="s">
        <v>8156</v>
      </c>
      <c r="O102" s="11"/>
      <c r="P102" s="11" t="s">
        <v>8157</v>
      </c>
      <c r="Q102" s="11"/>
      <c r="R102" s="11" t="s">
        <v>8158</v>
      </c>
      <c r="S102" s="11"/>
      <c r="T102" s="11" t="s">
        <v>8159</v>
      </c>
      <c r="U102" s="11" t="s">
        <v>8160</v>
      </c>
      <c r="V102" s="11"/>
      <c r="W102" s="11" t="s">
        <v>8161</v>
      </c>
      <c r="X102" s="11"/>
      <c r="Y102" s="11" t="s">
        <v>6991</v>
      </c>
      <c r="Z102" s="11"/>
      <c r="AA102" s="13" t="s">
        <v>8162</v>
      </c>
      <c r="AB102" s="11"/>
      <c r="AC102" s="11" t="s">
        <v>8163</v>
      </c>
      <c r="AD102" s="13" t="s">
        <v>7420</v>
      </c>
      <c r="AE102" s="11"/>
      <c r="AF102" s="11">
        <f>O102+Q102+S102+V102+X102+Z102+AB102+AE102</f>
        <v>0</v>
      </c>
      <c r="AG102" s="11"/>
      <c r="AH102" s="11"/>
    </row>
    <row r="103" ht="15.75" customHeight="1">
      <c r="A103" s="11">
        <v>198.0</v>
      </c>
      <c r="B103" s="12" t="s">
        <v>8164</v>
      </c>
      <c r="C103" s="11" t="s">
        <v>7043</v>
      </c>
      <c r="D103" s="11" t="s">
        <v>8165</v>
      </c>
      <c r="E103" s="11" t="s">
        <v>40</v>
      </c>
      <c r="F103" s="11" t="s">
        <v>5517</v>
      </c>
      <c r="G103" s="11" t="s">
        <v>4275</v>
      </c>
      <c r="H103" s="11" t="s">
        <v>7047</v>
      </c>
      <c r="I103" s="11" t="s">
        <v>4276</v>
      </c>
      <c r="J103" s="11">
        <v>9.01489635E9</v>
      </c>
      <c r="K103" s="11" t="s">
        <v>8166</v>
      </c>
      <c r="L103" s="11" t="s">
        <v>7003</v>
      </c>
      <c r="M103" s="11" t="s">
        <v>8167</v>
      </c>
      <c r="N103" s="11" t="s">
        <v>8168</v>
      </c>
      <c r="O103" s="11">
        <v>25.0</v>
      </c>
      <c r="P103" s="11" t="s">
        <v>8169</v>
      </c>
      <c r="Q103" s="11">
        <v>25.0</v>
      </c>
      <c r="R103" s="11" t="s">
        <v>8170</v>
      </c>
      <c r="S103" s="11">
        <v>50.0</v>
      </c>
      <c r="T103" s="11" t="s">
        <v>8171</v>
      </c>
      <c r="U103" s="11" t="s">
        <v>8172</v>
      </c>
      <c r="V103" s="11">
        <v>50.0</v>
      </c>
      <c r="W103" s="11" t="s">
        <v>8173</v>
      </c>
      <c r="X103" s="11">
        <v>50.0</v>
      </c>
      <c r="Y103" s="11" t="s">
        <v>6991</v>
      </c>
      <c r="Z103" s="11">
        <v>25.0</v>
      </c>
      <c r="AA103" s="13" t="s">
        <v>8174</v>
      </c>
      <c r="AB103" s="11">
        <v>25.0</v>
      </c>
      <c r="AC103" s="11" t="s">
        <v>8175</v>
      </c>
      <c r="AD103" s="13" t="s">
        <v>6994</v>
      </c>
      <c r="AE103" s="11"/>
      <c r="AF103" s="11">
        <f>AE103+AB103+Z103+X103+V103+S103+Q103+O103</f>
        <v>250</v>
      </c>
      <c r="AG103" s="11"/>
      <c r="AH103" s="11"/>
    </row>
    <row r="104" ht="15.75" customHeight="1">
      <c r="A104" s="11">
        <v>214.0</v>
      </c>
      <c r="B104" s="12" t="s">
        <v>8176</v>
      </c>
      <c r="C104" s="11" t="s">
        <v>7168</v>
      </c>
      <c r="D104" s="11" t="s">
        <v>8177</v>
      </c>
      <c r="E104" s="11" t="s">
        <v>4686</v>
      </c>
      <c r="F104" s="11" t="s">
        <v>4687</v>
      </c>
      <c r="G104" s="11" t="s">
        <v>4688</v>
      </c>
      <c r="H104" s="11" t="s">
        <v>6981</v>
      </c>
      <c r="I104" s="11" t="s">
        <v>15</v>
      </c>
      <c r="J104" s="11">
        <v>9.881107465E9</v>
      </c>
      <c r="K104" s="11" t="s">
        <v>7086</v>
      </c>
      <c r="L104" s="11" t="s">
        <v>7003</v>
      </c>
      <c r="M104" s="11" t="s">
        <v>8178</v>
      </c>
      <c r="N104" s="11" t="s">
        <v>8179</v>
      </c>
      <c r="O104" s="11">
        <v>50.0</v>
      </c>
      <c r="P104" s="11" t="s">
        <v>8180</v>
      </c>
      <c r="Q104" s="11">
        <v>25.0</v>
      </c>
      <c r="R104" s="11" t="s">
        <v>8181</v>
      </c>
      <c r="S104" s="11">
        <v>50.0</v>
      </c>
      <c r="T104" s="11" t="s">
        <v>8182</v>
      </c>
      <c r="U104" s="11" t="s">
        <v>8183</v>
      </c>
      <c r="V104" s="11">
        <v>25.0</v>
      </c>
      <c r="W104" s="11" t="s">
        <v>8184</v>
      </c>
      <c r="X104" s="11">
        <v>50.0</v>
      </c>
      <c r="Y104" s="11" t="s">
        <v>7027</v>
      </c>
      <c r="Z104" s="11">
        <v>25.0</v>
      </c>
      <c r="AA104" s="13" t="s">
        <v>8185</v>
      </c>
      <c r="AB104" s="11">
        <v>25.0</v>
      </c>
      <c r="AC104" s="11" t="s">
        <v>8186</v>
      </c>
      <c r="AD104" s="13" t="s">
        <v>6994</v>
      </c>
      <c r="AE104" s="11"/>
      <c r="AF104" s="11">
        <f>AB104+Z104+X104+V104+S104+Q104+O104</f>
        <v>250</v>
      </c>
      <c r="AG104" s="11"/>
      <c r="AH104" s="11"/>
    </row>
    <row r="105" ht="15.75" customHeight="1">
      <c r="A105" s="11">
        <v>12.0</v>
      </c>
      <c r="B105" s="12" t="s">
        <v>8187</v>
      </c>
      <c r="C105" s="11"/>
      <c r="D105" s="11" t="s">
        <v>8188</v>
      </c>
      <c r="E105" s="16"/>
      <c r="F105" s="16"/>
      <c r="G105" s="16"/>
      <c r="H105" s="16"/>
      <c r="I105" s="16"/>
      <c r="J105" s="16"/>
      <c r="K105" s="11"/>
      <c r="L105" s="11" t="s">
        <v>7003</v>
      </c>
      <c r="M105" s="11" t="s">
        <v>8189</v>
      </c>
      <c r="N105" s="11" t="s">
        <v>8190</v>
      </c>
      <c r="O105" s="11">
        <v>50.0</v>
      </c>
      <c r="P105" s="11" t="s">
        <v>8191</v>
      </c>
      <c r="Q105" s="11">
        <v>70.0</v>
      </c>
      <c r="R105" s="11" t="s">
        <v>8192</v>
      </c>
      <c r="S105" s="11">
        <v>90.0</v>
      </c>
      <c r="T105" s="11" t="s">
        <v>8193</v>
      </c>
      <c r="U105" s="11" t="s">
        <v>8194</v>
      </c>
      <c r="V105" s="11">
        <v>70.0</v>
      </c>
      <c r="W105" s="11" t="s">
        <v>8195</v>
      </c>
      <c r="X105" s="11">
        <v>60.0</v>
      </c>
      <c r="Y105" s="11" t="s">
        <v>7193</v>
      </c>
      <c r="Z105" s="11">
        <v>90.0</v>
      </c>
      <c r="AA105" s="13" t="s">
        <v>8196</v>
      </c>
      <c r="AB105" s="19">
        <v>90.0</v>
      </c>
      <c r="AC105" s="11" t="s">
        <v>8197</v>
      </c>
      <c r="AD105" s="13" t="s">
        <v>6994</v>
      </c>
      <c r="AE105" s="11"/>
      <c r="AF105" s="11">
        <f t="shared" ref="AF105:AF107" si="17">O105+Q105+S105+V105+X105+Z105+AB105+AE105</f>
        <v>520</v>
      </c>
      <c r="AG105" s="20" t="s">
        <v>8198</v>
      </c>
      <c r="AH105" s="11"/>
    </row>
    <row r="106" ht="15.75" customHeight="1">
      <c r="A106" s="11">
        <v>7.0</v>
      </c>
      <c r="B106" s="12" t="s">
        <v>8199</v>
      </c>
      <c r="C106" s="11" t="s">
        <v>4344</v>
      </c>
      <c r="D106" s="11" t="s">
        <v>8200</v>
      </c>
      <c r="E106" s="11" t="s">
        <v>4610</v>
      </c>
      <c r="F106" s="11" t="s">
        <v>4611</v>
      </c>
      <c r="G106" s="11" t="s">
        <v>4612</v>
      </c>
      <c r="H106" s="11" t="s">
        <v>7097</v>
      </c>
      <c r="I106" s="11" t="s">
        <v>193</v>
      </c>
      <c r="J106" s="11">
        <v>9.004299365E9</v>
      </c>
      <c r="K106" s="11" t="s">
        <v>8016</v>
      </c>
      <c r="L106" s="11" t="s">
        <v>7003</v>
      </c>
      <c r="M106" s="11" t="s">
        <v>7287</v>
      </c>
      <c r="N106" s="11" t="s">
        <v>7288</v>
      </c>
      <c r="O106" s="11">
        <v>85.0</v>
      </c>
      <c r="P106" s="11" t="s">
        <v>7289</v>
      </c>
      <c r="Q106" s="11">
        <v>85.0</v>
      </c>
      <c r="R106" s="11" t="s">
        <v>8201</v>
      </c>
      <c r="S106" s="11">
        <v>75.0</v>
      </c>
      <c r="T106" s="11" t="s">
        <v>7291</v>
      </c>
      <c r="U106" s="11" t="s">
        <v>7292</v>
      </c>
      <c r="V106" s="11">
        <v>90.0</v>
      </c>
      <c r="W106" s="11" t="s">
        <v>7293</v>
      </c>
      <c r="X106" s="11">
        <v>90.0</v>
      </c>
      <c r="Y106" s="11" t="s">
        <v>6991</v>
      </c>
      <c r="Z106" s="11">
        <v>50.0</v>
      </c>
      <c r="AA106" s="13" t="s">
        <v>8202</v>
      </c>
      <c r="AB106" s="11">
        <v>90.0</v>
      </c>
      <c r="AC106" s="11" t="s">
        <v>8203</v>
      </c>
      <c r="AD106" s="13" t="s">
        <v>6994</v>
      </c>
      <c r="AE106" s="11">
        <v>0.0</v>
      </c>
      <c r="AF106" s="11">
        <f t="shared" si="17"/>
        <v>565</v>
      </c>
      <c r="AG106" s="11" t="s">
        <v>7296</v>
      </c>
      <c r="AH106" s="11"/>
    </row>
    <row r="107" ht="15.75" customHeight="1">
      <c r="A107" s="11">
        <v>277.0</v>
      </c>
      <c r="B107" s="12" t="s">
        <v>8204</v>
      </c>
      <c r="C107" s="11" t="s">
        <v>4344</v>
      </c>
      <c r="D107" s="11" t="s">
        <v>8205</v>
      </c>
      <c r="E107" s="16" t="s">
        <v>2650</v>
      </c>
      <c r="F107" s="16" t="s">
        <v>8206</v>
      </c>
      <c r="G107" s="16"/>
      <c r="H107" s="16"/>
      <c r="I107" s="16"/>
      <c r="J107" s="16"/>
      <c r="K107" s="11"/>
      <c r="L107" s="11" t="s">
        <v>7003</v>
      </c>
      <c r="M107" s="11" t="s">
        <v>8207</v>
      </c>
      <c r="N107" s="11" t="s">
        <v>8208</v>
      </c>
      <c r="O107" s="11">
        <v>30.0</v>
      </c>
      <c r="P107" s="11" t="s">
        <v>8209</v>
      </c>
      <c r="Q107" s="11">
        <v>30.0</v>
      </c>
      <c r="R107" s="11" t="s">
        <v>8210</v>
      </c>
      <c r="S107" s="11">
        <v>25.0</v>
      </c>
      <c r="T107" s="11" t="s">
        <v>8211</v>
      </c>
      <c r="U107" s="11" t="s">
        <v>8212</v>
      </c>
      <c r="V107" s="11">
        <v>40.0</v>
      </c>
      <c r="W107" s="11" t="s">
        <v>8213</v>
      </c>
      <c r="X107" s="11">
        <v>25.0</v>
      </c>
      <c r="Y107" s="11" t="s">
        <v>6991</v>
      </c>
      <c r="Z107" s="11">
        <v>25.0</v>
      </c>
      <c r="AA107" s="13" t="s">
        <v>8214</v>
      </c>
      <c r="AB107" s="11">
        <v>25.0</v>
      </c>
      <c r="AC107" s="11" t="s">
        <v>8215</v>
      </c>
      <c r="AD107" s="13" t="s">
        <v>6994</v>
      </c>
      <c r="AE107" s="11">
        <v>0.0</v>
      </c>
      <c r="AF107" s="11">
        <f t="shared" si="17"/>
        <v>200</v>
      </c>
      <c r="AG107" s="11" t="s">
        <v>8216</v>
      </c>
      <c r="AH107" s="11"/>
    </row>
    <row r="108" ht="15.75" customHeight="1">
      <c r="A108" s="11">
        <v>186.0</v>
      </c>
      <c r="B108" s="12" t="s">
        <v>8217</v>
      </c>
      <c r="C108" s="12" t="s">
        <v>2140</v>
      </c>
      <c r="D108" s="11" t="s">
        <v>8218</v>
      </c>
      <c r="E108" s="11" t="s">
        <v>4964</v>
      </c>
      <c r="F108" s="11" t="s">
        <v>5187</v>
      </c>
      <c r="G108" s="11" t="s">
        <v>5188</v>
      </c>
      <c r="H108" s="11" t="s">
        <v>7019</v>
      </c>
      <c r="I108" s="11" t="s">
        <v>4015</v>
      </c>
      <c r="J108" s="11">
        <v>9.368250698E9</v>
      </c>
      <c r="K108" s="11" t="s">
        <v>7411</v>
      </c>
      <c r="L108" s="11" t="s">
        <v>6983</v>
      </c>
      <c r="M108" s="11" t="s">
        <v>8219</v>
      </c>
      <c r="N108" s="11" t="s">
        <v>8220</v>
      </c>
      <c r="O108" s="11">
        <v>60.0</v>
      </c>
      <c r="P108" s="11" t="s">
        <v>7323</v>
      </c>
      <c r="Q108" s="11">
        <v>40.0</v>
      </c>
      <c r="R108" s="11" t="s">
        <v>7324</v>
      </c>
      <c r="S108" s="11">
        <v>40.0</v>
      </c>
      <c r="T108" s="11" t="s">
        <v>8221</v>
      </c>
      <c r="U108" s="11" t="s">
        <v>7326</v>
      </c>
      <c r="V108" s="11">
        <v>50.0</v>
      </c>
      <c r="W108" s="11" t="s">
        <v>7327</v>
      </c>
      <c r="X108" s="11">
        <v>20.0</v>
      </c>
      <c r="Y108" s="11" t="s">
        <v>6991</v>
      </c>
      <c r="Z108" s="11">
        <v>30.0</v>
      </c>
      <c r="AA108" s="13" t="s">
        <v>8222</v>
      </c>
      <c r="AB108" s="11">
        <v>30.0</v>
      </c>
      <c r="AC108" s="11" t="s">
        <v>8223</v>
      </c>
      <c r="AD108" s="13" t="s">
        <v>6994</v>
      </c>
      <c r="AE108" s="11"/>
      <c r="AF108" s="11">
        <f>O108+Q108+S108+V108+X108+Z108+AB108</f>
        <v>270</v>
      </c>
      <c r="AG108" s="11"/>
      <c r="AH108" s="11"/>
    </row>
    <row r="109" ht="15.75" customHeight="1">
      <c r="A109" s="11">
        <v>388.0</v>
      </c>
      <c r="B109" s="12" t="s">
        <v>8224</v>
      </c>
      <c r="C109" s="11"/>
      <c r="D109" s="11" t="s">
        <v>8225</v>
      </c>
      <c r="E109" s="11" t="s">
        <v>413</v>
      </c>
      <c r="F109" s="11" t="s">
        <v>1235</v>
      </c>
      <c r="G109" s="11" t="s">
        <v>5304</v>
      </c>
      <c r="H109" s="11" t="s">
        <v>7097</v>
      </c>
      <c r="I109" s="11" t="s">
        <v>1102</v>
      </c>
      <c r="J109" s="11">
        <v>9.810833997E9</v>
      </c>
      <c r="K109" s="11" t="s">
        <v>6982</v>
      </c>
      <c r="L109" s="11" t="s">
        <v>6983</v>
      </c>
      <c r="M109" s="11" t="s">
        <v>8226</v>
      </c>
      <c r="N109" s="11" t="s">
        <v>8227</v>
      </c>
      <c r="O109" s="11"/>
      <c r="P109" s="11" t="s">
        <v>8228</v>
      </c>
      <c r="Q109" s="11"/>
      <c r="R109" s="11" t="s">
        <v>8229</v>
      </c>
      <c r="S109" s="11"/>
      <c r="T109" s="11" t="s">
        <v>8230</v>
      </c>
      <c r="U109" s="11" t="s">
        <v>8231</v>
      </c>
      <c r="V109" s="11"/>
      <c r="W109" s="11" t="s">
        <v>8232</v>
      </c>
      <c r="X109" s="11"/>
      <c r="Y109" s="11" t="s">
        <v>6991</v>
      </c>
      <c r="Z109" s="11"/>
      <c r="AA109" s="11" t="s">
        <v>8233</v>
      </c>
      <c r="AB109" s="11"/>
      <c r="AC109" s="11" t="s">
        <v>8234</v>
      </c>
      <c r="AD109" s="13" t="s">
        <v>6994</v>
      </c>
      <c r="AE109" s="11"/>
      <c r="AF109" s="11">
        <f>AB109+Z109+X109+V109+S109+Q109+O109</f>
        <v>0</v>
      </c>
      <c r="AG109" s="11" t="s">
        <v>8235</v>
      </c>
      <c r="AH109" s="11"/>
    </row>
    <row r="110" ht="15.75" customHeight="1">
      <c r="A110" s="11">
        <v>317.0</v>
      </c>
      <c r="B110" s="12" t="s">
        <v>8236</v>
      </c>
      <c r="C110" s="12" t="s">
        <v>2140</v>
      </c>
      <c r="D110" s="11" t="s">
        <v>8237</v>
      </c>
      <c r="E110" s="11" t="s">
        <v>5066</v>
      </c>
      <c r="F110" s="11" t="s">
        <v>108</v>
      </c>
      <c r="G110" s="11" t="s">
        <v>412</v>
      </c>
      <c r="H110" s="11" t="s">
        <v>7097</v>
      </c>
      <c r="I110" s="11" t="s">
        <v>5067</v>
      </c>
      <c r="J110" s="11">
        <v>9.930071369E9</v>
      </c>
      <c r="K110" s="11" t="s">
        <v>7411</v>
      </c>
      <c r="L110" s="11" t="s">
        <v>6983</v>
      </c>
      <c r="M110" s="11" t="s">
        <v>8238</v>
      </c>
      <c r="N110" s="11" t="s">
        <v>8239</v>
      </c>
      <c r="O110" s="11">
        <v>40.0</v>
      </c>
      <c r="P110" s="11" t="s">
        <v>8240</v>
      </c>
      <c r="Q110" s="11">
        <v>20.0</v>
      </c>
      <c r="R110" s="11" t="s">
        <v>8241</v>
      </c>
      <c r="S110" s="11">
        <v>20.0</v>
      </c>
      <c r="T110" s="11" t="s">
        <v>8242</v>
      </c>
      <c r="U110" s="11" t="s">
        <v>8243</v>
      </c>
      <c r="V110" s="11">
        <v>30.0</v>
      </c>
      <c r="W110" s="11" t="s">
        <v>8244</v>
      </c>
      <c r="X110" s="11">
        <v>20.0</v>
      </c>
      <c r="Y110" s="11" t="s">
        <v>6991</v>
      </c>
      <c r="Z110" s="11">
        <v>10.0</v>
      </c>
      <c r="AA110" s="13" t="s">
        <v>8245</v>
      </c>
      <c r="AB110" s="19">
        <v>10.0</v>
      </c>
      <c r="AC110" s="11" t="s">
        <v>8246</v>
      </c>
      <c r="AD110" s="13" t="s">
        <v>6994</v>
      </c>
      <c r="AE110" s="11"/>
      <c r="AF110" s="11">
        <f>O110+Q110+S110+V110+X110+Z110+AB110</f>
        <v>150</v>
      </c>
      <c r="AG110" s="11"/>
      <c r="AH110" s="11"/>
    </row>
    <row r="111" ht="15.75" customHeight="1">
      <c r="A111" s="11">
        <v>169.0</v>
      </c>
      <c r="B111" s="12" t="s">
        <v>8247</v>
      </c>
      <c r="C111" s="11" t="s">
        <v>4344</v>
      </c>
      <c r="D111" s="11" t="s">
        <v>8248</v>
      </c>
      <c r="E111" s="11" t="s">
        <v>4707</v>
      </c>
      <c r="F111" s="11" t="s">
        <v>4708</v>
      </c>
      <c r="G111" s="11" t="s">
        <v>4477</v>
      </c>
      <c r="H111" s="11" t="s">
        <v>7047</v>
      </c>
      <c r="I111" s="11" t="s">
        <v>1102</v>
      </c>
      <c r="J111" s="11">
        <v>9.213432099E9</v>
      </c>
      <c r="K111" s="11" t="s">
        <v>6982</v>
      </c>
      <c r="L111" s="11" t="s">
        <v>7003</v>
      </c>
      <c r="M111" s="11" t="s">
        <v>8249</v>
      </c>
      <c r="N111" s="11" t="s">
        <v>8250</v>
      </c>
      <c r="O111" s="11">
        <v>50.0</v>
      </c>
      <c r="P111" s="11" t="s">
        <v>8251</v>
      </c>
      <c r="Q111" s="11">
        <v>25.0</v>
      </c>
      <c r="R111" s="11" t="s">
        <v>8252</v>
      </c>
      <c r="S111" s="11">
        <v>25.0</v>
      </c>
      <c r="T111" s="11" t="s">
        <v>8253</v>
      </c>
      <c r="U111" s="11" t="s">
        <v>8254</v>
      </c>
      <c r="V111" s="11">
        <v>70.0</v>
      </c>
      <c r="W111" s="11" t="s">
        <v>8255</v>
      </c>
      <c r="X111" s="11">
        <v>50.0</v>
      </c>
      <c r="Y111" s="11" t="s">
        <v>6991</v>
      </c>
      <c r="Z111" s="11">
        <v>25.0</v>
      </c>
      <c r="AA111" s="13" t="s">
        <v>8256</v>
      </c>
      <c r="AB111" s="11">
        <v>40.0</v>
      </c>
      <c r="AC111" s="11" t="s">
        <v>8257</v>
      </c>
      <c r="AD111" s="13" t="s">
        <v>6994</v>
      </c>
      <c r="AE111" s="11">
        <v>0.0</v>
      </c>
      <c r="AF111" s="11">
        <f>O111+Q111+S111+V111+X111+Z111+AB111+AE111</f>
        <v>285</v>
      </c>
      <c r="AG111" s="11" t="s">
        <v>8258</v>
      </c>
      <c r="AH111" s="11"/>
    </row>
    <row r="112" ht="15.75" customHeight="1">
      <c r="A112" s="11">
        <v>160.0</v>
      </c>
      <c r="B112" s="12" t="s">
        <v>8259</v>
      </c>
      <c r="C112" s="11" t="s">
        <v>2140</v>
      </c>
      <c r="D112" s="11" t="s">
        <v>8260</v>
      </c>
      <c r="E112" s="11" t="s">
        <v>5345</v>
      </c>
      <c r="F112" s="11" t="s">
        <v>68</v>
      </c>
      <c r="G112" s="11" t="s">
        <v>2708</v>
      </c>
      <c r="H112" s="11" t="s">
        <v>7184</v>
      </c>
      <c r="I112" s="11" t="s">
        <v>434</v>
      </c>
      <c r="J112" s="11">
        <v>9.18104861726E11</v>
      </c>
      <c r="K112" s="11" t="s">
        <v>7086</v>
      </c>
      <c r="L112" s="11" t="s">
        <v>7003</v>
      </c>
      <c r="M112" s="11" t="s">
        <v>8261</v>
      </c>
      <c r="N112" s="11" t="s">
        <v>8262</v>
      </c>
      <c r="O112" s="11">
        <v>70.0</v>
      </c>
      <c r="P112" s="11" t="s">
        <v>8263</v>
      </c>
      <c r="Q112" s="11">
        <v>65.0</v>
      </c>
      <c r="R112" s="11" t="s">
        <v>8264</v>
      </c>
      <c r="S112" s="11">
        <v>50.0</v>
      </c>
      <c r="T112" s="11" t="s">
        <v>8265</v>
      </c>
      <c r="U112" s="11" t="s">
        <v>8266</v>
      </c>
      <c r="V112" s="11">
        <v>60.0</v>
      </c>
      <c r="W112" s="11" t="s">
        <v>8267</v>
      </c>
      <c r="X112" s="11">
        <v>30.0</v>
      </c>
      <c r="Y112" s="11" t="s">
        <v>6991</v>
      </c>
      <c r="Z112" s="11">
        <v>20.0</v>
      </c>
      <c r="AA112" s="11" t="s">
        <v>7078</v>
      </c>
      <c r="AB112" s="11">
        <v>0.0</v>
      </c>
      <c r="AC112" s="11" t="s">
        <v>8268</v>
      </c>
      <c r="AD112" s="13" t="s">
        <v>6994</v>
      </c>
      <c r="AE112" s="11"/>
      <c r="AF112" s="11">
        <f>O112+Q112+S112+V112+X112+Z112+AB112</f>
        <v>295</v>
      </c>
      <c r="AG112" s="11"/>
      <c r="AH112" s="11"/>
    </row>
    <row r="113" ht="15.75" customHeight="1">
      <c r="A113" s="11">
        <v>210.0</v>
      </c>
      <c r="B113" s="12" t="s">
        <v>8269</v>
      </c>
      <c r="C113" s="11" t="s">
        <v>4344</v>
      </c>
      <c r="D113" s="11" t="s">
        <v>8270</v>
      </c>
      <c r="E113" s="11" t="s">
        <v>8271</v>
      </c>
      <c r="F113" s="11" t="s">
        <v>145</v>
      </c>
      <c r="G113" s="11" t="s">
        <v>4635</v>
      </c>
      <c r="H113" s="11">
        <v>7.0</v>
      </c>
      <c r="I113" s="11" t="s">
        <v>4636</v>
      </c>
      <c r="J113" s="11">
        <v>7.735885274E9</v>
      </c>
      <c r="K113" s="11" t="s">
        <v>6982</v>
      </c>
      <c r="L113" s="11" t="s">
        <v>6983</v>
      </c>
      <c r="M113" s="11" t="s">
        <v>8272</v>
      </c>
      <c r="N113" s="11" t="s">
        <v>8273</v>
      </c>
      <c r="O113" s="11">
        <v>50.0</v>
      </c>
      <c r="P113" s="11" t="s">
        <v>8274</v>
      </c>
      <c r="Q113" s="11">
        <v>50.0</v>
      </c>
      <c r="R113" s="11" t="s">
        <v>8275</v>
      </c>
      <c r="S113" s="11">
        <v>50.0</v>
      </c>
      <c r="T113" s="11" t="s">
        <v>8276</v>
      </c>
      <c r="U113" s="11" t="s">
        <v>8277</v>
      </c>
      <c r="V113" s="11">
        <v>50.0</v>
      </c>
      <c r="W113" s="11" t="s">
        <v>8278</v>
      </c>
      <c r="X113" s="11">
        <v>25.0</v>
      </c>
      <c r="Y113" s="11" t="s">
        <v>6991</v>
      </c>
      <c r="Z113" s="11">
        <v>25.0</v>
      </c>
      <c r="AA113" s="19" t="s">
        <v>7078</v>
      </c>
      <c r="AB113" s="11">
        <v>0.0</v>
      </c>
      <c r="AC113" s="11" t="s">
        <v>8279</v>
      </c>
      <c r="AD113" s="13" t="s">
        <v>6994</v>
      </c>
      <c r="AE113" s="11">
        <v>0.0</v>
      </c>
      <c r="AF113" s="11">
        <f>O113+Q113+S113+V113+X113+Z113+AB113+AE113</f>
        <v>250</v>
      </c>
      <c r="AG113" s="11" t="s">
        <v>8280</v>
      </c>
      <c r="AH113" s="11"/>
    </row>
    <row r="114" ht="15.75" customHeight="1">
      <c r="A114" s="11">
        <v>374.0</v>
      </c>
      <c r="B114" s="12" t="s">
        <v>8281</v>
      </c>
      <c r="C114" s="11"/>
      <c r="D114" s="11" t="s">
        <v>8282</v>
      </c>
      <c r="E114" s="31" t="s">
        <v>4592</v>
      </c>
      <c r="F114" s="31" t="s">
        <v>108</v>
      </c>
      <c r="G114" s="31" t="s">
        <v>514</v>
      </c>
      <c r="H114" s="31" t="s">
        <v>56</v>
      </c>
      <c r="I114" s="31" t="s">
        <v>1102</v>
      </c>
      <c r="J114" s="31">
        <v>9.871575357E9</v>
      </c>
      <c r="K114" s="11" t="s">
        <v>6982</v>
      </c>
      <c r="L114" s="11" t="s">
        <v>6983</v>
      </c>
      <c r="M114" s="11" t="s">
        <v>8283</v>
      </c>
      <c r="N114" s="11" t="s">
        <v>8284</v>
      </c>
      <c r="O114" s="11"/>
      <c r="P114" s="11" t="s">
        <v>8285</v>
      </c>
      <c r="Q114" s="11"/>
      <c r="R114" s="11" t="s">
        <v>8286</v>
      </c>
      <c r="S114" s="11"/>
      <c r="T114" s="11" t="s">
        <v>8287</v>
      </c>
      <c r="U114" s="11" t="s">
        <v>8288</v>
      </c>
      <c r="V114" s="11"/>
      <c r="W114" s="11" t="s">
        <v>8289</v>
      </c>
      <c r="X114" s="11"/>
      <c r="Y114" s="11" t="s">
        <v>7027</v>
      </c>
      <c r="Z114" s="11"/>
      <c r="AA114" s="11" t="s">
        <v>7078</v>
      </c>
      <c r="AB114" s="11"/>
      <c r="AC114" s="11" t="s">
        <v>8290</v>
      </c>
      <c r="AD114" s="13" t="s">
        <v>6994</v>
      </c>
      <c r="AE114" s="11"/>
      <c r="AF114" s="11">
        <f t="shared" ref="AF114:AF115" si="18">AE114+AB114+Z114+X114+V114+S114+Q114+O114</f>
        <v>0</v>
      </c>
      <c r="AG114" s="11"/>
      <c r="AH114" s="11"/>
    </row>
    <row r="115" ht="15.75" customHeight="1">
      <c r="A115" s="11">
        <v>108.0</v>
      </c>
      <c r="B115" s="12" t="s">
        <v>8291</v>
      </c>
      <c r="C115" s="11"/>
      <c r="D115" s="11" t="s">
        <v>8292</v>
      </c>
      <c r="E115" s="11" t="s">
        <v>144</v>
      </c>
      <c r="F115" s="11" t="s">
        <v>512</v>
      </c>
      <c r="G115" s="11" t="s">
        <v>514</v>
      </c>
      <c r="H115" s="11" t="s">
        <v>8293</v>
      </c>
      <c r="I115" s="11" t="s">
        <v>1095</v>
      </c>
      <c r="J115" s="11">
        <v>8.368875929E9</v>
      </c>
      <c r="K115" s="11"/>
      <c r="L115" s="11" t="s">
        <v>7003</v>
      </c>
      <c r="M115" s="11" t="s">
        <v>8294</v>
      </c>
      <c r="N115" s="11" t="s">
        <v>8295</v>
      </c>
      <c r="O115" s="11">
        <v>40.0</v>
      </c>
      <c r="P115" s="11" t="s">
        <v>8296</v>
      </c>
      <c r="Q115" s="11">
        <v>60.0</v>
      </c>
      <c r="R115" s="11" t="s">
        <v>8297</v>
      </c>
      <c r="S115" s="11">
        <v>60.0</v>
      </c>
      <c r="T115" s="11" t="s">
        <v>8298</v>
      </c>
      <c r="U115" s="11" t="s">
        <v>8299</v>
      </c>
      <c r="V115" s="11">
        <v>90.0</v>
      </c>
      <c r="W115" s="11" t="s">
        <v>8300</v>
      </c>
      <c r="X115" s="11">
        <v>70.0</v>
      </c>
      <c r="Y115" s="11" t="s">
        <v>6991</v>
      </c>
      <c r="Z115" s="11">
        <v>40.0</v>
      </c>
      <c r="AA115" s="11" t="s">
        <v>7078</v>
      </c>
      <c r="AB115" s="11">
        <v>0.0</v>
      </c>
      <c r="AC115" s="11" t="s">
        <v>8301</v>
      </c>
      <c r="AD115" s="13" t="s">
        <v>6994</v>
      </c>
      <c r="AE115" s="11"/>
      <c r="AF115" s="11">
        <f t="shared" si="18"/>
        <v>360</v>
      </c>
      <c r="AG115" s="11"/>
      <c r="AH115" s="11"/>
    </row>
    <row r="116" ht="15.75" customHeight="1">
      <c r="A116" s="11">
        <v>278.0</v>
      </c>
      <c r="B116" s="12" t="s">
        <v>8302</v>
      </c>
      <c r="C116" s="11" t="s">
        <v>4344</v>
      </c>
      <c r="D116" s="11" t="s">
        <v>8303</v>
      </c>
      <c r="E116" s="21" t="s">
        <v>144</v>
      </c>
      <c r="F116" s="11"/>
      <c r="G116" s="21" t="s">
        <v>5587</v>
      </c>
      <c r="H116" s="21" t="s">
        <v>56</v>
      </c>
      <c r="I116" s="21" t="s">
        <v>1102</v>
      </c>
      <c r="J116" s="31">
        <v>7.291922684E9</v>
      </c>
      <c r="K116" s="11" t="s">
        <v>6982</v>
      </c>
      <c r="L116" s="11" t="s">
        <v>6983</v>
      </c>
      <c r="M116" s="11" t="s">
        <v>8304</v>
      </c>
      <c r="N116" s="11" t="s">
        <v>8305</v>
      </c>
      <c r="O116" s="11">
        <v>50.0</v>
      </c>
      <c r="P116" s="11" t="s">
        <v>8306</v>
      </c>
      <c r="Q116" s="11">
        <v>25.0</v>
      </c>
      <c r="R116" s="11" t="s">
        <v>8307</v>
      </c>
      <c r="S116" s="11">
        <v>25.0</v>
      </c>
      <c r="T116" s="11" t="s">
        <v>8308</v>
      </c>
      <c r="U116" s="11" t="s">
        <v>8309</v>
      </c>
      <c r="V116" s="11">
        <v>50.0</v>
      </c>
      <c r="W116" s="11" t="s">
        <v>8310</v>
      </c>
      <c r="X116" s="11">
        <v>25.0</v>
      </c>
      <c r="Y116" s="11" t="s">
        <v>7055</v>
      </c>
      <c r="Z116" s="11">
        <v>25.0</v>
      </c>
      <c r="AA116" s="11" t="s">
        <v>7078</v>
      </c>
      <c r="AB116" s="11">
        <v>0.0</v>
      </c>
      <c r="AC116" s="11" t="s">
        <v>8311</v>
      </c>
      <c r="AD116" s="13" t="s">
        <v>6994</v>
      </c>
      <c r="AE116" s="11">
        <v>0.0</v>
      </c>
      <c r="AF116" s="11">
        <f>O116+Q116+S116+V116+X116+Z116+AB116+AE116</f>
        <v>200</v>
      </c>
      <c r="AG116" s="11" t="s">
        <v>8312</v>
      </c>
      <c r="AH116" s="11"/>
    </row>
    <row r="117" ht="15.75" customHeight="1">
      <c r="A117" s="11">
        <v>107.0</v>
      </c>
      <c r="B117" s="12" t="s">
        <v>8313</v>
      </c>
      <c r="C117" s="11"/>
      <c r="D117" s="11" t="s">
        <v>8314</v>
      </c>
      <c r="E117" s="31" t="s">
        <v>4686</v>
      </c>
      <c r="F117" s="31" t="s">
        <v>50</v>
      </c>
      <c r="G117" s="31" t="s">
        <v>4845</v>
      </c>
      <c r="H117" s="31" t="s">
        <v>14</v>
      </c>
      <c r="I117" s="31" t="s">
        <v>4015</v>
      </c>
      <c r="J117" s="31">
        <v>8.130445555E9</v>
      </c>
      <c r="K117" s="11" t="s">
        <v>7411</v>
      </c>
      <c r="L117" s="11" t="s">
        <v>6983</v>
      </c>
      <c r="M117" s="11" t="s">
        <v>8315</v>
      </c>
      <c r="N117" s="11" t="s">
        <v>8316</v>
      </c>
      <c r="O117" s="11">
        <v>75.0</v>
      </c>
      <c r="P117" s="11" t="s">
        <v>8317</v>
      </c>
      <c r="Q117" s="11">
        <v>50.0</v>
      </c>
      <c r="R117" s="11" t="s">
        <v>8318</v>
      </c>
      <c r="S117" s="11">
        <v>50.0</v>
      </c>
      <c r="T117" s="11" t="s">
        <v>8319</v>
      </c>
      <c r="U117" s="11" t="s">
        <v>8320</v>
      </c>
      <c r="V117" s="11">
        <v>60.0</v>
      </c>
      <c r="W117" s="11" t="s">
        <v>8321</v>
      </c>
      <c r="X117" s="11">
        <v>50.0</v>
      </c>
      <c r="Y117" s="11" t="s">
        <v>6991</v>
      </c>
      <c r="Z117" s="11">
        <v>25.0</v>
      </c>
      <c r="AA117" s="13" t="s">
        <v>8322</v>
      </c>
      <c r="AB117" s="11">
        <v>50.0</v>
      </c>
      <c r="AC117" s="11" t="s">
        <v>8323</v>
      </c>
      <c r="AD117" s="13" t="s">
        <v>6994</v>
      </c>
      <c r="AE117" s="11"/>
      <c r="AF117" s="11">
        <f>AE117+AB117+Z117+X117+V117+S117+Q117+O117</f>
        <v>360</v>
      </c>
      <c r="AG117" s="11"/>
      <c r="AH117" s="11"/>
    </row>
    <row r="118" ht="15.75" customHeight="1">
      <c r="A118" s="11">
        <v>251.0</v>
      </c>
      <c r="B118" s="12" t="s">
        <v>8324</v>
      </c>
      <c r="C118" s="11" t="s">
        <v>1531</v>
      </c>
      <c r="D118" s="11" t="s">
        <v>8325</v>
      </c>
      <c r="E118" s="11" t="s">
        <v>4777</v>
      </c>
      <c r="F118" s="11" t="s">
        <v>1999</v>
      </c>
      <c r="G118" s="11"/>
      <c r="H118" s="11"/>
      <c r="I118" s="11"/>
      <c r="J118" s="11"/>
      <c r="K118" s="11"/>
      <c r="L118" s="11" t="s">
        <v>6983</v>
      </c>
      <c r="M118" s="11" t="s">
        <v>8326</v>
      </c>
      <c r="N118" s="11" t="s">
        <v>8327</v>
      </c>
      <c r="O118" s="11">
        <v>60.0</v>
      </c>
      <c r="P118" s="11" t="s">
        <v>8328</v>
      </c>
      <c r="Q118" s="11">
        <v>40.0</v>
      </c>
      <c r="R118" s="11" t="s">
        <v>8329</v>
      </c>
      <c r="S118" s="11">
        <v>20.0</v>
      </c>
      <c r="T118" s="11" t="s">
        <v>8330</v>
      </c>
      <c r="U118" s="11" t="s">
        <v>8331</v>
      </c>
      <c r="V118" s="11">
        <v>40.0</v>
      </c>
      <c r="W118" s="11" t="s">
        <v>8332</v>
      </c>
      <c r="X118" s="11">
        <v>20.0</v>
      </c>
      <c r="Y118" s="11" t="s">
        <v>6991</v>
      </c>
      <c r="Z118" s="11">
        <v>40.0</v>
      </c>
      <c r="AA118" s="11" t="s">
        <v>7078</v>
      </c>
      <c r="AB118" s="11">
        <v>0.0</v>
      </c>
      <c r="AC118" s="11" t="s">
        <v>8333</v>
      </c>
      <c r="AD118" s="13" t="s">
        <v>6994</v>
      </c>
      <c r="AE118" s="11"/>
      <c r="AF118" s="11">
        <f>O118+Q118+S118+V118+X118+Z118+AB118+AE118</f>
        <v>220</v>
      </c>
      <c r="AG118" s="11"/>
      <c r="AH118" s="11"/>
    </row>
    <row r="119" ht="15.75" customHeight="1">
      <c r="A119" s="11">
        <v>343.0</v>
      </c>
      <c r="B119" s="12" t="s">
        <v>8334</v>
      </c>
      <c r="C119" s="11"/>
      <c r="D119" s="11" t="s">
        <v>8335</v>
      </c>
      <c r="E119" s="11" t="s">
        <v>6918</v>
      </c>
      <c r="F119" s="11" t="s">
        <v>75</v>
      </c>
      <c r="G119" s="11" t="s">
        <v>8336</v>
      </c>
      <c r="H119" s="11" t="s">
        <v>8337</v>
      </c>
      <c r="I119" s="11" t="s">
        <v>4865</v>
      </c>
      <c r="J119" s="11">
        <v>9.742763505E9</v>
      </c>
      <c r="K119" s="11"/>
      <c r="L119" s="11" t="s">
        <v>7003</v>
      </c>
      <c r="M119" s="11" t="s">
        <v>8338</v>
      </c>
      <c r="N119" s="11" t="s">
        <v>8339</v>
      </c>
      <c r="O119" s="11">
        <v>50.0</v>
      </c>
      <c r="P119" s="11" t="s">
        <v>8340</v>
      </c>
      <c r="Q119" s="11">
        <v>50.0</v>
      </c>
      <c r="R119" s="11" t="s">
        <v>8341</v>
      </c>
      <c r="S119" s="11">
        <v>10.0</v>
      </c>
      <c r="T119" s="11" t="s">
        <v>8342</v>
      </c>
      <c r="U119" s="11" t="s">
        <v>8342</v>
      </c>
      <c r="V119" s="11">
        <v>0.0</v>
      </c>
      <c r="W119" s="11" t="s">
        <v>8343</v>
      </c>
      <c r="X119" s="11">
        <v>0.0</v>
      </c>
      <c r="Y119" s="11" t="s">
        <v>6991</v>
      </c>
      <c r="Z119" s="11">
        <v>0.0</v>
      </c>
      <c r="AA119" s="13" t="s">
        <v>8344</v>
      </c>
      <c r="AB119" s="19">
        <v>0.0</v>
      </c>
      <c r="AC119" s="11" t="s">
        <v>8345</v>
      </c>
      <c r="AD119" s="13" t="s">
        <v>6994</v>
      </c>
      <c r="AE119" s="11"/>
      <c r="AF119" s="11">
        <f>AE119+AB119+Z119+X119+V119+S119+Q119+O119</f>
        <v>110</v>
      </c>
      <c r="AG119" s="11"/>
      <c r="AH119" s="11"/>
    </row>
    <row r="120" ht="15.75" customHeight="1">
      <c r="A120" s="11">
        <v>146.0</v>
      </c>
      <c r="B120" s="12" t="s">
        <v>8346</v>
      </c>
      <c r="C120" s="11" t="s">
        <v>4344</v>
      </c>
      <c r="D120" s="11" t="s">
        <v>8347</v>
      </c>
      <c r="E120" s="31" t="s">
        <v>6260</v>
      </c>
      <c r="F120" s="31" t="s">
        <v>6261</v>
      </c>
      <c r="G120" s="31" t="s">
        <v>6262</v>
      </c>
      <c r="H120" s="31" t="s">
        <v>44</v>
      </c>
      <c r="I120" s="31" t="s">
        <v>6263</v>
      </c>
      <c r="J120" s="31">
        <v>7.907066286E9</v>
      </c>
      <c r="K120" s="11" t="s">
        <v>6982</v>
      </c>
      <c r="L120" s="11" t="s">
        <v>6983</v>
      </c>
      <c r="M120" s="11" t="s">
        <v>8348</v>
      </c>
      <c r="N120" s="11" t="s">
        <v>8349</v>
      </c>
      <c r="O120" s="11">
        <v>60.0</v>
      </c>
      <c r="P120" s="11" t="s">
        <v>8350</v>
      </c>
      <c r="Q120" s="11">
        <v>25.0</v>
      </c>
      <c r="R120" s="11" t="s">
        <v>8351</v>
      </c>
      <c r="S120" s="11">
        <v>50.0</v>
      </c>
      <c r="T120" s="11" t="s">
        <v>8352</v>
      </c>
      <c r="U120" s="11" t="s">
        <v>8353</v>
      </c>
      <c r="V120" s="11">
        <v>70.0</v>
      </c>
      <c r="W120" s="11" t="s">
        <v>8354</v>
      </c>
      <c r="X120" s="11">
        <v>60.0</v>
      </c>
      <c r="Y120" s="11" t="s">
        <v>6991</v>
      </c>
      <c r="Z120" s="11">
        <v>25.0</v>
      </c>
      <c r="AA120" s="13" t="s">
        <v>8355</v>
      </c>
      <c r="AB120" s="11">
        <v>25.0</v>
      </c>
      <c r="AC120" s="11" t="s">
        <v>8356</v>
      </c>
      <c r="AD120" s="13" t="s">
        <v>6994</v>
      </c>
      <c r="AE120" s="11">
        <v>0.0</v>
      </c>
      <c r="AF120" s="11">
        <f>O120+Q120+S120+V120+X120+Z120+AB120+AE120</f>
        <v>315</v>
      </c>
      <c r="AG120" s="13" t="s">
        <v>8357</v>
      </c>
      <c r="AH120" s="11"/>
    </row>
    <row r="121" ht="15.75" customHeight="1">
      <c r="A121" s="11">
        <v>30.0</v>
      </c>
      <c r="B121" s="12" t="s">
        <v>8358</v>
      </c>
      <c r="C121" s="11"/>
      <c r="D121" s="13" t="s">
        <v>8359</v>
      </c>
      <c r="E121" s="21" t="s">
        <v>5189</v>
      </c>
      <c r="F121" s="21" t="s">
        <v>5741</v>
      </c>
      <c r="G121" s="21" t="s">
        <v>6423</v>
      </c>
      <c r="H121" s="21" t="s">
        <v>26</v>
      </c>
      <c r="I121" s="21" t="s">
        <v>6424</v>
      </c>
      <c r="J121" s="21">
        <v>9.447900647E9</v>
      </c>
      <c r="K121" s="13" t="s">
        <v>7411</v>
      </c>
      <c r="L121" s="11" t="s">
        <v>6983</v>
      </c>
      <c r="M121" s="19" t="s">
        <v>8360</v>
      </c>
      <c r="N121" s="11" t="s">
        <v>8361</v>
      </c>
      <c r="O121" s="11">
        <v>70.0</v>
      </c>
      <c r="P121" s="11" t="s">
        <v>8362</v>
      </c>
      <c r="Q121" s="11">
        <v>65.0</v>
      </c>
      <c r="R121" s="11" t="s">
        <v>8363</v>
      </c>
      <c r="S121" s="11">
        <v>70.0</v>
      </c>
      <c r="T121" s="11" t="s">
        <v>8364</v>
      </c>
      <c r="U121" s="11" t="s">
        <v>8365</v>
      </c>
      <c r="V121" s="11">
        <v>75.0</v>
      </c>
      <c r="W121" s="11" t="s">
        <v>8366</v>
      </c>
      <c r="X121" s="11">
        <v>75.0</v>
      </c>
      <c r="Y121" s="11" t="s">
        <v>6991</v>
      </c>
      <c r="Z121" s="11">
        <v>40.0</v>
      </c>
      <c r="AA121" s="13" t="s">
        <v>8367</v>
      </c>
      <c r="AB121" s="19">
        <v>60.0</v>
      </c>
      <c r="AC121" s="30">
        <v>44169.0</v>
      </c>
      <c r="AD121" s="30"/>
      <c r="AE121" s="11"/>
      <c r="AF121" s="11">
        <f t="shared" ref="AF121:AF122" si="19">AE121+AB121+Z121+X121+V121+S121+Q121+O121</f>
        <v>455</v>
      </c>
      <c r="AG121" s="11"/>
      <c r="AH121" s="11"/>
    </row>
    <row r="122" ht="15.75" customHeight="1">
      <c r="A122" s="11">
        <v>346.0</v>
      </c>
      <c r="B122" s="12" t="s">
        <v>8368</v>
      </c>
      <c r="C122" s="11"/>
      <c r="D122" s="11" t="s">
        <v>8369</v>
      </c>
      <c r="E122" s="11" t="s">
        <v>8370</v>
      </c>
      <c r="F122" s="11" t="s">
        <v>63</v>
      </c>
      <c r="G122" s="11" t="s">
        <v>8371</v>
      </c>
      <c r="H122" s="11" t="s">
        <v>7001</v>
      </c>
      <c r="I122" s="11"/>
      <c r="J122" s="11"/>
      <c r="K122" s="11" t="s">
        <v>7376</v>
      </c>
      <c r="L122" s="11" t="s">
        <v>7003</v>
      </c>
      <c r="M122" s="11" t="s">
        <v>8372</v>
      </c>
      <c r="N122" s="11" t="s">
        <v>8373</v>
      </c>
      <c r="O122" s="11">
        <v>12.5</v>
      </c>
      <c r="P122" s="11" t="s">
        <v>8374</v>
      </c>
      <c r="Q122" s="11">
        <v>25.0</v>
      </c>
      <c r="R122" s="11" t="s">
        <v>8375</v>
      </c>
      <c r="S122" s="11">
        <v>25.0</v>
      </c>
      <c r="T122" s="11" t="s">
        <v>8376</v>
      </c>
      <c r="U122" s="11" t="s">
        <v>8377</v>
      </c>
      <c r="V122" s="11">
        <v>10.0</v>
      </c>
      <c r="W122" s="11" t="s">
        <v>8378</v>
      </c>
      <c r="X122" s="11">
        <v>25.0</v>
      </c>
      <c r="Y122" s="11" t="s">
        <v>6991</v>
      </c>
      <c r="Z122" s="11">
        <v>10.0</v>
      </c>
      <c r="AA122" s="11" t="s">
        <v>7078</v>
      </c>
      <c r="AB122" s="11">
        <v>0.0</v>
      </c>
      <c r="AC122" s="11" t="s">
        <v>8379</v>
      </c>
      <c r="AD122" s="13" t="s">
        <v>6994</v>
      </c>
      <c r="AE122" s="11"/>
      <c r="AF122" s="11">
        <f t="shared" si="19"/>
        <v>107.5</v>
      </c>
      <c r="AG122" s="11"/>
      <c r="AH122" s="11"/>
    </row>
    <row r="123" ht="15.75" customHeight="1">
      <c r="A123" s="11">
        <v>25.0</v>
      </c>
      <c r="B123" s="12" t="s">
        <v>8380</v>
      </c>
      <c r="C123" s="11" t="s">
        <v>4344</v>
      </c>
      <c r="D123" s="11" t="s">
        <v>8381</v>
      </c>
      <c r="E123" s="21" t="s">
        <v>727</v>
      </c>
      <c r="F123" s="21" t="s">
        <v>3527</v>
      </c>
      <c r="G123" s="21" t="s">
        <v>5942</v>
      </c>
      <c r="H123" s="21" t="s">
        <v>44</v>
      </c>
      <c r="I123" s="21" t="s">
        <v>434</v>
      </c>
      <c r="J123" s="31">
        <v>9.820174755E9</v>
      </c>
      <c r="K123" s="11" t="s">
        <v>7086</v>
      </c>
      <c r="L123" s="11" t="s">
        <v>7003</v>
      </c>
      <c r="M123" s="11" t="s">
        <v>8382</v>
      </c>
      <c r="N123" s="11" t="s">
        <v>8383</v>
      </c>
      <c r="O123" s="11">
        <v>80.0</v>
      </c>
      <c r="P123" s="11" t="s">
        <v>8384</v>
      </c>
      <c r="Q123" s="11">
        <v>75.0</v>
      </c>
      <c r="R123" s="11" t="s">
        <v>8385</v>
      </c>
      <c r="S123" s="11">
        <v>50.0</v>
      </c>
      <c r="T123" s="11" t="s">
        <v>8386</v>
      </c>
      <c r="U123" s="11" t="s">
        <v>8387</v>
      </c>
      <c r="V123" s="11">
        <v>80.0</v>
      </c>
      <c r="W123" s="11" t="s">
        <v>8388</v>
      </c>
      <c r="X123" s="11">
        <v>80.0</v>
      </c>
      <c r="Y123" s="11" t="s">
        <v>6991</v>
      </c>
      <c r="Z123" s="11">
        <v>25.0</v>
      </c>
      <c r="AA123" s="13" t="s">
        <v>8389</v>
      </c>
      <c r="AB123" s="11">
        <v>75.0</v>
      </c>
      <c r="AC123" s="11" t="s">
        <v>8390</v>
      </c>
      <c r="AD123" s="13" t="s">
        <v>6994</v>
      </c>
      <c r="AE123" s="11">
        <v>0.0</v>
      </c>
      <c r="AF123" s="11">
        <f t="shared" ref="AF123:AF124" si="20">O123+Q123+S123+V123+X123+Z123+AB123+AE123</f>
        <v>465</v>
      </c>
      <c r="AG123" s="11" t="s">
        <v>8391</v>
      </c>
      <c r="AH123" s="11"/>
    </row>
    <row r="124" ht="15.75" customHeight="1">
      <c r="A124" s="11">
        <v>61.0</v>
      </c>
      <c r="B124" s="11" t="s">
        <v>8392</v>
      </c>
      <c r="C124" s="11"/>
      <c r="D124" s="11" t="s">
        <v>8393</v>
      </c>
      <c r="E124" s="31" t="s">
        <v>5784</v>
      </c>
      <c r="F124" s="31" t="s">
        <v>5785</v>
      </c>
      <c r="G124" s="31" t="s">
        <v>5623</v>
      </c>
      <c r="H124" s="31" t="s">
        <v>9</v>
      </c>
      <c r="I124" s="31" t="s">
        <v>4656</v>
      </c>
      <c r="J124" s="31">
        <v>8.637862325E9</v>
      </c>
      <c r="K124" s="11" t="s">
        <v>6982</v>
      </c>
      <c r="L124" s="11" t="s">
        <v>6983</v>
      </c>
      <c r="M124" s="11" t="s">
        <v>8394</v>
      </c>
      <c r="N124" s="11" t="s">
        <v>8395</v>
      </c>
      <c r="O124" s="11">
        <v>70.0</v>
      </c>
      <c r="P124" s="11" t="s">
        <v>8396</v>
      </c>
      <c r="Q124" s="11">
        <v>70.0</v>
      </c>
      <c r="R124" s="11" t="s">
        <v>8397</v>
      </c>
      <c r="S124" s="11">
        <v>70.0</v>
      </c>
      <c r="T124" s="11" t="s">
        <v>8398</v>
      </c>
      <c r="U124" s="11" t="s">
        <v>8399</v>
      </c>
      <c r="V124" s="11">
        <v>80.0</v>
      </c>
      <c r="W124" s="11" t="s">
        <v>8400</v>
      </c>
      <c r="X124" s="11">
        <v>70.0</v>
      </c>
      <c r="Y124" s="11" t="s">
        <v>6991</v>
      </c>
      <c r="Z124" s="11">
        <v>40.0</v>
      </c>
      <c r="AA124" s="13" t="s">
        <v>8401</v>
      </c>
      <c r="AB124" s="19">
        <v>20.0</v>
      </c>
      <c r="AC124" s="11" t="s">
        <v>8402</v>
      </c>
      <c r="AD124" s="13" t="s">
        <v>6994</v>
      </c>
      <c r="AE124" s="11"/>
      <c r="AF124" s="11">
        <f t="shared" si="20"/>
        <v>420</v>
      </c>
      <c r="AG124" s="11"/>
      <c r="AH124" s="11"/>
    </row>
    <row r="125" ht="15.75" customHeight="1">
      <c r="A125" s="11">
        <v>386.0</v>
      </c>
      <c r="B125" s="12" t="s">
        <v>8403</v>
      </c>
      <c r="C125" s="11"/>
      <c r="D125" s="11" t="s">
        <v>8404</v>
      </c>
      <c r="E125" s="21" t="s">
        <v>6711</v>
      </c>
      <c r="F125" s="21" t="s">
        <v>63</v>
      </c>
      <c r="G125" s="21" t="s">
        <v>6712</v>
      </c>
      <c r="H125" s="21" t="s">
        <v>44</v>
      </c>
      <c r="I125" s="21" t="s">
        <v>6713</v>
      </c>
      <c r="J125" s="31">
        <v>7.814876466E9</v>
      </c>
      <c r="K125" s="11" t="s">
        <v>6982</v>
      </c>
      <c r="L125" s="11" t="s">
        <v>6983</v>
      </c>
      <c r="M125" s="11" t="s">
        <v>8405</v>
      </c>
      <c r="N125" s="11" t="s">
        <v>8406</v>
      </c>
      <c r="O125" s="11"/>
      <c r="P125" s="11" t="s">
        <v>8407</v>
      </c>
      <c r="Q125" s="11"/>
      <c r="R125" s="11" t="s">
        <v>8408</v>
      </c>
      <c r="S125" s="11"/>
      <c r="T125" s="11" t="s">
        <v>8409</v>
      </c>
      <c r="U125" s="11" t="s">
        <v>8410</v>
      </c>
      <c r="V125" s="11"/>
      <c r="W125" s="11" t="s">
        <v>8411</v>
      </c>
      <c r="X125" s="11"/>
      <c r="Y125" s="11" t="s">
        <v>7027</v>
      </c>
      <c r="Z125" s="11"/>
      <c r="AA125" s="11" t="s">
        <v>7078</v>
      </c>
      <c r="AB125" s="11"/>
      <c r="AC125" s="11" t="s">
        <v>8412</v>
      </c>
      <c r="AD125" s="13" t="s">
        <v>6994</v>
      </c>
      <c r="AE125" s="11"/>
      <c r="AF125" s="11">
        <f>AB125+Z125+X125+V125+S125+Q125+O125</f>
        <v>0</v>
      </c>
      <c r="AG125" s="11" t="s">
        <v>8413</v>
      </c>
      <c r="AH125" s="11"/>
    </row>
    <row r="126" ht="15.75" customHeight="1">
      <c r="A126" s="11">
        <v>118.0</v>
      </c>
      <c r="B126" s="12" t="s">
        <v>8414</v>
      </c>
      <c r="C126" s="11" t="s">
        <v>4344</v>
      </c>
      <c r="D126" s="11" t="s">
        <v>8415</v>
      </c>
      <c r="E126" s="21" t="s">
        <v>5485</v>
      </c>
      <c r="F126" s="21" t="s">
        <v>4522</v>
      </c>
      <c r="G126" s="21" t="s">
        <v>5021</v>
      </c>
      <c r="H126" s="21" t="s">
        <v>56</v>
      </c>
      <c r="I126" s="21" t="s">
        <v>494</v>
      </c>
      <c r="J126" s="31">
        <v>9.582289149E9</v>
      </c>
      <c r="K126" s="11" t="s">
        <v>6982</v>
      </c>
      <c r="L126" s="11" t="s">
        <v>6983</v>
      </c>
      <c r="M126" s="11" t="s">
        <v>7032</v>
      </c>
      <c r="N126" s="11" t="s">
        <v>7033</v>
      </c>
      <c r="O126" s="11">
        <v>75.0</v>
      </c>
      <c r="P126" s="11" t="s">
        <v>8416</v>
      </c>
      <c r="Q126" s="11">
        <v>50.0</v>
      </c>
      <c r="R126" s="11" t="s">
        <v>7035</v>
      </c>
      <c r="S126" s="11">
        <v>25.0</v>
      </c>
      <c r="T126" s="11" t="s">
        <v>7036</v>
      </c>
      <c r="U126" s="11" t="s">
        <v>7037</v>
      </c>
      <c r="V126" s="11">
        <v>70.0</v>
      </c>
      <c r="W126" s="11" t="s">
        <v>7038</v>
      </c>
      <c r="X126" s="11">
        <v>50.0</v>
      </c>
      <c r="Y126" s="11" t="s">
        <v>6991</v>
      </c>
      <c r="Z126" s="11">
        <v>25.0</v>
      </c>
      <c r="AA126" s="13" t="s">
        <v>8417</v>
      </c>
      <c r="AB126" s="11">
        <v>50.0</v>
      </c>
      <c r="AC126" s="11" t="s">
        <v>8418</v>
      </c>
      <c r="AD126" s="13" t="s">
        <v>6994</v>
      </c>
      <c r="AE126" s="11">
        <v>0.0</v>
      </c>
      <c r="AF126" s="11">
        <f>O126+Q126+S126+V126+X126+Z126+AB126+AE126</f>
        <v>345</v>
      </c>
      <c r="AG126" s="11" t="s">
        <v>7041</v>
      </c>
      <c r="AH126" s="11"/>
    </row>
    <row r="127" ht="15.75" customHeight="1">
      <c r="A127" s="11">
        <v>43.0</v>
      </c>
      <c r="B127" s="12" t="s">
        <v>8419</v>
      </c>
      <c r="C127" s="11"/>
      <c r="D127" s="11" t="s">
        <v>8420</v>
      </c>
      <c r="E127" s="11"/>
      <c r="F127" s="11"/>
      <c r="G127" s="11"/>
      <c r="H127" s="11"/>
      <c r="I127" s="11"/>
      <c r="J127" s="11"/>
      <c r="K127" s="11"/>
      <c r="L127" s="11" t="s">
        <v>7003</v>
      </c>
      <c r="M127" s="11" t="s">
        <v>8421</v>
      </c>
      <c r="N127" s="11" t="s">
        <v>8422</v>
      </c>
      <c r="O127" s="11">
        <v>80.0</v>
      </c>
      <c r="P127" s="11" t="s">
        <v>8423</v>
      </c>
      <c r="Q127" s="11">
        <v>80.0</v>
      </c>
      <c r="R127" s="11" t="s">
        <v>8424</v>
      </c>
      <c r="S127" s="11">
        <v>90.0</v>
      </c>
      <c r="T127" s="11" t="s">
        <v>8425</v>
      </c>
      <c r="U127" s="11" t="s">
        <v>8426</v>
      </c>
      <c r="V127" s="11">
        <v>40.0</v>
      </c>
      <c r="W127" s="11" t="s">
        <v>8427</v>
      </c>
      <c r="X127" s="11">
        <v>60.0</v>
      </c>
      <c r="Y127" s="11" t="s">
        <v>7055</v>
      </c>
      <c r="Z127" s="11">
        <v>90.0</v>
      </c>
      <c r="AA127" s="11" t="s">
        <v>7078</v>
      </c>
      <c r="AB127" s="11">
        <v>0.0</v>
      </c>
      <c r="AC127" s="11" t="s">
        <v>8428</v>
      </c>
      <c r="AD127" s="13" t="s">
        <v>6994</v>
      </c>
      <c r="AE127" s="11"/>
      <c r="AF127" s="11">
        <f t="shared" ref="AF127:AF129" si="21">AE127+AB127+Z127+X127+V127+S127+Q127+O127</f>
        <v>440</v>
      </c>
      <c r="AG127" s="11"/>
      <c r="AH127" s="11"/>
    </row>
    <row r="128" ht="15.75" customHeight="1">
      <c r="A128" s="11">
        <v>38.0</v>
      </c>
      <c r="B128" s="12" t="s">
        <v>8429</v>
      </c>
      <c r="C128" s="11" t="s">
        <v>7081</v>
      </c>
      <c r="D128" s="11" t="s">
        <v>8430</v>
      </c>
      <c r="E128" s="31" t="s">
        <v>1435</v>
      </c>
      <c r="F128" s="31" t="s">
        <v>5700</v>
      </c>
      <c r="G128" s="31" t="s">
        <v>5701</v>
      </c>
      <c r="H128" s="31" t="s">
        <v>9</v>
      </c>
      <c r="I128" s="31" t="s">
        <v>5702</v>
      </c>
      <c r="J128" s="31">
        <v>8.70830656E9</v>
      </c>
      <c r="K128" s="11" t="s">
        <v>6982</v>
      </c>
      <c r="L128" s="11" t="s">
        <v>6983</v>
      </c>
      <c r="M128" s="11" t="s">
        <v>8431</v>
      </c>
      <c r="N128" s="11" t="s">
        <v>8432</v>
      </c>
      <c r="O128" s="11">
        <v>75.0</v>
      </c>
      <c r="P128" s="11" t="s">
        <v>8433</v>
      </c>
      <c r="Q128" s="11">
        <v>50.0</v>
      </c>
      <c r="R128" s="11" t="s">
        <v>8434</v>
      </c>
      <c r="S128" s="11">
        <v>75.0</v>
      </c>
      <c r="T128" s="11" t="s">
        <v>8435</v>
      </c>
      <c r="U128" s="11" t="s">
        <v>8436</v>
      </c>
      <c r="V128" s="11">
        <v>75.0</v>
      </c>
      <c r="W128" s="11" t="s">
        <v>8437</v>
      </c>
      <c r="X128" s="11">
        <v>100.0</v>
      </c>
      <c r="Y128" s="11" t="s">
        <v>7027</v>
      </c>
      <c r="Z128" s="13">
        <v>50.0</v>
      </c>
      <c r="AA128" s="13" t="s">
        <v>8438</v>
      </c>
      <c r="AB128" s="11">
        <v>25.0</v>
      </c>
      <c r="AC128" s="11" t="s">
        <v>8439</v>
      </c>
      <c r="AD128" s="13" t="s">
        <v>6994</v>
      </c>
      <c r="AE128" s="11"/>
      <c r="AF128" s="11">
        <f t="shared" si="21"/>
        <v>450</v>
      </c>
      <c r="AG128" s="11"/>
      <c r="AH128" s="11"/>
    </row>
    <row r="129" ht="15.75" customHeight="1">
      <c r="A129" s="11">
        <v>323.0</v>
      </c>
      <c r="B129" s="12" t="s">
        <v>8440</v>
      </c>
      <c r="C129" s="11"/>
      <c r="D129" s="11" t="s">
        <v>8441</v>
      </c>
      <c r="E129" s="11" t="s">
        <v>3743</v>
      </c>
      <c r="F129" s="11" t="s">
        <v>5240</v>
      </c>
      <c r="G129" s="11" t="s">
        <v>4561</v>
      </c>
      <c r="H129" s="11" t="s">
        <v>7019</v>
      </c>
      <c r="I129" s="11" t="s">
        <v>4276</v>
      </c>
      <c r="J129" s="18">
        <v>9.966796549E9</v>
      </c>
      <c r="K129" s="11"/>
      <c r="L129" s="11" t="s">
        <v>7003</v>
      </c>
      <c r="M129" s="11" t="s">
        <v>8442</v>
      </c>
      <c r="N129" s="11" t="s">
        <v>8443</v>
      </c>
      <c r="O129" s="11">
        <v>40.0</v>
      </c>
      <c r="P129" s="11" t="s">
        <v>8444</v>
      </c>
      <c r="Q129" s="11">
        <v>25.0</v>
      </c>
      <c r="R129" s="11" t="s">
        <v>8445</v>
      </c>
      <c r="S129" s="11">
        <v>25.0</v>
      </c>
      <c r="T129" s="11" t="s">
        <v>8446</v>
      </c>
      <c r="U129" s="11" t="s">
        <v>8447</v>
      </c>
      <c r="V129" s="11">
        <v>25.0</v>
      </c>
      <c r="W129" s="11" t="s">
        <v>8448</v>
      </c>
      <c r="X129" s="11">
        <v>10.0</v>
      </c>
      <c r="Y129" s="11" t="s">
        <v>7027</v>
      </c>
      <c r="Z129" s="11">
        <v>10.0</v>
      </c>
      <c r="AA129" s="13" t="s">
        <v>8449</v>
      </c>
      <c r="AB129" s="19">
        <v>10.0</v>
      </c>
      <c r="AC129" s="11" t="s">
        <v>8450</v>
      </c>
      <c r="AD129" s="13" t="s">
        <v>6994</v>
      </c>
      <c r="AE129" s="11"/>
      <c r="AF129" s="11">
        <f t="shared" si="21"/>
        <v>145</v>
      </c>
      <c r="AG129" s="11"/>
      <c r="AH129" s="11"/>
    </row>
    <row r="130" ht="15.75" customHeight="1">
      <c r="A130" s="11">
        <v>270.0</v>
      </c>
      <c r="B130" s="12" t="s">
        <v>8451</v>
      </c>
      <c r="C130" s="11" t="s">
        <v>4344</v>
      </c>
      <c r="D130" s="11" t="s">
        <v>8452</v>
      </c>
      <c r="E130" s="31" t="s">
        <v>5434</v>
      </c>
      <c r="F130" s="31" t="s">
        <v>5435</v>
      </c>
      <c r="G130" s="31" t="s">
        <v>5430</v>
      </c>
      <c r="H130" s="31" t="s">
        <v>26</v>
      </c>
      <c r="I130" s="31" t="s">
        <v>5396</v>
      </c>
      <c r="J130" s="31">
        <v>7.90873294E9</v>
      </c>
      <c r="K130" s="11" t="s">
        <v>6982</v>
      </c>
      <c r="L130" s="11" t="s">
        <v>6983</v>
      </c>
      <c r="M130" s="11" t="s">
        <v>8453</v>
      </c>
      <c r="N130" s="11" t="s">
        <v>8454</v>
      </c>
      <c r="O130" s="11">
        <v>25.0</v>
      </c>
      <c r="P130" s="11" t="s">
        <v>8455</v>
      </c>
      <c r="Q130" s="11">
        <v>50.0</v>
      </c>
      <c r="R130" s="11" t="s">
        <v>8456</v>
      </c>
      <c r="S130" s="11">
        <v>10.0</v>
      </c>
      <c r="T130" s="11" t="s">
        <v>8457</v>
      </c>
      <c r="U130" s="11" t="s">
        <v>8458</v>
      </c>
      <c r="V130" s="11">
        <v>40.0</v>
      </c>
      <c r="W130" s="11" t="s">
        <v>8459</v>
      </c>
      <c r="X130" s="11">
        <v>25.0</v>
      </c>
      <c r="Y130" s="11" t="s">
        <v>7193</v>
      </c>
      <c r="Z130" s="11">
        <v>25.0</v>
      </c>
      <c r="AA130" s="13" t="s">
        <v>8460</v>
      </c>
      <c r="AB130" s="11">
        <v>25.0</v>
      </c>
      <c r="AC130" s="11" t="s">
        <v>8461</v>
      </c>
      <c r="AD130" s="13" t="s">
        <v>6994</v>
      </c>
      <c r="AE130" s="11">
        <v>0.0</v>
      </c>
      <c r="AF130" s="11">
        <f t="shared" ref="AF130:AF135" si="22">O130+Q130+S130+V130+X130+Z130+AB130+AE130</f>
        <v>200</v>
      </c>
      <c r="AG130" s="11" t="s">
        <v>8462</v>
      </c>
      <c r="AH130" s="11"/>
    </row>
    <row r="131" ht="15.75" customHeight="1">
      <c r="A131" s="11">
        <v>365.0</v>
      </c>
      <c r="B131" s="12" t="s">
        <v>8463</v>
      </c>
      <c r="C131" s="11"/>
      <c r="D131" s="13" t="s">
        <v>8464</v>
      </c>
      <c r="E131" s="21" t="s">
        <v>3751</v>
      </c>
      <c r="F131" s="21" t="s">
        <v>4840</v>
      </c>
      <c r="G131" s="21" t="s">
        <v>6890</v>
      </c>
      <c r="H131" s="21" t="s">
        <v>56</v>
      </c>
      <c r="I131" s="21" t="s">
        <v>6891</v>
      </c>
      <c r="J131" s="21">
        <v>7.888868677E9</v>
      </c>
      <c r="K131" s="13" t="s">
        <v>6982</v>
      </c>
      <c r="L131" s="11" t="s">
        <v>6983</v>
      </c>
      <c r="M131" s="11" t="s">
        <v>8465</v>
      </c>
      <c r="N131" s="11" t="s">
        <v>8466</v>
      </c>
      <c r="O131" s="11"/>
      <c r="P131" s="11" t="s">
        <v>8467</v>
      </c>
      <c r="Q131" s="11"/>
      <c r="R131" s="11" t="s">
        <v>8468</v>
      </c>
      <c r="S131" s="11"/>
      <c r="T131" s="11" t="s">
        <v>8469</v>
      </c>
      <c r="U131" s="11" t="s">
        <v>8470</v>
      </c>
      <c r="V131" s="11"/>
      <c r="W131" s="11" t="s">
        <v>8471</v>
      </c>
      <c r="X131" s="11"/>
      <c r="Y131" s="11" t="s">
        <v>7027</v>
      </c>
      <c r="Z131" s="11"/>
      <c r="AA131" s="32" t="s">
        <v>8472</v>
      </c>
      <c r="AB131" s="33"/>
      <c r="AC131" s="33">
        <v>44173.0</v>
      </c>
      <c r="AD131" s="11"/>
      <c r="AE131" s="11"/>
      <c r="AF131" s="33">
        <f t="shared" si="22"/>
        <v>0</v>
      </c>
      <c r="AG131" s="11"/>
      <c r="AH131" s="11"/>
    </row>
    <row r="132" ht="15.75" customHeight="1">
      <c r="A132" s="11">
        <v>69.0</v>
      </c>
      <c r="B132" s="12" t="s">
        <v>8473</v>
      </c>
      <c r="C132" s="11"/>
      <c r="D132" s="11" t="s">
        <v>8474</v>
      </c>
      <c r="E132" s="31" t="s">
        <v>4478</v>
      </c>
      <c r="F132" s="31" t="s">
        <v>4479</v>
      </c>
      <c r="G132" s="31" t="s">
        <v>4480</v>
      </c>
      <c r="H132" s="31" t="s">
        <v>56</v>
      </c>
      <c r="I132" s="31" t="s">
        <v>4481</v>
      </c>
      <c r="J132" s="31">
        <v>9.690869455E9</v>
      </c>
      <c r="K132" s="11" t="s">
        <v>6982</v>
      </c>
      <c r="L132" s="11" t="s">
        <v>6983</v>
      </c>
      <c r="M132" s="11" t="s">
        <v>8475</v>
      </c>
      <c r="N132" s="11" t="s">
        <v>8476</v>
      </c>
      <c r="O132" s="11">
        <v>80.0</v>
      </c>
      <c r="P132" s="11" t="s">
        <v>8477</v>
      </c>
      <c r="Q132" s="11">
        <v>70.0</v>
      </c>
      <c r="R132" s="11" t="s">
        <v>8478</v>
      </c>
      <c r="S132" s="11">
        <v>80.0</v>
      </c>
      <c r="T132" s="11" t="s">
        <v>8479</v>
      </c>
      <c r="U132" s="11" t="s">
        <v>8480</v>
      </c>
      <c r="V132" s="11">
        <v>80.0</v>
      </c>
      <c r="W132" s="11" t="s">
        <v>8481</v>
      </c>
      <c r="X132" s="11">
        <v>40.0</v>
      </c>
      <c r="Y132" s="11" t="s">
        <v>7027</v>
      </c>
      <c r="Z132" s="11"/>
      <c r="AA132" s="13" t="s">
        <v>8482</v>
      </c>
      <c r="AB132" s="19">
        <v>60.0</v>
      </c>
      <c r="AC132" s="11" t="s">
        <v>8483</v>
      </c>
      <c r="AD132" s="13" t="s">
        <v>6994</v>
      </c>
      <c r="AE132" s="11"/>
      <c r="AF132" s="11">
        <f t="shared" si="22"/>
        <v>410</v>
      </c>
      <c r="AG132" s="11"/>
      <c r="AH132" s="11"/>
    </row>
    <row r="133" ht="15.75" customHeight="1">
      <c r="A133" s="11">
        <v>173.0</v>
      </c>
      <c r="B133" s="12" t="s">
        <v>8484</v>
      </c>
      <c r="C133" s="11" t="s">
        <v>4344</v>
      </c>
      <c r="D133" s="11" t="s">
        <v>8485</v>
      </c>
      <c r="E133" s="21" t="s">
        <v>4692</v>
      </c>
      <c r="F133" s="21" t="s">
        <v>4693</v>
      </c>
      <c r="G133" s="21" t="s">
        <v>4694</v>
      </c>
      <c r="H133" s="21" t="s">
        <v>26</v>
      </c>
      <c r="I133" s="21" t="s">
        <v>4695</v>
      </c>
      <c r="J133" s="31">
        <v>7.82729663E9</v>
      </c>
      <c r="K133" s="11" t="s">
        <v>6982</v>
      </c>
      <c r="L133" s="11" t="s">
        <v>6983</v>
      </c>
      <c r="M133" s="11" t="s">
        <v>8486</v>
      </c>
      <c r="N133" s="11" t="s">
        <v>8487</v>
      </c>
      <c r="O133" s="11">
        <v>50.0</v>
      </c>
      <c r="P133" s="11" t="s">
        <v>8488</v>
      </c>
      <c r="Q133" s="11">
        <v>25.0</v>
      </c>
      <c r="R133" s="11" t="s">
        <v>8489</v>
      </c>
      <c r="S133" s="11">
        <v>25.0</v>
      </c>
      <c r="T133" s="11" t="s">
        <v>8490</v>
      </c>
      <c r="U133" s="11" t="s">
        <v>8491</v>
      </c>
      <c r="V133" s="11">
        <v>65.0</v>
      </c>
      <c r="W133" s="11" t="s">
        <v>8492</v>
      </c>
      <c r="X133" s="11">
        <v>40.0</v>
      </c>
      <c r="Y133" s="11" t="s">
        <v>6991</v>
      </c>
      <c r="Z133" s="11">
        <v>25.0</v>
      </c>
      <c r="AA133" s="13" t="s">
        <v>8493</v>
      </c>
      <c r="AB133" s="11">
        <v>50.0</v>
      </c>
      <c r="AC133" s="11" t="s">
        <v>8494</v>
      </c>
      <c r="AD133" s="13" t="s">
        <v>6994</v>
      </c>
      <c r="AE133" s="11">
        <v>0.0</v>
      </c>
      <c r="AF133" s="11">
        <f t="shared" si="22"/>
        <v>280</v>
      </c>
      <c r="AG133" s="11" t="s">
        <v>8495</v>
      </c>
      <c r="AH133" s="11"/>
    </row>
    <row r="134" ht="15.75" customHeight="1">
      <c r="A134" s="11">
        <v>156.0</v>
      </c>
      <c r="B134" s="12" t="s">
        <v>8496</v>
      </c>
      <c r="C134" s="11" t="s">
        <v>4344</v>
      </c>
      <c r="D134" s="11" t="s">
        <v>8497</v>
      </c>
      <c r="E134" s="31" t="s">
        <v>5393</v>
      </c>
      <c r="F134" s="31" t="s">
        <v>5394</v>
      </c>
      <c r="G134" s="31" t="s">
        <v>5395</v>
      </c>
      <c r="H134" s="31" t="s">
        <v>44</v>
      </c>
      <c r="I134" s="31" t="s">
        <v>5396</v>
      </c>
      <c r="J134" s="31">
        <v>9.6095207E9</v>
      </c>
      <c r="K134" s="11" t="s">
        <v>6982</v>
      </c>
      <c r="L134" s="11" t="s">
        <v>6983</v>
      </c>
      <c r="M134" s="11" t="s">
        <v>8498</v>
      </c>
      <c r="N134" s="11" t="s">
        <v>8499</v>
      </c>
      <c r="O134" s="11">
        <v>50.0</v>
      </c>
      <c r="P134" s="11" t="s">
        <v>8500</v>
      </c>
      <c r="Q134" s="11">
        <v>50.0</v>
      </c>
      <c r="R134" s="11" t="s">
        <v>8501</v>
      </c>
      <c r="S134" s="11">
        <v>50.0</v>
      </c>
      <c r="T134" s="11" t="s">
        <v>8502</v>
      </c>
      <c r="U134" s="11" t="s">
        <v>8503</v>
      </c>
      <c r="V134" s="11">
        <v>70.0</v>
      </c>
      <c r="W134" s="11" t="s">
        <v>8504</v>
      </c>
      <c r="X134" s="11">
        <v>50.0</v>
      </c>
      <c r="Y134" s="11" t="s">
        <v>7193</v>
      </c>
      <c r="Z134" s="11">
        <v>25.0</v>
      </c>
      <c r="AA134" s="13" t="s">
        <v>8505</v>
      </c>
      <c r="AB134" s="11">
        <v>0.0</v>
      </c>
      <c r="AC134" s="11" t="s">
        <v>8506</v>
      </c>
      <c r="AD134" s="13" t="s">
        <v>6994</v>
      </c>
      <c r="AE134" s="11">
        <v>0.0</v>
      </c>
      <c r="AF134" s="11">
        <f t="shared" si="22"/>
        <v>295</v>
      </c>
      <c r="AG134" s="11" t="s">
        <v>8507</v>
      </c>
      <c r="AH134" s="11"/>
    </row>
    <row r="135" ht="15.75" customHeight="1">
      <c r="A135" s="11">
        <v>327.0</v>
      </c>
      <c r="B135" s="12" t="s">
        <v>8508</v>
      </c>
      <c r="C135" s="11" t="s">
        <v>1531</v>
      </c>
      <c r="D135" s="11" t="s">
        <v>8509</v>
      </c>
      <c r="E135" s="21" t="s">
        <v>124</v>
      </c>
      <c r="F135" s="21" t="s">
        <v>4962</v>
      </c>
      <c r="G135" s="21" t="s">
        <v>4845</v>
      </c>
      <c r="H135" s="21" t="s">
        <v>14</v>
      </c>
      <c r="I135" s="21" t="s">
        <v>4963</v>
      </c>
      <c r="J135" s="31">
        <v>7.838447455E9</v>
      </c>
      <c r="K135" s="11" t="s">
        <v>7411</v>
      </c>
      <c r="L135" s="11" t="s">
        <v>6983</v>
      </c>
      <c r="M135" s="11" t="s">
        <v>8510</v>
      </c>
      <c r="N135" s="11" t="s">
        <v>8511</v>
      </c>
      <c r="O135" s="11">
        <v>30.0</v>
      </c>
      <c r="P135" s="11" t="s">
        <v>8512</v>
      </c>
      <c r="Q135" s="11">
        <v>20.0</v>
      </c>
      <c r="R135" s="11" t="s">
        <v>8513</v>
      </c>
      <c r="S135" s="11">
        <v>30.0</v>
      </c>
      <c r="T135" s="11" t="s">
        <v>8514</v>
      </c>
      <c r="U135" s="11" t="s">
        <v>8515</v>
      </c>
      <c r="V135" s="11">
        <v>30.0</v>
      </c>
      <c r="W135" s="11" t="s">
        <v>8516</v>
      </c>
      <c r="X135" s="11">
        <v>30.0</v>
      </c>
      <c r="Y135" s="11" t="s">
        <v>6991</v>
      </c>
      <c r="Z135" s="11">
        <v>0.0</v>
      </c>
      <c r="AA135" s="11" t="s">
        <v>7078</v>
      </c>
      <c r="AB135" s="11">
        <v>0.0</v>
      </c>
      <c r="AC135" s="11" t="s">
        <v>8517</v>
      </c>
      <c r="AD135" s="13" t="s">
        <v>6994</v>
      </c>
      <c r="AE135" s="11"/>
      <c r="AF135" s="11">
        <f t="shared" si="22"/>
        <v>140</v>
      </c>
      <c r="AG135" s="11"/>
      <c r="AH135" s="11"/>
    </row>
    <row r="136" ht="15.75" customHeight="1">
      <c r="A136" s="11">
        <v>396.0</v>
      </c>
      <c r="B136" s="12" t="s">
        <v>8518</v>
      </c>
      <c r="C136" s="11"/>
      <c r="D136" s="11" t="s">
        <v>8519</v>
      </c>
      <c r="E136" s="21" t="s">
        <v>124</v>
      </c>
      <c r="F136" s="21" t="s">
        <v>117</v>
      </c>
      <c r="G136" s="21" t="s">
        <v>6285</v>
      </c>
      <c r="H136" s="21" t="s">
        <v>26</v>
      </c>
      <c r="I136" s="21" t="s">
        <v>6286</v>
      </c>
      <c r="J136" s="31">
        <v>9.254849676E9</v>
      </c>
      <c r="K136" s="11" t="s">
        <v>6982</v>
      </c>
      <c r="L136" s="11" t="s">
        <v>6983</v>
      </c>
      <c r="M136" s="11"/>
      <c r="N136" s="11" t="s">
        <v>8520</v>
      </c>
      <c r="O136" s="11" t="s">
        <v>8520</v>
      </c>
      <c r="P136" s="11"/>
      <c r="Q136" s="11" t="s">
        <v>8521</v>
      </c>
      <c r="R136" s="11"/>
      <c r="S136" s="11" t="s">
        <v>8522</v>
      </c>
      <c r="T136" s="11"/>
      <c r="U136" s="11" t="s">
        <v>8523</v>
      </c>
      <c r="V136" s="11" t="s">
        <v>8524</v>
      </c>
      <c r="W136" s="11"/>
      <c r="X136" s="11" t="s">
        <v>8525</v>
      </c>
      <c r="Y136" s="11"/>
      <c r="Z136" s="11" t="s">
        <v>6991</v>
      </c>
      <c r="AA136" s="11"/>
      <c r="AB136" s="13" t="s">
        <v>8526</v>
      </c>
      <c r="AC136" s="11"/>
      <c r="AD136" s="11" t="s">
        <v>8527</v>
      </c>
      <c r="AE136" s="13" t="s">
        <v>6994</v>
      </c>
      <c r="AF136" s="11"/>
      <c r="AG136" s="11"/>
      <c r="AH136" s="11" t="s">
        <v>8528</v>
      </c>
    </row>
    <row r="137" ht="15.75" customHeight="1">
      <c r="A137" s="11">
        <v>359.0</v>
      </c>
      <c r="B137" s="12" t="s">
        <v>8529</v>
      </c>
      <c r="C137" s="11" t="s">
        <v>2140</v>
      </c>
      <c r="D137" s="11" t="s">
        <v>8530</v>
      </c>
      <c r="E137" s="11" t="s">
        <v>8531</v>
      </c>
      <c r="F137" s="11" t="s">
        <v>8532</v>
      </c>
      <c r="G137" s="11" t="s">
        <v>4561</v>
      </c>
      <c r="H137" s="11" t="s">
        <v>7097</v>
      </c>
      <c r="I137" s="11"/>
      <c r="J137" s="11"/>
      <c r="K137" s="11" t="s">
        <v>6982</v>
      </c>
      <c r="L137" s="11" t="s">
        <v>6983</v>
      </c>
      <c r="M137" s="11" t="s">
        <v>8533</v>
      </c>
      <c r="N137" s="11" t="s">
        <v>8534</v>
      </c>
      <c r="O137" s="11">
        <v>20.0</v>
      </c>
      <c r="P137" s="11" t="s">
        <v>8535</v>
      </c>
      <c r="Q137" s="11">
        <v>10.0</v>
      </c>
      <c r="R137" s="11" t="s">
        <v>8536</v>
      </c>
      <c r="S137" s="11">
        <v>5.0</v>
      </c>
      <c r="T137" s="11" t="s">
        <v>8537</v>
      </c>
      <c r="U137" s="11" t="s">
        <v>8538</v>
      </c>
      <c r="V137" s="11">
        <v>5.0</v>
      </c>
      <c r="W137" s="11" t="s">
        <v>8539</v>
      </c>
      <c r="X137" s="11">
        <v>5.0</v>
      </c>
      <c r="Y137" s="11" t="s">
        <v>6991</v>
      </c>
      <c r="Z137" s="11">
        <v>5.0</v>
      </c>
      <c r="AA137" s="13" t="s">
        <v>8540</v>
      </c>
      <c r="AB137" s="11">
        <v>5.0</v>
      </c>
      <c r="AC137" s="11" t="s">
        <v>8541</v>
      </c>
      <c r="AD137" s="13" t="s">
        <v>6994</v>
      </c>
      <c r="AE137" s="11"/>
      <c r="AF137" s="11">
        <f>O137+Q137+S137+V137+X137+Z137+AB137</f>
        <v>55</v>
      </c>
      <c r="AG137" s="11"/>
      <c r="AH137" s="11"/>
    </row>
    <row r="138" ht="15.75" customHeight="1">
      <c r="A138" s="11">
        <v>167.0</v>
      </c>
      <c r="B138" s="12" t="s">
        <v>8542</v>
      </c>
      <c r="C138" s="12" t="s">
        <v>7168</v>
      </c>
      <c r="D138" s="11" t="s">
        <v>8543</v>
      </c>
      <c r="E138" s="31" t="s">
        <v>5064</v>
      </c>
      <c r="F138" s="31" t="s">
        <v>212</v>
      </c>
      <c r="G138" s="31" t="s">
        <v>5065</v>
      </c>
      <c r="H138" s="31" t="s">
        <v>14</v>
      </c>
      <c r="I138" s="31" t="s">
        <v>4927</v>
      </c>
      <c r="J138" s="31">
        <v>9.311283602E9</v>
      </c>
      <c r="K138" s="11" t="s">
        <v>7411</v>
      </c>
      <c r="L138" s="11" t="s">
        <v>6983</v>
      </c>
      <c r="M138" s="11" t="s">
        <v>8544</v>
      </c>
      <c r="N138" s="11" t="s">
        <v>8545</v>
      </c>
      <c r="O138" s="11">
        <v>50.0</v>
      </c>
      <c r="P138" s="11" t="s">
        <v>8546</v>
      </c>
      <c r="Q138" s="11">
        <v>50.0</v>
      </c>
      <c r="R138" s="11" t="s">
        <v>8547</v>
      </c>
      <c r="S138" s="11">
        <v>50.0</v>
      </c>
      <c r="T138" s="11" t="s">
        <v>8548</v>
      </c>
      <c r="U138" s="11" t="s">
        <v>8549</v>
      </c>
      <c r="V138" s="11">
        <v>60.0</v>
      </c>
      <c r="W138" s="11" t="s">
        <v>8550</v>
      </c>
      <c r="X138" s="11">
        <v>25.0</v>
      </c>
      <c r="Y138" s="11" t="s">
        <v>6991</v>
      </c>
      <c r="Z138" s="11">
        <v>25.0</v>
      </c>
      <c r="AA138" s="13" t="s">
        <v>8551</v>
      </c>
      <c r="AB138" s="11">
        <v>25.0</v>
      </c>
      <c r="AC138" s="11" t="s">
        <v>8552</v>
      </c>
      <c r="AD138" s="13" t="s">
        <v>6994</v>
      </c>
      <c r="AE138" s="11"/>
      <c r="AF138" s="11">
        <f>AB138+Z138+X138+V138+S138+Q138+O138</f>
        <v>285</v>
      </c>
      <c r="AG138" s="11"/>
      <c r="AH138" s="11"/>
    </row>
    <row r="139" ht="15.75" customHeight="1">
      <c r="A139" s="11">
        <v>316.0</v>
      </c>
      <c r="B139" s="12" t="s">
        <v>8553</v>
      </c>
      <c r="C139" s="11" t="s">
        <v>2140</v>
      </c>
      <c r="D139" s="11" t="s">
        <v>8554</v>
      </c>
      <c r="E139" s="31" t="s">
        <v>3805</v>
      </c>
      <c r="F139" s="31" t="s">
        <v>2577</v>
      </c>
      <c r="G139" s="31" t="s">
        <v>5068</v>
      </c>
      <c r="H139" s="31" t="s">
        <v>44</v>
      </c>
      <c r="I139" s="31" t="s">
        <v>4015</v>
      </c>
      <c r="J139" s="31">
        <v>9.711080162E9</v>
      </c>
      <c r="K139" s="11" t="s">
        <v>7411</v>
      </c>
      <c r="L139" s="11" t="s">
        <v>6983</v>
      </c>
      <c r="M139" s="11" t="s">
        <v>8238</v>
      </c>
      <c r="N139" s="11" t="s">
        <v>8555</v>
      </c>
      <c r="O139" s="11">
        <v>40.0</v>
      </c>
      <c r="P139" s="11" t="s">
        <v>8240</v>
      </c>
      <c r="Q139" s="11">
        <v>20.0</v>
      </c>
      <c r="R139" s="11" t="s">
        <v>8556</v>
      </c>
      <c r="S139" s="11">
        <v>20.0</v>
      </c>
      <c r="T139" s="11" t="s">
        <v>8557</v>
      </c>
      <c r="U139" s="11" t="s">
        <v>8558</v>
      </c>
      <c r="V139" s="11">
        <v>30.0</v>
      </c>
      <c r="W139" s="11" t="s">
        <v>8559</v>
      </c>
      <c r="X139" s="11">
        <v>20.0</v>
      </c>
      <c r="Y139" s="11" t="s">
        <v>6991</v>
      </c>
      <c r="Z139" s="11">
        <v>10.0</v>
      </c>
      <c r="AA139" s="13" t="s">
        <v>8560</v>
      </c>
      <c r="AB139" s="19">
        <v>10.0</v>
      </c>
      <c r="AC139" s="11" t="s">
        <v>8246</v>
      </c>
      <c r="AD139" s="13" t="s">
        <v>6994</v>
      </c>
      <c r="AE139" s="11"/>
      <c r="AF139" s="11">
        <f>O139+Q139+S139+V139+X139+Z139+AB139</f>
        <v>150</v>
      </c>
      <c r="AG139" s="11"/>
      <c r="AH139" s="11"/>
    </row>
    <row r="140" ht="15.75" customHeight="1">
      <c r="A140" s="11">
        <v>220.0</v>
      </c>
      <c r="B140" s="12" t="s">
        <v>8561</v>
      </c>
      <c r="C140" s="11" t="s">
        <v>1531</v>
      </c>
      <c r="D140" s="11" t="s">
        <v>8562</v>
      </c>
      <c r="E140" s="11" t="s">
        <v>94</v>
      </c>
      <c r="F140" s="11" t="s">
        <v>8563</v>
      </c>
      <c r="G140" s="11" t="s">
        <v>8564</v>
      </c>
      <c r="H140" s="11" t="s">
        <v>7097</v>
      </c>
      <c r="I140" s="11"/>
      <c r="J140" s="11"/>
      <c r="K140" s="11" t="s">
        <v>7411</v>
      </c>
      <c r="L140" s="11" t="s">
        <v>6983</v>
      </c>
      <c r="M140" s="11" t="s">
        <v>8565</v>
      </c>
      <c r="N140" s="11" t="s">
        <v>8566</v>
      </c>
      <c r="O140" s="11">
        <v>40.0</v>
      </c>
      <c r="P140" s="11" t="s">
        <v>8567</v>
      </c>
      <c r="Q140" s="11">
        <v>40.0</v>
      </c>
      <c r="R140" s="11" t="s">
        <v>8568</v>
      </c>
      <c r="S140" s="11">
        <v>60.0</v>
      </c>
      <c r="T140" s="11" t="s">
        <v>8569</v>
      </c>
      <c r="U140" s="11" t="s">
        <v>8570</v>
      </c>
      <c r="V140" s="11">
        <v>50.0</v>
      </c>
      <c r="W140" s="11" t="s">
        <v>8571</v>
      </c>
      <c r="X140" s="11">
        <v>20.0</v>
      </c>
      <c r="Y140" s="11" t="s">
        <v>6991</v>
      </c>
      <c r="Z140" s="11">
        <v>40.0</v>
      </c>
      <c r="AA140" s="11" t="s">
        <v>7078</v>
      </c>
      <c r="AB140" s="11">
        <v>0.0</v>
      </c>
      <c r="AC140" s="11" t="s">
        <v>8572</v>
      </c>
      <c r="AD140" s="13" t="s">
        <v>6994</v>
      </c>
      <c r="AE140" s="11"/>
      <c r="AF140" s="11">
        <f t="shared" ref="AF140:AF141" si="23">O140+Q140+S140+V140+X140+Z140+AB140+AE140</f>
        <v>250</v>
      </c>
      <c r="AG140" s="11"/>
      <c r="AH140" s="11"/>
    </row>
    <row r="141" ht="15.75" customHeight="1">
      <c r="A141" s="11">
        <v>372.0</v>
      </c>
      <c r="B141" s="11" t="s">
        <v>8573</v>
      </c>
      <c r="C141" s="11"/>
      <c r="D141" s="11" t="s">
        <v>8574</v>
      </c>
      <c r="E141" s="31" t="s">
        <v>2883</v>
      </c>
      <c r="F141" s="31" t="s">
        <v>4499</v>
      </c>
      <c r="G141" s="31" t="s">
        <v>4500</v>
      </c>
      <c r="H141" s="31" t="s">
        <v>9</v>
      </c>
      <c r="I141" s="31" t="s">
        <v>4501</v>
      </c>
      <c r="J141" s="31">
        <v>8.660134454E9</v>
      </c>
      <c r="K141" s="11" t="s">
        <v>8064</v>
      </c>
      <c r="L141" s="11" t="s">
        <v>6983</v>
      </c>
      <c r="M141" s="11" t="s">
        <v>8575</v>
      </c>
      <c r="N141" s="11" t="s">
        <v>8576</v>
      </c>
      <c r="O141" s="11"/>
      <c r="P141" s="11" t="s">
        <v>8577</v>
      </c>
      <c r="Q141" s="11"/>
      <c r="R141" s="11" t="s">
        <v>8578</v>
      </c>
      <c r="S141" s="11"/>
      <c r="T141" s="11" t="s">
        <v>8579</v>
      </c>
      <c r="U141" s="11" t="s">
        <v>8580</v>
      </c>
      <c r="V141" s="11"/>
      <c r="W141" s="11" t="s">
        <v>8581</v>
      </c>
      <c r="X141" s="11"/>
      <c r="Y141" s="11" t="s">
        <v>6991</v>
      </c>
      <c r="Z141" s="11"/>
      <c r="AA141" s="11" t="s">
        <v>7078</v>
      </c>
      <c r="AB141" s="11"/>
      <c r="AC141" s="11" t="s">
        <v>8582</v>
      </c>
      <c r="AD141" s="13" t="s">
        <v>6994</v>
      </c>
      <c r="AE141" s="11"/>
      <c r="AF141" s="11">
        <f t="shared" si="23"/>
        <v>0</v>
      </c>
      <c r="AG141" s="11"/>
      <c r="AH141" s="11"/>
    </row>
    <row r="142" ht="15.75" customHeight="1">
      <c r="A142" s="11">
        <v>221.0</v>
      </c>
      <c r="B142" s="12" t="s">
        <v>8583</v>
      </c>
      <c r="C142" s="11" t="s">
        <v>7081</v>
      </c>
      <c r="D142" s="11" t="s">
        <v>8584</v>
      </c>
      <c r="E142" s="11" t="s">
        <v>5258</v>
      </c>
      <c r="F142" s="11" t="s">
        <v>3858</v>
      </c>
      <c r="G142" s="11" t="s">
        <v>8585</v>
      </c>
      <c r="H142" s="11" t="s">
        <v>7019</v>
      </c>
      <c r="I142" s="11" t="s">
        <v>434</v>
      </c>
      <c r="J142" s="11">
        <v>9.867589413E9</v>
      </c>
      <c r="K142" s="11"/>
      <c r="L142" s="11" t="s">
        <v>7003</v>
      </c>
      <c r="M142" s="11" t="s">
        <v>8586</v>
      </c>
      <c r="N142" s="11" t="s">
        <v>8587</v>
      </c>
      <c r="O142" s="11">
        <v>50.0</v>
      </c>
      <c r="P142" s="11" t="s">
        <v>8588</v>
      </c>
      <c r="Q142" s="11">
        <v>25.0</v>
      </c>
      <c r="R142" s="11" t="s">
        <v>8589</v>
      </c>
      <c r="S142" s="11">
        <v>50.0</v>
      </c>
      <c r="T142" s="11" t="s">
        <v>8590</v>
      </c>
      <c r="U142" s="11" t="s">
        <v>8591</v>
      </c>
      <c r="V142" s="11">
        <v>50.0</v>
      </c>
      <c r="W142" s="11" t="s">
        <v>8592</v>
      </c>
      <c r="X142" s="11">
        <v>25.0</v>
      </c>
      <c r="Y142" s="11" t="s">
        <v>6991</v>
      </c>
      <c r="Z142" s="13">
        <v>25.0</v>
      </c>
      <c r="AA142" s="13" t="s">
        <v>8593</v>
      </c>
      <c r="AB142" s="11">
        <v>25.0</v>
      </c>
      <c r="AC142" s="11" t="s">
        <v>8594</v>
      </c>
      <c r="AD142" s="13" t="s">
        <v>6994</v>
      </c>
      <c r="AE142" s="11"/>
      <c r="AF142" s="11">
        <f>AE142+AB142+Z142+X142+V142+S142+Q142+O142</f>
        <v>250</v>
      </c>
      <c r="AG142" s="11"/>
      <c r="AH142" s="11"/>
    </row>
    <row r="143" ht="15.75" customHeight="1">
      <c r="A143" s="11">
        <v>34.0</v>
      </c>
      <c r="B143" s="12" t="s">
        <v>8595</v>
      </c>
      <c r="C143" s="11"/>
      <c r="D143" s="11" t="s">
        <v>8596</v>
      </c>
      <c r="E143" s="31" t="s">
        <v>6102</v>
      </c>
      <c r="F143" s="31" t="s">
        <v>5600</v>
      </c>
      <c r="G143" s="31" t="s">
        <v>6103</v>
      </c>
      <c r="H143" s="31" t="s">
        <v>26</v>
      </c>
      <c r="I143" s="31" t="s">
        <v>5408</v>
      </c>
      <c r="J143" s="31">
        <v>7.837414824E9</v>
      </c>
      <c r="K143" s="11" t="s">
        <v>6982</v>
      </c>
      <c r="L143" s="11" t="s">
        <v>6983</v>
      </c>
      <c r="M143" s="11" t="s">
        <v>8597</v>
      </c>
      <c r="N143" s="11" t="s">
        <v>8598</v>
      </c>
      <c r="O143" s="11">
        <v>80.0</v>
      </c>
      <c r="P143" s="11" t="s">
        <v>8599</v>
      </c>
      <c r="Q143" s="11">
        <v>80.0</v>
      </c>
      <c r="R143" s="11" t="s">
        <v>8600</v>
      </c>
      <c r="S143" s="11">
        <v>70.0</v>
      </c>
      <c r="T143" s="11" t="s">
        <v>8601</v>
      </c>
      <c r="U143" s="11" t="s">
        <v>8602</v>
      </c>
      <c r="V143" s="11">
        <v>80.0</v>
      </c>
      <c r="W143" s="11" t="s">
        <v>8603</v>
      </c>
      <c r="X143" s="11">
        <v>80.0</v>
      </c>
      <c r="Y143" s="11" t="s">
        <v>6991</v>
      </c>
      <c r="Z143" s="11">
        <v>40.0</v>
      </c>
      <c r="AA143" s="13" t="s">
        <v>8604</v>
      </c>
      <c r="AB143" s="11">
        <v>20.0</v>
      </c>
      <c r="AC143" s="11" t="s">
        <v>8605</v>
      </c>
      <c r="AD143" s="13" t="s">
        <v>6994</v>
      </c>
      <c r="AE143" s="11"/>
      <c r="AF143" s="11">
        <f>O143+Q143+S143+V143+X143+Z143+AB143+AE143</f>
        <v>450</v>
      </c>
      <c r="AG143" s="11"/>
      <c r="AH143" s="11"/>
    </row>
    <row r="144" ht="15.75" customHeight="1">
      <c r="A144" s="11">
        <v>71.0</v>
      </c>
      <c r="B144" s="12" t="s">
        <v>8606</v>
      </c>
      <c r="C144" s="11" t="s">
        <v>7043</v>
      </c>
      <c r="D144" s="11" t="s">
        <v>8607</v>
      </c>
      <c r="E144" s="21" t="s">
        <v>923</v>
      </c>
      <c r="F144" s="21" t="s">
        <v>924</v>
      </c>
      <c r="G144" s="21" t="s">
        <v>925</v>
      </c>
      <c r="H144" s="21" t="s">
        <v>44</v>
      </c>
      <c r="I144" s="21" t="s">
        <v>926</v>
      </c>
      <c r="J144" s="31">
        <v>9.463051322E9</v>
      </c>
      <c r="K144" s="11" t="s">
        <v>7411</v>
      </c>
      <c r="L144" s="11" t="s">
        <v>6983</v>
      </c>
      <c r="M144" s="11" t="s">
        <v>8608</v>
      </c>
      <c r="N144" s="11" t="s">
        <v>8609</v>
      </c>
      <c r="O144" s="11">
        <v>60.0</v>
      </c>
      <c r="P144" s="11" t="s">
        <v>7616</v>
      </c>
      <c r="Q144" s="11">
        <v>25.0</v>
      </c>
      <c r="R144" s="11" t="s">
        <v>8610</v>
      </c>
      <c r="S144" s="11">
        <v>75.0</v>
      </c>
      <c r="T144" s="11" t="s">
        <v>8611</v>
      </c>
      <c r="U144" s="11" t="s">
        <v>8612</v>
      </c>
      <c r="V144" s="11">
        <v>75.0</v>
      </c>
      <c r="W144" s="11" t="s">
        <v>8613</v>
      </c>
      <c r="X144" s="11">
        <v>50.0</v>
      </c>
      <c r="Y144" s="11" t="s">
        <v>7027</v>
      </c>
      <c r="Z144" s="11">
        <v>50.0</v>
      </c>
      <c r="AA144" s="13" t="s">
        <v>8614</v>
      </c>
      <c r="AB144" s="11">
        <v>75.0</v>
      </c>
      <c r="AC144" s="11" t="s">
        <v>8615</v>
      </c>
      <c r="AD144" s="13" t="s">
        <v>6994</v>
      </c>
      <c r="AE144" s="11"/>
      <c r="AF144" s="11">
        <f>AE144+AB144+Z144+X144+V144+S144+Q144+O144</f>
        <v>410</v>
      </c>
      <c r="AG144" s="11"/>
      <c r="AH144" s="11"/>
    </row>
    <row r="145" ht="15.75" customHeight="1">
      <c r="A145" s="11">
        <v>158.0</v>
      </c>
      <c r="B145" s="12" t="s">
        <v>8616</v>
      </c>
      <c r="C145" s="11" t="s">
        <v>7043</v>
      </c>
      <c r="D145" s="11" t="s">
        <v>8617</v>
      </c>
      <c r="E145" s="21" t="s">
        <v>823</v>
      </c>
      <c r="F145" s="21" t="s">
        <v>824</v>
      </c>
      <c r="G145" s="21" t="s">
        <v>825</v>
      </c>
      <c r="H145" s="21" t="s">
        <v>44</v>
      </c>
      <c r="I145" s="21" t="s">
        <v>826</v>
      </c>
      <c r="J145" s="31">
        <v>9.914501756E9</v>
      </c>
      <c r="K145" s="11" t="s">
        <v>7411</v>
      </c>
      <c r="L145" s="11" t="s">
        <v>6983</v>
      </c>
      <c r="M145" s="11" t="s">
        <v>8618</v>
      </c>
      <c r="N145" s="11" t="s">
        <v>8619</v>
      </c>
      <c r="O145" s="11"/>
      <c r="P145" s="11" t="s">
        <v>8620</v>
      </c>
      <c r="Q145" s="11" t="s">
        <v>8621</v>
      </c>
      <c r="R145" s="11" t="s">
        <v>8622</v>
      </c>
      <c r="S145" s="11"/>
      <c r="T145" s="11" t="s">
        <v>8623</v>
      </c>
      <c r="U145" s="11" t="s">
        <v>8624</v>
      </c>
      <c r="V145" s="11"/>
      <c r="W145" s="11" t="s">
        <v>8625</v>
      </c>
      <c r="X145" s="11"/>
      <c r="Y145" s="11" t="s">
        <v>7027</v>
      </c>
      <c r="Z145" s="11"/>
      <c r="AA145" s="13" t="s">
        <v>8626</v>
      </c>
      <c r="AB145" s="11"/>
      <c r="AC145" s="11" t="s">
        <v>8627</v>
      </c>
      <c r="AD145" s="13" t="s">
        <v>6994</v>
      </c>
      <c r="AE145" s="11"/>
      <c r="AF145" s="11">
        <f>AE145+AB145+Z146+X146+V146+S146+Q146+O146</f>
        <v>225</v>
      </c>
      <c r="AG145" s="11"/>
      <c r="AH145" s="11"/>
    </row>
    <row r="146" ht="15.75" customHeight="1">
      <c r="A146" s="11">
        <v>244.0</v>
      </c>
      <c r="B146" s="12" t="s">
        <v>8628</v>
      </c>
      <c r="C146" s="11" t="s">
        <v>7168</v>
      </c>
      <c r="D146" s="11" t="s">
        <v>8629</v>
      </c>
      <c r="E146" s="21" t="s">
        <v>4102</v>
      </c>
      <c r="F146" s="21" t="s">
        <v>4103</v>
      </c>
      <c r="G146" s="21" t="s">
        <v>4104</v>
      </c>
      <c r="H146" s="21" t="s">
        <v>9</v>
      </c>
      <c r="I146" s="21" t="s">
        <v>4105</v>
      </c>
      <c r="J146" s="22"/>
      <c r="K146" s="15"/>
      <c r="L146" s="11" t="s">
        <v>7003</v>
      </c>
      <c r="M146" s="11" t="s">
        <v>8630</v>
      </c>
      <c r="N146" s="11" t="s">
        <v>8631</v>
      </c>
      <c r="O146" s="11"/>
      <c r="P146" s="11" t="s">
        <v>8632</v>
      </c>
      <c r="Q146" s="11">
        <v>25.0</v>
      </c>
      <c r="R146" s="11" t="s">
        <v>8633</v>
      </c>
      <c r="S146" s="11">
        <v>50.0</v>
      </c>
      <c r="T146" s="11" t="s">
        <v>8634</v>
      </c>
      <c r="U146" s="11" t="s">
        <v>8635</v>
      </c>
      <c r="V146" s="11">
        <v>50.0</v>
      </c>
      <c r="W146" s="11" t="s">
        <v>8636</v>
      </c>
      <c r="X146" s="11">
        <v>75.0</v>
      </c>
      <c r="Y146" s="11" t="s">
        <v>6991</v>
      </c>
      <c r="Z146" s="11">
        <v>25.0</v>
      </c>
      <c r="AA146" s="11" t="s">
        <v>7078</v>
      </c>
      <c r="AB146" s="11"/>
      <c r="AC146" s="11" t="s">
        <v>8637</v>
      </c>
      <c r="AD146" s="13" t="s">
        <v>6994</v>
      </c>
      <c r="AE146" s="11"/>
      <c r="AF146" s="11">
        <f>AB146+Z146+X146+V146+S146+Q146+O146</f>
        <v>225</v>
      </c>
      <c r="AG146" s="11"/>
      <c r="AH146" s="11"/>
    </row>
    <row r="147" ht="15.75" customHeight="1">
      <c r="A147" s="11">
        <v>87.0</v>
      </c>
      <c r="B147" s="12" t="s">
        <v>8638</v>
      </c>
      <c r="C147" s="12" t="s">
        <v>7043</v>
      </c>
      <c r="D147" s="11" t="s">
        <v>8639</v>
      </c>
      <c r="E147" s="11" t="s">
        <v>4505</v>
      </c>
      <c r="F147" s="11" t="s">
        <v>63</v>
      </c>
      <c r="G147" s="11" t="s">
        <v>8564</v>
      </c>
      <c r="H147" s="11"/>
      <c r="I147" s="11"/>
      <c r="J147" s="11"/>
      <c r="K147" s="11" t="s">
        <v>6982</v>
      </c>
      <c r="L147" s="11" t="s">
        <v>6983</v>
      </c>
      <c r="M147" s="11" t="s">
        <v>8640</v>
      </c>
      <c r="N147" s="11" t="s">
        <v>8641</v>
      </c>
      <c r="O147" s="11">
        <v>60.0</v>
      </c>
      <c r="P147" s="11" t="s">
        <v>8642</v>
      </c>
      <c r="Q147" s="11">
        <v>50.0</v>
      </c>
      <c r="R147" s="11" t="s">
        <v>8643</v>
      </c>
      <c r="S147" s="11">
        <v>60.0</v>
      </c>
      <c r="T147" s="11" t="s">
        <v>8644</v>
      </c>
      <c r="U147" s="11" t="s">
        <v>8645</v>
      </c>
      <c r="V147" s="11">
        <v>70.0</v>
      </c>
      <c r="W147" s="11" t="s">
        <v>8646</v>
      </c>
      <c r="X147" s="11">
        <v>40.0</v>
      </c>
      <c r="Y147" s="11" t="s">
        <v>7027</v>
      </c>
      <c r="Z147" s="11">
        <v>25.0</v>
      </c>
      <c r="AA147" s="13" t="s">
        <v>8647</v>
      </c>
      <c r="AB147" s="11">
        <v>80.0</v>
      </c>
      <c r="AC147" s="11" t="s">
        <v>8648</v>
      </c>
      <c r="AD147" s="13" t="s">
        <v>6994</v>
      </c>
      <c r="AE147" s="11"/>
      <c r="AF147" s="11">
        <f>AE147+AB147+Z147+X147+V147+S147+Q147+O147</f>
        <v>385</v>
      </c>
      <c r="AG147" s="11"/>
      <c r="AH147" s="11"/>
    </row>
    <row r="148" ht="15.75" customHeight="1">
      <c r="A148" s="11">
        <v>318.0</v>
      </c>
      <c r="B148" s="12" t="s">
        <v>8649</v>
      </c>
      <c r="C148" s="11"/>
      <c r="D148" s="11" t="s">
        <v>8650</v>
      </c>
      <c r="E148" s="31" t="s">
        <v>5097</v>
      </c>
      <c r="F148" s="31" t="s">
        <v>5098</v>
      </c>
      <c r="G148" s="31" t="s">
        <v>4845</v>
      </c>
      <c r="H148" s="31" t="s">
        <v>14</v>
      </c>
      <c r="I148" s="31" t="s">
        <v>4015</v>
      </c>
      <c r="J148" s="11"/>
      <c r="K148" s="11" t="s">
        <v>6982</v>
      </c>
      <c r="L148" s="11" t="s">
        <v>6983</v>
      </c>
      <c r="M148" s="11" t="s">
        <v>8651</v>
      </c>
      <c r="N148" s="11" t="s">
        <v>8652</v>
      </c>
      <c r="O148" s="11">
        <v>50.0</v>
      </c>
      <c r="P148" s="11" t="s">
        <v>8653</v>
      </c>
      <c r="Q148" s="11">
        <v>50.0</v>
      </c>
      <c r="R148" s="11" t="s">
        <v>8654</v>
      </c>
      <c r="S148" s="11">
        <v>50.0</v>
      </c>
      <c r="T148" s="11" t="s">
        <v>8655</v>
      </c>
      <c r="U148" s="11" t="s">
        <v>8656</v>
      </c>
      <c r="V148" s="11">
        <v>0.0</v>
      </c>
      <c r="W148" s="11" t="s">
        <v>8657</v>
      </c>
      <c r="X148" s="11">
        <v>0.0</v>
      </c>
      <c r="Y148" s="11" t="s">
        <v>6991</v>
      </c>
      <c r="Z148" s="11">
        <v>0.0</v>
      </c>
      <c r="AA148" s="11" t="s">
        <v>7078</v>
      </c>
      <c r="AB148" s="11">
        <v>0.0</v>
      </c>
      <c r="AC148" s="11" t="s">
        <v>8658</v>
      </c>
      <c r="AD148" s="13" t="s">
        <v>6994</v>
      </c>
      <c r="AE148" s="11"/>
      <c r="AF148" s="11">
        <f>AB148+Z148+X148+V148+S148+Q148+O148</f>
        <v>150</v>
      </c>
      <c r="AG148" s="11"/>
      <c r="AH148" s="11"/>
    </row>
    <row r="149" ht="15.75" customHeight="1">
      <c r="A149" s="31">
        <v>35.0</v>
      </c>
      <c r="B149" s="31" t="s">
        <v>8659</v>
      </c>
      <c r="C149" s="31"/>
      <c r="D149" s="31" t="s">
        <v>8660</v>
      </c>
      <c r="E149" s="31" t="s">
        <v>5132</v>
      </c>
      <c r="F149" s="31" t="s">
        <v>5133</v>
      </c>
      <c r="G149" s="31" t="s">
        <v>5134</v>
      </c>
      <c r="H149" s="31" t="s">
        <v>14</v>
      </c>
      <c r="I149" s="31" t="s">
        <v>4927</v>
      </c>
      <c r="J149" s="31">
        <v>9.937490415E9</v>
      </c>
      <c r="K149" s="31" t="s">
        <v>7411</v>
      </c>
      <c r="L149" s="11" t="s">
        <v>6983</v>
      </c>
      <c r="M149" s="31" t="s">
        <v>8661</v>
      </c>
      <c r="N149" s="31" t="s">
        <v>8662</v>
      </c>
      <c r="O149" s="31">
        <v>80.0</v>
      </c>
      <c r="P149" s="31" t="s">
        <v>8663</v>
      </c>
      <c r="Q149" s="31">
        <v>80.0</v>
      </c>
      <c r="R149" s="31" t="s">
        <v>8664</v>
      </c>
      <c r="S149" s="31">
        <v>80.0</v>
      </c>
      <c r="T149" s="31" t="s">
        <v>8665</v>
      </c>
      <c r="U149" s="31" t="s">
        <v>8666</v>
      </c>
      <c r="V149" s="31">
        <v>80.0</v>
      </c>
      <c r="W149" s="31" t="s">
        <v>8667</v>
      </c>
      <c r="X149" s="31">
        <v>50.0</v>
      </c>
      <c r="Y149" s="31" t="s">
        <v>6991</v>
      </c>
      <c r="Z149" s="31">
        <v>40.0</v>
      </c>
      <c r="AA149" s="34" t="s">
        <v>8668</v>
      </c>
      <c r="AB149" s="35">
        <v>40.0</v>
      </c>
      <c r="AC149" s="31" t="s">
        <v>8669</v>
      </c>
      <c r="AD149" s="34" t="s">
        <v>6994</v>
      </c>
      <c r="AE149" s="31"/>
      <c r="AF149" s="31">
        <f>O149+Q149+S149+V149+X149+Z149+AB149+AE149</f>
        <v>450</v>
      </c>
      <c r="AG149" s="31"/>
      <c r="AH149" s="31"/>
    </row>
    <row r="150" ht="15.75" customHeight="1">
      <c r="A150" s="11">
        <v>200.0</v>
      </c>
      <c r="B150" s="12" t="s">
        <v>8670</v>
      </c>
      <c r="C150" s="12" t="s">
        <v>7168</v>
      </c>
      <c r="D150" s="11" t="s">
        <v>8671</v>
      </c>
      <c r="E150" s="31" t="s">
        <v>5132</v>
      </c>
      <c r="F150" s="31" t="s">
        <v>5133</v>
      </c>
      <c r="G150" s="31" t="s">
        <v>5134</v>
      </c>
      <c r="H150" s="31" t="s">
        <v>14</v>
      </c>
      <c r="I150" s="31" t="s">
        <v>4927</v>
      </c>
      <c r="J150" s="31">
        <v>9.937490415E9</v>
      </c>
      <c r="K150" s="11" t="s">
        <v>7411</v>
      </c>
      <c r="L150" s="11" t="s">
        <v>6983</v>
      </c>
      <c r="M150" s="11" t="s">
        <v>8672</v>
      </c>
      <c r="N150" s="11" t="s">
        <v>8673</v>
      </c>
      <c r="O150" s="11">
        <v>50.0</v>
      </c>
      <c r="P150" s="11" t="s">
        <v>8674</v>
      </c>
      <c r="Q150" s="11">
        <v>50.0</v>
      </c>
      <c r="R150" s="11" t="s">
        <v>8675</v>
      </c>
      <c r="S150" s="11">
        <v>50.0</v>
      </c>
      <c r="T150" s="11" t="s">
        <v>8665</v>
      </c>
      <c r="U150" s="11" t="s">
        <v>8676</v>
      </c>
      <c r="V150" s="11">
        <v>50.0</v>
      </c>
      <c r="W150" s="11"/>
      <c r="X150" s="11">
        <v>0.0</v>
      </c>
      <c r="Y150" s="11" t="s">
        <v>6991</v>
      </c>
      <c r="Z150" s="11">
        <v>25.0</v>
      </c>
      <c r="AA150" s="13" t="s">
        <v>8677</v>
      </c>
      <c r="AB150" s="11">
        <v>25.0</v>
      </c>
      <c r="AC150" s="11" t="s">
        <v>8678</v>
      </c>
      <c r="AD150" s="13" t="s">
        <v>6994</v>
      </c>
      <c r="AE150" s="11"/>
      <c r="AF150" s="11">
        <f>AB150+Z150+X150+V150+S150+Q150+O150</f>
        <v>250</v>
      </c>
      <c r="AG150" s="11"/>
      <c r="AH150" s="11"/>
    </row>
    <row r="151" ht="15.75" customHeight="1">
      <c r="A151" s="11">
        <v>41.0</v>
      </c>
      <c r="B151" s="12" t="s">
        <v>8679</v>
      </c>
      <c r="C151" s="11"/>
      <c r="D151" s="11" t="s">
        <v>8680</v>
      </c>
      <c r="E151" s="11" t="s">
        <v>8681</v>
      </c>
      <c r="F151" s="11" t="s">
        <v>4921</v>
      </c>
      <c r="G151" s="11" t="s">
        <v>5893</v>
      </c>
      <c r="H151" s="11" t="s">
        <v>7047</v>
      </c>
      <c r="I151" s="11" t="s">
        <v>1102</v>
      </c>
      <c r="J151" s="11">
        <v>9.899396808E9</v>
      </c>
      <c r="K151" s="11"/>
      <c r="L151" s="11" t="s">
        <v>7003</v>
      </c>
      <c r="M151" s="11" t="s">
        <v>8682</v>
      </c>
      <c r="N151" s="11" t="s">
        <v>8683</v>
      </c>
      <c r="O151" s="11">
        <v>90.0</v>
      </c>
      <c r="P151" s="11" t="s">
        <v>8684</v>
      </c>
      <c r="Q151" s="11">
        <v>90.0</v>
      </c>
      <c r="R151" s="11" t="s">
        <v>8685</v>
      </c>
      <c r="S151" s="11">
        <v>90.0</v>
      </c>
      <c r="T151" s="11" t="s">
        <v>8686</v>
      </c>
      <c r="U151" s="11" t="s">
        <v>8687</v>
      </c>
      <c r="V151" s="11">
        <v>90.0</v>
      </c>
      <c r="W151" s="11" t="s">
        <v>8688</v>
      </c>
      <c r="X151" s="11">
        <v>80.0</v>
      </c>
      <c r="Y151" s="11" t="s">
        <v>7193</v>
      </c>
      <c r="Z151" s="11">
        <v>0.0</v>
      </c>
      <c r="AA151" s="11" t="s">
        <v>7078</v>
      </c>
      <c r="AB151" s="11">
        <v>0.0</v>
      </c>
      <c r="AC151" s="11" t="s">
        <v>8689</v>
      </c>
      <c r="AD151" s="13" t="s">
        <v>7420</v>
      </c>
      <c r="AE151" s="11"/>
      <c r="AF151" s="11">
        <f>AE151+AB151+Z151+X151+V151+S151+Q151+O151</f>
        <v>440</v>
      </c>
      <c r="AG151" s="11"/>
      <c r="AH151" s="11"/>
    </row>
    <row r="152" ht="15.75" customHeight="1">
      <c r="A152" s="11">
        <v>392.0</v>
      </c>
      <c r="B152" s="12" t="s">
        <v>8690</v>
      </c>
      <c r="C152" s="11" t="s">
        <v>2140</v>
      </c>
      <c r="D152" s="11" t="s">
        <v>8691</v>
      </c>
      <c r="E152" s="11" t="s">
        <v>5624</v>
      </c>
      <c r="F152" s="11" t="s">
        <v>765</v>
      </c>
      <c r="G152" s="11" t="s">
        <v>8692</v>
      </c>
      <c r="H152" s="11" t="s">
        <v>7019</v>
      </c>
      <c r="I152" s="11"/>
      <c r="J152" s="11"/>
      <c r="K152" s="11" t="s">
        <v>6982</v>
      </c>
      <c r="L152" s="11" t="s">
        <v>6983</v>
      </c>
      <c r="M152" s="11" t="s">
        <v>8693</v>
      </c>
      <c r="N152" s="11" t="s">
        <v>8694</v>
      </c>
      <c r="O152" s="11">
        <v>0.0</v>
      </c>
      <c r="P152" s="11" t="s">
        <v>8695</v>
      </c>
      <c r="Q152" s="11">
        <v>0.0</v>
      </c>
      <c r="R152" s="11" t="s">
        <v>8696</v>
      </c>
      <c r="S152" s="11">
        <v>0.0</v>
      </c>
      <c r="T152" s="11" t="s">
        <v>8697</v>
      </c>
      <c r="U152" s="11" t="s">
        <v>8698</v>
      </c>
      <c r="V152" s="11">
        <v>0.0</v>
      </c>
      <c r="W152" s="11" t="s">
        <v>8699</v>
      </c>
      <c r="X152" s="11">
        <v>0.0</v>
      </c>
      <c r="Y152" s="11" t="s">
        <v>6991</v>
      </c>
      <c r="Z152" s="11">
        <v>0.0</v>
      </c>
      <c r="AA152" s="13" t="s">
        <v>8700</v>
      </c>
      <c r="AB152" s="11">
        <v>0.0</v>
      </c>
      <c r="AC152" s="11" t="s">
        <v>8701</v>
      </c>
      <c r="AD152" s="13" t="s">
        <v>6994</v>
      </c>
      <c r="AE152" s="11"/>
      <c r="AF152" s="11">
        <f>O152+Q152+S152+V152+X152+Z152+AB152</f>
        <v>0</v>
      </c>
      <c r="AG152" s="11"/>
      <c r="AH152" s="11"/>
    </row>
    <row r="153" ht="15.75" customHeight="1">
      <c r="A153" s="11">
        <v>193.0</v>
      </c>
      <c r="B153" s="12" t="s">
        <v>8702</v>
      </c>
      <c r="C153" s="11" t="s">
        <v>7043</v>
      </c>
      <c r="D153" s="11" t="s">
        <v>8703</v>
      </c>
      <c r="E153" s="11" t="s">
        <v>4427</v>
      </c>
      <c r="F153" s="11" t="s">
        <v>4967</v>
      </c>
      <c r="G153" s="11" t="s">
        <v>5028</v>
      </c>
      <c r="H153" s="11" t="s">
        <v>7184</v>
      </c>
      <c r="I153" s="11" t="s">
        <v>494</v>
      </c>
      <c r="J153" s="18">
        <v>9.953780472E9</v>
      </c>
      <c r="K153" s="11"/>
      <c r="L153" s="11" t="s">
        <v>7003</v>
      </c>
      <c r="M153" s="11" t="s">
        <v>8704</v>
      </c>
      <c r="N153" s="11" t="s">
        <v>8705</v>
      </c>
      <c r="O153" s="11">
        <v>40.0</v>
      </c>
      <c r="P153" s="11" t="s">
        <v>8706</v>
      </c>
      <c r="Q153" s="11">
        <v>50.0</v>
      </c>
      <c r="R153" s="11" t="s">
        <v>8707</v>
      </c>
      <c r="S153" s="11">
        <v>25.0</v>
      </c>
      <c r="T153" s="11" t="s">
        <v>8708</v>
      </c>
      <c r="U153" s="11" t="s">
        <v>8709</v>
      </c>
      <c r="V153" s="11">
        <v>50.0</v>
      </c>
      <c r="W153" s="11" t="s">
        <v>8710</v>
      </c>
      <c r="X153" s="11">
        <v>75.0</v>
      </c>
      <c r="Y153" s="11" t="s">
        <v>6991</v>
      </c>
      <c r="Z153" s="11">
        <v>25.0</v>
      </c>
      <c r="AA153" s="11" t="s">
        <v>7078</v>
      </c>
      <c r="AB153" s="11">
        <v>0.0</v>
      </c>
      <c r="AC153" s="11" t="s">
        <v>8711</v>
      </c>
      <c r="AD153" s="13" t="s">
        <v>6994</v>
      </c>
      <c r="AE153" s="11"/>
      <c r="AF153" s="11">
        <f t="shared" ref="AF153:AF154" si="24">AE153+AB153+Z153+X153+V153+S153+Q153+O153</f>
        <v>265</v>
      </c>
      <c r="AG153" s="11"/>
      <c r="AH153" s="11"/>
    </row>
    <row r="154" ht="15.75" customHeight="1">
      <c r="A154" s="11">
        <v>350.0</v>
      </c>
      <c r="B154" s="12" t="s">
        <v>8712</v>
      </c>
      <c r="C154" s="11"/>
      <c r="D154" s="11" t="s">
        <v>8713</v>
      </c>
      <c r="E154" s="21" t="s">
        <v>1865</v>
      </c>
      <c r="F154" s="21" t="s">
        <v>5001</v>
      </c>
      <c r="G154" s="21" t="s">
        <v>5002</v>
      </c>
      <c r="H154" s="21" t="s">
        <v>44</v>
      </c>
      <c r="I154" s="21" t="s">
        <v>5003</v>
      </c>
      <c r="J154" s="31">
        <v>9.717487259E9</v>
      </c>
      <c r="K154" s="11" t="s">
        <v>7411</v>
      </c>
      <c r="L154" s="11" t="s">
        <v>6983</v>
      </c>
      <c r="M154" s="11" t="s">
        <v>8714</v>
      </c>
      <c r="N154" s="11" t="s">
        <v>8715</v>
      </c>
      <c r="O154" s="11">
        <v>50.0</v>
      </c>
      <c r="P154" s="11" t="s">
        <v>8716</v>
      </c>
      <c r="Q154" s="11">
        <v>25.0</v>
      </c>
      <c r="R154" s="11" t="s">
        <v>8717</v>
      </c>
      <c r="S154" s="11">
        <v>25.0</v>
      </c>
      <c r="T154" s="11" t="s">
        <v>8718</v>
      </c>
      <c r="U154" s="11" t="s">
        <v>8719</v>
      </c>
      <c r="V154" s="11">
        <v>0.0</v>
      </c>
      <c r="W154" s="11" t="s">
        <v>8720</v>
      </c>
      <c r="X154" s="11">
        <v>0.0</v>
      </c>
      <c r="Y154" s="11" t="s">
        <v>6991</v>
      </c>
      <c r="Z154" s="11">
        <v>0.0</v>
      </c>
      <c r="AA154" s="11" t="s">
        <v>7078</v>
      </c>
      <c r="AB154" s="11">
        <v>0.0</v>
      </c>
      <c r="AC154" s="11" t="s">
        <v>8721</v>
      </c>
      <c r="AD154" s="13" t="s">
        <v>6994</v>
      </c>
      <c r="AE154" s="11"/>
      <c r="AF154" s="11">
        <f t="shared" si="24"/>
        <v>100</v>
      </c>
      <c r="AG154" s="11"/>
      <c r="AH154" s="11"/>
    </row>
    <row r="155" ht="15.75" customHeight="1">
      <c r="A155" s="11">
        <v>369.0</v>
      </c>
      <c r="B155" s="12" t="s">
        <v>8722</v>
      </c>
      <c r="C155" s="11"/>
      <c r="D155" s="11" t="s">
        <v>8723</v>
      </c>
      <c r="E155" s="11" t="s">
        <v>8724</v>
      </c>
      <c r="F155" s="11" t="s">
        <v>8724</v>
      </c>
      <c r="G155" s="11" t="s">
        <v>8725</v>
      </c>
      <c r="H155" s="11" t="s">
        <v>7097</v>
      </c>
      <c r="I155" s="11"/>
      <c r="J155" s="11"/>
      <c r="K155" s="15"/>
      <c r="L155" s="11" t="s">
        <v>6983</v>
      </c>
      <c r="M155" s="11" t="s">
        <v>8726</v>
      </c>
      <c r="N155" s="11" t="s">
        <v>8727</v>
      </c>
      <c r="O155" s="11">
        <v>0.0</v>
      </c>
      <c r="P155" s="11" t="s">
        <v>8728</v>
      </c>
      <c r="Q155" s="11">
        <v>0.0</v>
      </c>
      <c r="R155" s="11" t="s">
        <v>8729</v>
      </c>
      <c r="S155" s="11">
        <v>0.0</v>
      </c>
      <c r="T155" s="11" t="s">
        <v>8730</v>
      </c>
      <c r="U155" s="11" t="s">
        <v>8731</v>
      </c>
      <c r="V155" s="11">
        <v>0.0</v>
      </c>
      <c r="W155" s="11" t="s">
        <v>8732</v>
      </c>
      <c r="X155" s="11">
        <v>0.0</v>
      </c>
      <c r="Y155" s="11" t="s">
        <v>6991</v>
      </c>
      <c r="Z155" s="11">
        <v>0.0</v>
      </c>
      <c r="AA155" s="11" t="s">
        <v>7078</v>
      </c>
      <c r="AB155" s="11">
        <v>0.0</v>
      </c>
      <c r="AC155" s="11" t="s">
        <v>8733</v>
      </c>
      <c r="AD155" s="13" t="s">
        <v>6994</v>
      </c>
      <c r="AE155" s="11"/>
      <c r="AF155" s="11">
        <f>O155+Q155+S155+V155+X155+Z155+AB155</f>
        <v>0</v>
      </c>
      <c r="AG155" s="11"/>
      <c r="AH155" s="11"/>
    </row>
    <row r="156" ht="15.75" customHeight="1">
      <c r="A156" s="11">
        <v>52.0</v>
      </c>
      <c r="B156" s="12" t="s">
        <v>8734</v>
      </c>
      <c r="C156" s="11"/>
      <c r="D156" s="11" t="s">
        <v>8735</v>
      </c>
      <c r="E156" s="31" t="s">
        <v>4682</v>
      </c>
      <c r="F156" s="31" t="s">
        <v>4683</v>
      </c>
      <c r="G156" s="31" t="s">
        <v>4684</v>
      </c>
      <c r="H156" s="31" t="s">
        <v>9</v>
      </c>
      <c r="I156" s="31" t="s">
        <v>4685</v>
      </c>
      <c r="J156" s="31">
        <v>5.37242842E8</v>
      </c>
      <c r="K156" s="15"/>
      <c r="L156" s="11" t="s">
        <v>7003</v>
      </c>
      <c r="M156" s="11" t="s">
        <v>8736</v>
      </c>
      <c r="N156" s="11" t="s">
        <v>8737</v>
      </c>
      <c r="O156" s="11">
        <v>60.0</v>
      </c>
      <c r="P156" s="11" t="s">
        <v>8738</v>
      </c>
      <c r="Q156" s="11">
        <v>60.0</v>
      </c>
      <c r="R156" s="11" t="s">
        <v>8739</v>
      </c>
      <c r="S156" s="11">
        <v>80.0</v>
      </c>
      <c r="T156" s="11" t="s">
        <v>8740</v>
      </c>
      <c r="U156" s="11" t="s">
        <v>8741</v>
      </c>
      <c r="V156" s="11">
        <v>80.0</v>
      </c>
      <c r="W156" s="11" t="s">
        <v>8742</v>
      </c>
      <c r="X156" s="11">
        <v>60.0</v>
      </c>
      <c r="Y156" s="11" t="s">
        <v>6991</v>
      </c>
      <c r="Z156" s="11">
        <v>40.0</v>
      </c>
      <c r="AA156" s="13" t="s">
        <v>8743</v>
      </c>
      <c r="AB156" s="19">
        <v>50.0</v>
      </c>
      <c r="AC156" s="11" t="s">
        <v>8744</v>
      </c>
      <c r="AD156" s="13" t="s">
        <v>6994</v>
      </c>
      <c r="AE156" s="11"/>
      <c r="AF156" s="11">
        <f>AE156+AB156+Z156+X156+V156+S156+Q156+O156</f>
        <v>430</v>
      </c>
      <c r="AG156" s="11"/>
      <c r="AH156" s="11"/>
    </row>
    <row r="157" ht="15.75" customHeight="1">
      <c r="A157" s="11">
        <v>266.0</v>
      </c>
      <c r="B157" s="12" t="s">
        <v>8745</v>
      </c>
      <c r="C157" s="12" t="s">
        <v>2140</v>
      </c>
      <c r="D157" s="11" t="s">
        <v>8746</v>
      </c>
      <c r="E157" s="31" t="s">
        <v>5544</v>
      </c>
      <c r="F157" s="31" t="s">
        <v>5545</v>
      </c>
      <c r="G157" s="31" t="s">
        <v>5546</v>
      </c>
      <c r="H157" s="31" t="s">
        <v>56</v>
      </c>
      <c r="I157" s="31" t="s">
        <v>4276</v>
      </c>
      <c r="J157" s="31">
        <v>9.818167227E9</v>
      </c>
      <c r="K157" s="11" t="s">
        <v>6982</v>
      </c>
      <c r="L157" s="11" t="s">
        <v>6983</v>
      </c>
      <c r="M157" s="11" t="s">
        <v>7993</v>
      </c>
      <c r="N157" s="11" t="s">
        <v>7994</v>
      </c>
      <c r="O157" s="11">
        <v>30.0</v>
      </c>
      <c r="P157" s="11" t="s">
        <v>7995</v>
      </c>
      <c r="Q157" s="11">
        <v>20.0</v>
      </c>
      <c r="R157" s="11" t="s">
        <v>8747</v>
      </c>
      <c r="S157" s="11">
        <v>20.0</v>
      </c>
      <c r="T157" s="11" t="s">
        <v>7997</v>
      </c>
      <c r="U157" s="11" t="s">
        <v>7998</v>
      </c>
      <c r="V157" s="11">
        <v>60.0</v>
      </c>
      <c r="W157" s="11" t="s">
        <v>7999</v>
      </c>
      <c r="X157" s="11">
        <v>0.0</v>
      </c>
      <c r="Y157" s="11" t="s">
        <v>7027</v>
      </c>
      <c r="Z157" s="11">
        <v>20.0</v>
      </c>
      <c r="AA157" s="13" t="s">
        <v>8748</v>
      </c>
      <c r="AB157" s="11">
        <v>60.0</v>
      </c>
      <c r="AC157" s="11" t="s">
        <v>8749</v>
      </c>
      <c r="AD157" s="13" t="s">
        <v>6994</v>
      </c>
      <c r="AE157" s="11"/>
      <c r="AF157" s="11">
        <f>O157+Q157+S157+V157+X157+Z157+AB157</f>
        <v>210</v>
      </c>
      <c r="AG157" s="11"/>
      <c r="AH157" s="11"/>
    </row>
    <row r="158" ht="15.75" customHeight="1">
      <c r="A158" s="11">
        <v>391.0</v>
      </c>
      <c r="B158" s="12" t="s">
        <v>8750</v>
      </c>
      <c r="C158" s="11"/>
      <c r="D158" s="11" t="s">
        <v>8751</v>
      </c>
      <c r="E158" s="31" t="s">
        <v>1092</v>
      </c>
      <c r="F158" s="31" t="s">
        <v>675</v>
      </c>
      <c r="G158" s="31" t="s">
        <v>4257</v>
      </c>
      <c r="H158" s="31" t="s">
        <v>44</v>
      </c>
      <c r="I158" s="31" t="s">
        <v>434</v>
      </c>
      <c r="J158" s="31">
        <v>8.828370181E9</v>
      </c>
      <c r="K158" s="11" t="s">
        <v>7086</v>
      </c>
      <c r="L158" s="11" t="s">
        <v>7003</v>
      </c>
      <c r="M158" s="11" t="s">
        <v>8752</v>
      </c>
      <c r="N158" s="11" t="s">
        <v>8753</v>
      </c>
      <c r="O158" s="11"/>
      <c r="P158" s="11" t="s">
        <v>8754</v>
      </c>
      <c r="Q158" s="11"/>
      <c r="R158" s="11" t="s">
        <v>8755</v>
      </c>
      <c r="S158" s="11"/>
      <c r="T158" s="11" t="s">
        <v>8756</v>
      </c>
      <c r="U158" s="11" t="s">
        <v>8756</v>
      </c>
      <c r="V158" s="11"/>
      <c r="W158" s="11" t="s">
        <v>8757</v>
      </c>
      <c r="X158" s="11"/>
      <c r="Y158" s="11" t="s">
        <v>6991</v>
      </c>
      <c r="Z158" s="11"/>
      <c r="AA158" s="11" t="s">
        <v>7078</v>
      </c>
      <c r="AB158" s="11"/>
      <c r="AC158" s="11" t="s">
        <v>8758</v>
      </c>
      <c r="AD158" s="13" t="s">
        <v>6994</v>
      </c>
      <c r="AE158" s="11"/>
      <c r="AF158" s="11">
        <f t="shared" ref="AF158:AF159" si="25">AB158+Z158+X158+V158+S158+Q158+O158</f>
        <v>0</v>
      </c>
      <c r="AG158" s="11" t="s">
        <v>8759</v>
      </c>
      <c r="AH158" s="11"/>
    </row>
    <row r="159" ht="15.75" customHeight="1">
      <c r="A159" s="11">
        <v>128.0</v>
      </c>
      <c r="B159" s="12" t="s">
        <v>8760</v>
      </c>
      <c r="C159" s="11"/>
      <c r="D159" s="11" t="s">
        <v>8761</v>
      </c>
      <c r="E159" s="31" t="s">
        <v>5628</v>
      </c>
      <c r="F159" s="31" t="s">
        <v>5629</v>
      </c>
      <c r="G159" s="31" t="s">
        <v>5630</v>
      </c>
      <c r="H159" s="31" t="s">
        <v>26</v>
      </c>
      <c r="I159" s="31" t="s">
        <v>4595</v>
      </c>
      <c r="J159" s="31">
        <v>8.867383558E9</v>
      </c>
      <c r="K159" s="11" t="s">
        <v>6982</v>
      </c>
      <c r="L159" s="11" t="s">
        <v>6983</v>
      </c>
      <c r="M159" s="11" t="s">
        <v>8762</v>
      </c>
      <c r="N159" s="11" t="s">
        <v>8763</v>
      </c>
      <c r="O159" s="11">
        <v>60.0</v>
      </c>
      <c r="P159" s="11" t="s">
        <v>8764</v>
      </c>
      <c r="Q159" s="11">
        <v>50.0</v>
      </c>
      <c r="R159" s="11" t="s">
        <v>8765</v>
      </c>
      <c r="S159" s="11">
        <v>75.0</v>
      </c>
      <c r="T159" s="11" t="s">
        <v>8766</v>
      </c>
      <c r="U159" s="11" t="s">
        <v>8767</v>
      </c>
      <c r="V159" s="11">
        <v>40.0</v>
      </c>
      <c r="W159" s="11" t="s">
        <v>8768</v>
      </c>
      <c r="X159" s="11">
        <v>50.0</v>
      </c>
      <c r="Y159" s="11" t="s">
        <v>7193</v>
      </c>
      <c r="Z159" s="11">
        <v>25.0</v>
      </c>
      <c r="AA159" s="13" t="s">
        <v>8769</v>
      </c>
      <c r="AB159" s="11">
        <v>35.0</v>
      </c>
      <c r="AC159" s="11" t="s">
        <v>8770</v>
      </c>
      <c r="AD159" s="13" t="s">
        <v>6994</v>
      </c>
      <c r="AE159" s="11"/>
      <c r="AF159" s="11">
        <f t="shared" si="25"/>
        <v>335</v>
      </c>
      <c r="AG159" s="11"/>
      <c r="AH159" s="11"/>
    </row>
    <row r="160" ht="15.75" customHeight="1">
      <c r="A160" s="11">
        <v>93.0</v>
      </c>
      <c r="B160" s="12" t="s">
        <v>8771</v>
      </c>
      <c r="C160" s="11" t="s">
        <v>7043</v>
      </c>
      <c r="D160" s="11" t="s">
        <v>8772</v>
      </c>
      <c r="E160" s="11" t="s">
        <v>8773</v>
      </c>
      <c r="F160" s="11" t="s">
        <v>4128</v>
      </c>
      <c r="G160" s="11" t="s">
        <v>8774</v>
      </c>
      <c r="H160" s="11" t="s">
        <v>7184</v>
      </c>
      <c r="I160" s="11"/>
      <c r="J160" s="11"/>
      <c r="K160" s="11" t="s">
        <v>6982</v>
      </c>
      <c r="L160" s="11" t="s">
        <v>7003</v>
      </c>
      <c r="M160" s="11" t="s">
        <v>8775</v>
      </c>
      <c r="N160" s="11" t="s">
        <v>8776</v>
      </c>
      <c r="O160" s="11">
        <v>60.0</v>
      </c>
      <c r="P160" s="11" t="s">
        <v>8777</v>
      </c>
      <c r="Q160" s="11">
        <v>75.0</v>
      </c>
      <c r="R160" s="11" t="s">
        <v>8778</v>
      </c>
      <c r="S160" s="11">
        <v>75.0</v>
      </c>
      <c r="T160" s="11" t="s">
        <v>8779</v>
      </c>
      <c r="U160" s="11" t="s">
        <v>8780</v>
      </c>
      <c r="V160" s="11">
        <v>50.0</v>
      </c>
      <c r="W160" s="11" t="s">
        <v>8781</v>
      </c>
      <c r="X160" s="11">
        <v>50.0</v>
      </c>
      <c r="Y160" s="11" t="s">
        <v>6991</v>
      </c>
      <c r="Z160" s="11">
        <v>25.0</v>
      </c>
      <c r="AA160" s="13" t="s">
        <v>8782</v>
      </c>
      <c r="AB160" s="11">
        <v>50.0</v>
      </c>
      <c r="AC160" s="11" t="s">
        <v>8783</v>
      </c>
      <c r="AD160" s="13" t="s">
        <v>6994</v>
      </c>
      <c r="AE160" s="11"/>
      <c r="AF160" s="11">
        <f>AE160+AB160+Z160+X160+V160+S160+Q160+O160</f>
        <v>385</v>
      </c>
      <c r="AG160" s="11"/>
      <c r="AH160" s="11"/>
    </row>
    <row r="161" ht="15.75" customHeight="1">
      <c r="A161" s="11">
        <v>163.0</v>
      </c>
      <c r="B161" s="12" t="s">
        <v>8784</v>
      </c>
      <c r="C161" s="11" t="s">
        <v>1531</v>
      </c>
      <c r="D161" s="11" t="s">
        <v>8785</v>
      </c>
      <c r="E161" s="11" t="s">
        <v>4801</v>
      </c>
      <c r="F161" s="11" t="s">
        <v>1867</v>
      </c>
      <c r="G161" s="11" t="s">
        <v>7447</v>
      </c>
      <c r="H161" s="11"/>
      <c r="I161" s="11"/>
      <c r="J161" s="11"/>
      <c r="K161" s="11"/>
      <c r="L161" s="11" t="s">
        <v>7003</v>
      </c>
      <c r="M161" s="11" t="s">
        <v>8786</v>
      </c>
      <c r="N161" s="11" t="s">
        <v>8787</v>
      </c>
      <c r="O161" s="11">
        <v>30.0</v>
      </c>
      <c r="P161" s="11" t="s">
        <v>8788</v>
      </c>
      <c r="Q161" s="11">
        <v>50.0</v>
      </c>
      <c r="R161" s="11" t="s">
        <v>8789</v>
      </c>
      <c r="S161" s="11">
        <v>40.0</v>
      </c>
      <c r="T161" s="11" t="s">
        <v>8790</v>
      </c>
      <c r="U161" s="11" t="s">
        <v>8791</v>
      </c>
      <c r="V161" s="11">
        <v>60.0</v>
      </c>
      <c r="W161" s="11" t="s">
        <v>8792</v>
      </c>
      <c r="X161" s="11">
        <v>50.0</v>
      </c>
      <c r="Y161" s="11" t="s">
        <v>7027</v>
      </c>
      <c r="Z161" s="11">
        <v>40.0</v>
      </c>
      <c r="AA161" s="13" t="s">
        <v>8793</v>
      </c>
      <c r="AB161" s="11">
        <v>20.0</v>
      </c>
      <c r="AC161" s="11" t="s">
        <v>8794</v>
      </c>
      <c r="AD161" s="13" t="s">
        <v>6994</v>
      </c>
      <c r="AE161" s="11"/>
      <c r="AF161" s="11">
        <f>O161+Q161+S161+V161+X161+Z161+AB161+AE161</f>
        <v>290</v>
      </c>
      <c r="AG161" s="11"/>
      <c r="AH161" s="11"/>
    </row>
    <row r="162" ht="15.75" customHeight="1">
      <c r="A162" s="11">
        <v>164.0</v>
      </c>
      <c r="B162" s="12" t="s">
        <v>8795</v>
      </c>
      <c r="C162" s="11" t="s">
        <v>2140</v>
      </c>
      <c r="D162" s="11" t="s">
        <v>8796</v>
      </c>
      <c r="E162" s="21" t="s">
        <v>1218</v>
      </c>
      <c r="F162" s="21" t="s">
        <v>4912</v>
      </c>
      <c r="G162" s="21" t="s">
        <v>4913</v>
      </c>
      <c r="H162" s="21" t="s">
        <v>26</v>
      </c>
      <c r="I162" s="21" t="s">
        <v>4914</v>
      </c>
      <c r="J162" s="31">
        <v>7.73844871E9</v>
      </c>
      <c r="K162" s="11" t="s">
        <v>7086</v>
      </c>
      <c r="L162" s="11" t="s">
        <v>7003</v>
      </c>
      <c r="M162" s="11" t="s">
        <v>8797</v>
      </c>
      <c r="N162" s="11" t="s">
        <v>8798</v>
      </c>
      <c r="O162" s="11">
        <v>60.0</v>
      </c>
      <c r="P162" s="11" t="s">
        <v>8799</v>
      </c>
      <c r="Q162" s="11">
        <v>60.0</v>
      </c>
      <c r="R162" s="11" t="s">
        <v>8800</v>
      </c>
      <c r="S162" s="11">
        <v>40.0</v>
      </c>
      <c r="T162" s="11" t="s">
        <v>8801</v>
      </c>
      <c r="U162" s="11" t="s">
        <v>8802</v>
      </c>
      <c r="V162" s="11">
        <v>50.0</v>
      </c>
      <c r="W162" s="11" t="s">
        <v>8803</v>
      </c>
      <c r="X162" s="11">
        <v>40.0</v>
      </c>
      <c r="Y162" s="11" t="s">
        <v>6991</v>
      </c>
      <c r="Z162" s="11">
        <v>40.0</v>
      </c>
      <c r="AA162" s="11" t="s">
        <v>7078</v>
      </c>
      <c r="AB162" s="11">
        <v>0.0</v>
      </c>
      <c r="AC162" s="11" t="s">
        <v>8804</v>
      </c>
      <c r="AD162" s="13" t="s">
        <v>6994</v>
      </c>
      <c r="AE162" s="11"/>
      <c r="AF162" s="11">
        <f t="shared" ref="AF162:AF163" si="26">O162+Q162+S162+V162+X162+Z162+AB162</f>
        <v>290</v>
      </c>
      <c r="AG162" s="11"/>
      <c r="AH162" s="11"/>
    </row>
    <row r="163" ht="15.75" customHeight="1">
      <c r="A163" s="11">
        <v>178.0</v>
      </c>
      <c r="B163" s="12" t="s">
        <v>8805</v>
      </c>
      <c r="C163" s="12" t="s">
        <v>2140</v>
      </c>
      <c r="D163" s="11" t="s">
        <v>8806</v>
      </c>
      <c r="E163" s="31" t="s">
        <v>4644</v>
      </c>
      <c r="F163" s="31" t="s">
        <v>50</v>
      </c>
      <c r="G163" s="31" t="s">
        <v>4645</v>
      </c>
      <c r="H163" s="31" t="s">
        <v>56</v>
      </c>
      <c r="I163" s="31" t="s">
        <v>4015</v>
      </c>
      <c r="J163" s="31">
        <v>9.810320722E9</v>
      </c>
      <c r="K163" s="11" t="s">
        <v>6982</v>
      </c>
      <c r="L163" s="11" t="s">
        <v>6983</v>
      </c>
      <c r="M163" s="11" t="s">
        <v>8807</v>
      </c>
      <c r="N163" s="11" t="s">
        <v>8808</v>
      </c>
      <c r="O163" s="11">
        <v>60.0</v>
      </c>
      <c r="P163" s="11" t="s">
        <v>8809</v>
      </c>
      <c r="Q163" s="11">
        <v>60.0</v>
      </c>
      <c r="R163" s="11" t="s">
        <v>8810</v>
      </c>
      <c r="S163" s="11">
        <v>50.0</v>
      </c>
      <c r="T163" s="11" t="s">
        <v>8811</v>
      </c>
      <c r="U163" s="11" t="s">
        <v>8812</v>
      </c>
      <c r="V163" s="11">
        <v>50.0</v>
      </c>
      <c r="W163" s="11" t="s">
        <v>8813</v>
      </c>
      <c r="X163" s="11">
        <v>10.0</v>
      </c>
      <c r="Y163" s="11" t="s">
        <v>7027</v>
      </c>
      <c r="Z163" s="11">
        <v>20.0</v>
      </c>
      <c r="AA163" s="13" t="s">
        <v>8814</v>
      </c>
      <c r="AB163" s="11">
        <v>30.0</v>
      </c>
      <c r="AC163" s="11" t="s">
        <v>8815</v>
      </c>
      <c r="AD163" s="13" t="s">
        <v>6994</v>
      </c>
      <c r="AE163" s="11"/>
      <c r="AF163" s="11">
        <f t="shared" si="26"/>
        <v>280</v>
      </c>
      <c r="AG163" s="11"/>
      <c r="AH163" s="11"/>
    </row>
    <row r="164" ht="15.75" customHeight="1">
      <c r="A164" s="11">
        <v>342.0</v>
      </c>
      <c r="B164" s="12" t="s">
        <v>8816</v>
      </c>
      <c r="C164" s="11"/>
      <c r="D164" s="11" t="s">
        <v>8817</v>
      </c>
      <c r="E164" s="21" t="s">
        <v>148</v>
      </c>
      <c r="F164" s="21" t="s">
        <v>65</v>
      </c>
      <c r="G164" s="21" t="s">
        <v>3601</v>
      </c>
      <c r="H164" s="21" t="s">
        <v>26</v>
      </c>
      <c r="I164" s="21" t="s">
        <v>2115</v>
      </c>
      <c r="J164" s="31">
        <v>9.903912778E9</v>
      </c>
      <c r="K164" s="11" t="s">
        <v>8064</v>
      </c>
      <c r="L164" s="11" t="s">
        <v>6983</v>
      </c>
      <c r="M164" s="11" t="s">
        <v>8818</v>
      </c>
      <c r="N164" s="11" t="s">
        <v>8819</v>
      </c>
      <c r="O164" s="11">
        <v>50.0</v>
      </c>
      <c r="P164" s="11" t="s">
        <v>8820</v>
      </c>
      <c r="Q164" s="11">
        <v>25.0</v>
      </c>
      <c r="R164" s="11" t="s">
        <v>8821</v>
      </c>
      <c r="S164" s="11">
        <v>25.0</v>
      </c>
      <c r="T164" s="11" t="s">
        <v>8822</v>
      </c>
      <c r="U164" s="11" t="s">
        <v>8823</v>
      </c>
      <c r="V164" s="11">
        <v>10.0</v>
      </c>
      <c r="W164" s="11" t="s">
        <v>8824</v>
      </c>
      <c r="X164" s="11"/>
      <c r="Y164" s="11" t="s">
        <v>6991</v>
      </c>
      <c r="Z164" s="11">
        <v>0.0</v>
      </c>
      <c r="AA164" s="11" t="s">
        <v>7078</v>
      </c>
      <c r="AB164" s="11">
        <v>0.0</v>
      </c>
      <c r="AC164" s="11" t="s">
        <v>8825</v>
      </c>
      <c r="AD164" s="13" t="s">
        <v>6994</v>
      </c>
      <c r="AE164" s="11"/>
      <c r="AF164" s="11">
        <f>AE164+AB164+Z164+X164+V164+S164+Q164+O164</f>
        <v>110</v>
      </c>
      <c r="AG164" s="11"/>
      <c r="AH164" s="11"/>
    </row>
    <row r="165" ht="15.75" customHeight="1">
      <c r="A165" s="11">
        <v>63.0</v>
      </c>
      <c r="B165" s="12" t="s">
        <v>8826</v>
      </c>
      <c r="C165" s="12" t="s">
        <v>2140</v>
      </c>
      <c r="D165" s="11" t="s">
        <v>8827</v>
      </c>
      <c r="E165" s="31" t="s">
        <v>5876</v>
      </c>
      <c r="F165" s="31" t="s">
        <v>119</v>
      </c>
      <c r="G165" s="31" t="s">
        <v>5877</v>
      </c>
      <c r="H165" s="31" t="s">
        <v>26</v>
      </c>
      <c r="I165" s="31" t="s">
        <v>5878</v>
      </c>
      <c r="J165" s="31">
        <v>7.987515478E9</v>
      </c>
      <c r="K165" s="11" t="s">
        <v>8064</v>
      </c>
      <c r="L165" s="11" t="s">
        <v>6983</v>
      </c>
      <c r="M165" s="11" t="s">
        <v>8828</v>
      </c>
      <c r="N165" s="11" t="s">
        <v>8829</v>
      </c>
      <c r="O165" s="11">
        <v>50.0</v>
      </c>
      <c r="P165" s="11" t="s">
        <v>8830</v>
      </c>
      <c r="Q165" s="11">
        <v>30.0</v>
      </c>
      <c r="R165" s="11" t="s">
        <v>8831</v>
      </c>
      <c r="S165" s="11">
        <v>50.0</v>
      </c>
      <c r="T165" s="11" t="s">
        <v>8832</v>
      </c>
      <c r="U165" s="11" t="s">
        <v>8833</v>
      </c>
      <c r="V165" s="11">
        <v>50.0</v>
      </c>
      <c r="W165" s="11" t="s">
        <v>8834</v>
      </c>
      <c r="X165" s="11">
        <v>70.0</v>
      </c>
      <c r="Y165" s="11" t="s">
        <v>7193</v>
      </c>
      <c r="Z165" s="11">
        <v>80.0</v>
      </c>
      <c r="AA165" s="13" t="s">
        <v>8835</v>
      </c>
      <c r="AB165" s="11">
        <v>90.0</v>
      </c>
      <c r="AC165" s="11" t="s">
        <v>8836</v>
      </c>
      <c r="AD165" s="13" t="s">
        <v>6994</v>
      </c>
      <c r="AE165" s="11"/>
      <c r="AF165" s="11">
        <f>O165+Q165+S165+V165+X165+Z165+AB165</f>
        <v>420</v>
      </c>
      <c r="AG165" s="11"/>
      <c r="AH165" s="11"/>
    </row>
    <row r="166" ht="15.75" customHeight="1">
      <c r="A166" s="11">
        <v>148.0</v>
      </c>
      <c r="B166" s="12" t="s">
        <v>8837</v>
      </c>
      <c r="C166" s="11" t="s">
        <v>7043</v>
      </c>
      <c r="D166" s="11" t="s">
        <v>8838</v>
      </c>
      <c r="E166" s="11" t="s">
        <v>881</v>
      </c>
      <c r="F166" s="11" t="s">
        <v>8839</v>
      </c>
      <c r="G166" s="11" t="s">
        <v>8840</v>
      </c>
      <c r="H166" s="11" t="s">
        <v>7184</v>
      </c>
      <c r="I166" s="11"/>
      <c r="J166" s="11"/>
      <c r="K166" s="11"/>
      <c r="L166" s="11" t="s">
        <v>7003</v>
      </c>
      <c r="M166" s="11" t="s">
        <v>8841</v>
      </c>
      <c r="N166" s="11" t="s">
        <v>8842</v>
      </c>
      <c r="O166" s="11">
        <v>60.0</v>
      </c>
      <c r="P166" s="11" t="s">
        <v>8843</v>
      </c>
      <c r="Q166" s="11">
        <v>50.0</v>
      </c>
      <c r="R166" s="11" t="s">
        <v>8844</v>
      </c>
      <c r="S166" s="11">
        <v>25.0</v>
      </c>
      <c r="T166" s="11" t="s">
        <v>8845</v>
      </c>
      <c r="U166" s="11" t="s">
        <v>8846</v>
      </c>
      <c r="V166" s="11">
        <v>50.0</v>
      </c>
      <c r="W166" s="11" t="s">
        <v>8847</v>
      </c>
      <c r="X166" s="11">
        <v>25.0</v>
      </c>
      <c r="Y166" s="11" t="s">
        <v>7027</v>
      </c>
      <c r="Z166" s="11">
        <v>25.0</v>
      </c>
      <c r="AA166" s="13" t="s">
        <v>8848</v>
      </c>
      <c r="AB166" s="11">
        <v>80.0</v>
      </c>
      <c r="AC166" s="11" t="s">
        <v>8849</v>
      </c>
      <c r="AD166" s="13" t="s">
        <v>6994</v>
      </c>
      <c r="AE166" s="11"/>
      <c r="AF166" s="11">
        <f>AE166+AB166+Z166+X166+V166+S166+Q166+O166</f>
        <v>315</v>
      </c>
      <c r="AG166" s="11"/>
      <c r="AH166" s="11"/>
    </row>
    <row r="167" ht="15.75" customHeight="1">
      <c r="A167" s="11">
        <v>144.0</v>
      </c>
      <c r="B167" s="12" t="s">
        <v>8850</v>
      </c>
      <c r="C167" s="11" t="s">
        <v>4344</v>
      </c>
      <c r="D167" s="11" t="s">
        <v>8851</v>
      </c>
      <c r="E167" s="11" t="s">
        <v>8852</v>
      </c>
      <c r="F167" s="11" t="s">
        <v>4217</v>
      </c>
      <c r="G167" s="11" t="s">
        <v>4218</v>
      </c>
      <c r="H167" s="11" t="s">
        <v>8086</v>
      </c>
      <c r="I167" s="11" t="s">
        <v>8853</v>
      </c>
      <c r="J167" s="36">
        <v>9.810300843E9</v>
      </c>
      <c r="K167" s="11"/>
      <c r="L167" s="11" t="s">
        <v>7003</v>
      </c>
      <c r="M167" s="11" t="s">
        <v>8854</v>
      </c>
      <c r="N167" s="11" t="s">
        <v>8855</v>
      </c>
      <c r="O167" s="11">
        <v>40.0</v>
      </c>
      <c r="P167" s="11" t="s">
        <v>8856</v>
      </c>
      <c r="Q167" s="11">
        <v>50.0</v>
      </c>
      <c r="R167" s="11" t="s">
        <v>8857</v>
      </c>
      <c r="S167" s="11">
        <v>25.0</v>
      </c>
      <c r="T167" s="11" t="s">
        <v>8858</v>
      </c>
      <c r="U167" s="11" t="s">
        <v>8859</v>
      </c>
      <c r="V167" s="11">
        <v>60.0</v>
      </c>
      <c r="W167" s="11" t="s">
        <v>8860</v>
      </c>
      <c r="X167" s="11">
        <v>50.0</v>
      </c>
      <c r="Y167" s="11" t="s">
        <v>6991</v>
      </c>
      <c r="Z167" s="11">
        <v>25.0</v>
      </c>
      <c r="AA167" s="13" t="s">
        <v>8861</v>
      </c>
      <c r="AB167" s="11">
        <v>70.0</v>
      </c>
      <c r="AC167" s="11" t="s">
        <v>8862</v>
      </c>
      <c r="AD167" s="13" t="s">
        <v>6994</v>
      </c>
      <c r="AE167" s="11">
        <v>0.0</v>
      </c>
      <c r="AF167" s="11">
        <f>O167+Q167+S167+V167+X167+Z167+AB167+AE167</f>
        <v>320</v>
      </c>
      <c r="AG167" s="11" t="s">
        <v>8863</v>
      </c>
      <c r="AH167" s="11"/>
    </row>
    <row r="168" ht="15.75" customHeight="1">
      <c r="A168" s="11">
        <v>263.0</v>
      </c>
      <c r="B168" s="12" t="s">
        <v>8864</v>
      </c>
      <c r="C168" s="12" t="s">
        <v>2140</v>
      </c>
      <c r="D168" s="11" t="s">
        <v>8865</v>
      </c>
      <c r="E168" s="21" t="s">
        <v>5301</v>
      </c>
      <c r="F168" s="21" t="s">
        <v>5302</v>
      </c>
      <c r="G168" s="21" t="s">
        <v>5296</v>
      </c>
      <c r="H168" s="21" t="s">
        <v>44</v>
      </c>
      <c r="I168" s="21" t="s">
        <v>5297</v>
      </c>
      <c r="J168" s="31">
        <v>9.650521766E9</v>
      </c>
      <c r="K168" s="11" t="s">
        <v>6982</v>
      </c>
      <c r="L168" s="11" t="s">
        <v>6983</v>
      </c>
      <c r="M168" s="11" t="s">
        <v>8866</v>
      </c>
      <c r="N168" s="11" t="s">
        <v>8867</v>
      </c>
      <c r="O168" s="11">
        <v>40.0</v>
      </c>
      <c r="P168" s="11" t="s">
        <v>8868</v>
      </c>
      <c r="Q168" s="11">
        <v>40.0</v>
      </c>
      <c r="R168" s="11" t="s">
        <v>8869</v>
      </c>
      <c r="S168" s="11">
        <v>30.0</v>
      </c>
      <c r="T168" s="11" t="s">
        <v>8870</v>
      </c>
      <c r="U168" s="11" t="s">
        <v>8871</v>
      </c>
      <c r="V168" s="11">
        <v>50.0</v>
      </c>
      <c r="W168" s="11" t="s">
        <v>8872</v>
      </c>
      <c r="X168" s="11">
        <v>20.0</v>
      </c>
      <c r="Y168" s="11" t="s">
        <v>6991</v>
      </c>
      <c r="Z168" s="11">
        <v>20.0</v>
      </c>
      <c r="AA168" s="13" t="s">
        <v>8873</v>
      </c>
      <c r="AB168" s="11">
        <v>10.0</v>
      </c>
      <c r="AC168" s="11" t="s">
        <v>8874</v>
      </c>
      <c r="AD168" s="13" t="s">
        <v>6994</v>
      </c>
      <c r="AE168" s="11"/>
      <c r="AF168" s="11">
        <f>O168+Q168+S168+V168+X168+Z168+AB168</f>
        <v>210</v>
      </c>
      <c r="AG168" s="11"/>
      <c r="AH168" s="11"/>
    </row>
    <row r="169" ht="15.75" customHeight="1">
      <c r="A169" s="11">
        <v>324.0</v>
      </c>
      <c r="B169" s="12" t="s">
        <v>8875</v>
      </c>
      <c r="C169" s="11"/>
      <c r="D169" s="11" t="s">
        <v>8876</v>
      </c>
      <c r="E169" s="21" t="s">
        <v>1340</v>
      </c>
      <c r="F169" s="21" t="s">
        <v>50</v>
      </c>
      <c r="G169" s="21" t="s">
        <v>4968</v>
      </c>
      <c r="H169" s="21" t="s">
        <v>9</v>
      </c>
      <c r="I169" s="21" t="s">
        <v>4625</v>
      </c>
      <c r="J169" s="22">
        <v>9.98E9</v>
      </c>
      <c r="K169" s="11"/>
      <c r="L169" s="11" t="s">
        <v>7003</v>
      </c>
      <c r="M169" s="11" t="s">
        <v>8877</v>
      </c>
      <c r="N169" s="11" t="s">
        <v>8878</v>
      </c>
      <c r="O169" s="11">
        <v>50.0</v>
      </c>
      <c r="P169" s="11" t="s">
        <v>8879</v>
      </c>
      <c r="Q169" s="11">
        <v>25.0</v>
      </c>
      <c r="R169" s="11" t="s">
        <v>8880</v>
      </c>
      <c r="S169" s="11">
        <v>50.0</v>
      </c>
      <c r="T169" s="11" t="s">
        <v>8881</v>
      </c>
      <c r="U169" s="11" t="s">
        <v>8882</v>
      </c>
      <c r="V169" s="11">
        <v>10.0</v>
      </c>
      <c r="W169" s="11" t="s">
        <v>8883</v>
      </c>
      <c r="X169" s="11">
        <v>10.0</v>
      </c>
      <c r="Y169" s="11" t="s">
        <v>7193</v>
      </c>
      <c r="Z169" s="11">
        <v>0.0</v>
      </c>
      <c r="AA169" s="11" t="s">
        <v>7078</v>
      </c>
      <c r="AB169" s="11">
        <v>0.0</v>
      </c>
      <c r="AC169" s="11" t="s">
        <v>8884</v>
      </c>
      <c r="AD169" s="13" t="s">
        <v>6994</v>
      </c>
      <c r="AE169" s="11"/>
      <c r="AF169" s="11">
        <f>AE169+AB169+Z169+X169+V169+S169+Q169+O169</f>
        <v>145</v>
      </c>
      <c r="AG169" s="11"/>
      <c r="AH169" s="11"/>
    </row>
    <row r="170" ht="15.75" customHeight="1">
      <c r="A170" s="11">
        <v>216.0</v>
      </c>
      <c r="B170" s="12" t="s">
        <v>8885</v>
      </c>
      <c r="C170" s="12" t="s">
        <v>2140</v>
      </c>
      <c r="D170" s="11" t="s">
        <v>8886</v>
      </c>
      <c r="E170" s="21" t="s">
        <v>5370</v>
      </c>
      <c r="F170" s="21" t="s">
        <v>5371</v>
      </c>
      <c r="G170" s="21" t="s">
        <v>5372</v>
      </c>
      <c r="H170" s="21" t="s">
        <v>9</v>
      </c>
      <c r="I170" s="21" t="s">
        <v>5373</v>
      </c>
      <c r="J170" s="31" t="s">
        <v>8887</v>
      </c>
      <c r="K170" s="11" t="s">
        <v>7411</v>
      </c>
      <c r="L170" s="11" t="s">
        <v>7003</v>
      </c>
      <c r="M170" s="11" t="s">
        <v>8888</v>
      </c>
      <c r="N170" s="11" t="s">
        <v>8889</v>
      </c>
      <c r="O170" s="11">
        <v>50.0</v>
      </c>
      <c r="P170" s="11" t="s">
        <v>8890</v>
      </c>
      <c r="Q170" s="11">
        <v>40.0</v>
      </c>
      <c r="R170" s="11" t="s">
        <v>8891</v>
      </c>
      <c r="S170" s="11">
        <v>50.0</v>
      </c>
      <c r="T170" s="11" t="s">
        <v>8892</v>
      </c>
      <c r="U170" s="11" t="s">
        <v>8893</v>
      </c>
      <c r="V170" s="11">
        <v>30.0</v>
      </c>
      <c r="W170" s="11" t="s">
        <v>8894</v>
      </c>
      <c r="X170" s="11">
        <v>40.0</v>
      </c>
      <c r="Y170" s="11" t="s">
        <v>6991</v>
      </c>
      <c r="Z170" s="11">
        <v>40.0</v>
      </c>
      <c r="AA170" s="11" t="s">
        <v>7078</v>
      </c>
      <c r="AB170" s="11">
        <v>0.0</v>
      </c>
      <c r="AC170" s="11" t="s">
        <v>8895</v>
      </c>
      <c r="AD170" s="13" t="s">
        <v>6994</v>
      </c>
      <c r="AE170" s="11"/>
      <c r="AF170" s="11">
        <f>O170+Q170+S170+V170+X170+Z170+AB170</f>
        <v>250</v>
      </c>
      <c r="AG170" s="11"/>
      <c r="AH170" s="11"/>
    </row>
    <row r="171" ht="15.75" customHeight="1">
      <c r="A171" s="11">
        <v>308.0</v>
      </c>
      <c r="B171" s="12" t="s">
        <v>8896</v>
      </c>
      <c r="C171" s="11" t="s">
        <v>1531</v>
      </c>
      <c r="D171" s="11" t="s">
        <v>8897</v>
      </c>
      <c r="E171" s="31" t="s">
        <v>5208</v>
      </c>
      <c r="F171" s="31" t="s">
        <v>5209</v>
      </c>
      <c r="G171" s="31" t="s">
        <v>5210</v>
      </c>
      <c r="H171" s="31" t="s">
        <v>44</v>
      </c>
      <c r="I171" s="31" t="s">
        <v>421</v>
      </c>
      <c r="J171" s="31">
        <v>8.489448629E9</v>
      </c>
      <c r="K171" s="11" t="s">
        <v>6982</v>
      </c>
      <c r="L171" s="11" t="s">
        <v>6983</v>
      </c>
      <c r="M171" s="11" t="s">
        <v>8898</v>
      </c>
      <c r="N171" s="11" t="s">
        <v>8898</v>
      </c>
      <c r="O171" s="11">
        <v>90.0</v>
      </c>
      <c r="P171" s="11" t="s">
        <v>8899</v>
      </c>
      <c r="Q171" s="11">
        <v>60.0</v>
      </c>
      <c r="R171" s="11" t="s">
        <v>8900</v>
      </c>
      <c r="S171" s="11">
        <v>10.0</v>
      </c>
      <c r="T171" s="11" t="s">
        <v>8901</v>
      </c>
      <c r="U171" s="11" t="s">
        <v>8902</v>
      </c>
      <c r="V171" s="11">
        <v>0.0</v>
      </c>
      <c r="W171" s="11" t="s">
        <v>8903</v>
      </c>
      <c r="X171" s="11">
        <v>0.0</v>
      </c>
      <c r="Y171" s="11" t="s">
        <v>6991</v>
      </c>
      <c r="Z171" s="11">
        <v>0.0</v>
      </c>
      <c r="AA171" s="11" t="s">
        <v>7078</v>
      </c>
      <c r="AB171" s="11">
        <v>0.0</v>
      </c>
      <c r="AC171" s="11" t="s">
        <v>8904</v>
      </c>
      <c r="AD171" s="13" t="s">
        <v>7420</v>
      </c>
      <c r="AE171" s="11"/>
      <c r="AF171" s="11">
        <f>O171+Q171+S171+V171+X171+Z171+AB171+AE171</f>
        <v>160</v>
      </c>
      <c r="AG171" s="11"/>
      <c r="AH171" s="11"/>
    </row>
    <row r="172" ht="15.75" customHeight="1">
      <c r="A172" s="11">
        <v>330.0</v>
      </c>
      <c r="B172" s="12" t="s">
        <v>8905</v>
      </c>
      <c r="C172" s="11" t="s">
        <v>2140</v>
      </c>
      <c r="D172" s="11" t="s">
        <v>8906</v>
      </c>
      <c r="E172" s="21" t="s">
        <v>2117</v>
      </c>
      <c r="F172" s="21" t="s">
        <v>68</v>
      </c>
      <c r="G172" s="21" t="s">
        <v>2118</v>
      </c>
      <c r="H172" s="21" t="s">
        <v>56</v>
      </c>
      <c r="I172" s="21" t="s">
        <v>434</v>
      </c>
      <c r="J172" s="31">
        <v>9.821433799E9</v>
      </c>
      <c r="K172" s="11" t="s">
        <v>7086</v>
      </c>
      <c r="L172" s="11" t="s">
        <v>7003</v>
      </c>
      <c r="M172" s="11" t="s">
        <v>8907</v>
      </c>
      <c r="N172" s="11" t="s">
        <v>8908</v>
      </c>
      <c r="O172" s="11">
        <v>50.0</v>
      </c>
      <c r="P172" s="11" t="s">
        <v>8019</v>
      </c>
      <c r="Q172" s="11">
        <v>30.0</v>
      </c>
      <c r="R172" s="11" t="s">
        <v>8020</v>
      </c>
      <c r="S172" s="11">
        <v>20.0</v>
      </c>
      <c r="T172" s="11" t="s">
        <v>8021</v>
      </c>
      <c r="U172" s="11" t="s">
        <v>8909</v>
      </c>
      <c r="V172" s="11">
        <v>10.0</v>
      </c>
      <c r="W172" s="11" t="s">
        <v>8910</v>
      </c>
      <c r="X172" s="11">
        <v>20.0</v>
      </c>
      <c r="Y172" s="11" t="s">
        <v>7193</v>
      </c>
      <c r="Z172" s="11">
        <v>5.0</v>
      </c>
      <c r="AA172" s="13" t="s">
        <v>8911</v>
      </c>
      <c r="AB172" s="11">
        <v>5.0</v>
      </c>
      <c r="AC172" s="11" t="s">
        <v>8024</v>
      </c>
      <c r="AD172" s="13" t="s">
        <v>6994</v>
      </c>
      <c r="AE172" s="11"/>
      <c r="AF172" s="11">
        <f>O172+Q172+S172+V172+X172+Z172+AB172</f>
        <v>140</v>
      </c>
      <c r="AG172" s="11"/>
      <c r="AH172" s="11"/>
    </row>
    <row r="173" ht="15.75" customHeight="1">
      <c r="A173" s="11">
        <v>297.0</v>
      </c>
      <c r="B173" s="12" t="s">
        <v>8912</v>
      </c>
      <c r="C173" s="11"/>
      <c r="D173" s="11" t="s">
        <v>8913</v>
      </c>
      <c r="E173" s="21" t="s">
        <v>367</v>
      </c>
      <c r="F173" s="21" t="s">
        <v>4163</v>
      </c>
      <c r="G173" s="21" t="s">
        <v>4164</v>
      </c>
      <c r="H173" s="21" t="s">
        <v>26</v>
      </c>
      <c r="I173" s="21" t="s">
        <v>3870</v>
      </c>
      <c r="J173" s="31">
        <v>6.387307732E9</v>
      </c>
      <c r="K173" s="11" t="s">
        <v>6982</v>
      </c>
      <c r="L173" s="11" t="s">
        <v>6983</v>
      </c>
      <c r="M173" s="11" t="s">
        <v>8914</v>
      </c>
      <c r="N173" s="11" t="s">
        <v>8915</v>
      </c>
      <c r="O173" s="11">
        <v>50.0</v>
      </c>
      <c r="P173" s="11" t="s">
        <v>8916</v>
      </c>
      <c r="Q173" s="11">
        <v>25.0</v>
      </c>
      <c r="R173" s="11" t="s">
        <v>8917</v>
      </c>
      <c r="S173" s="11">
        <v>25.0</v>
      </c>
      <c r="T173" s="11" t="s">
        <v>8918</v>
      </c>
      <c r="U173" s="11" t="s">
        <v>8919</v>
      </c>
      <c r="V173" s="11">
        <v>25.0</v>
      </c>
      <c r="W173" s="11" t="s">
        <v>8920</v>
      </c>
      <c r="X173" s="11">
        <v>50.0</v>
      </c>
      <c r="Y173" s="11" t="s">
        <v>6991</v>
      </c>
      <c r="Z173" s="11">
        <v>10.0</v>
      </c>
      <c r="AA173" s="11" t="s">
        <v>7078</v>
      </c>
      <c r="AB173" s="11">
        <v>0.0</v>
      </c>
      <c r="AC173" s="11" t="s">
        <v>8921</v>
      </c>
      <c r="AD173" s="13" t="s">
        <v>6994</v>
      </c>
      <c r="AE173" s="11"/>
      <c r="AF173" s="11">
        <f t="shared" ref="AF173:AF175" si="27">AE173+AB173+Z173+X173+V173+S173+Q173+O173</f>
        <v>185</v>
      </c>
      <c r="AG173" s="11"/>
      <c r="AH173" s="11"/>
    </row>
    <row r="174" ht="15.75" customHeight="1">
      <c r="A174" s="11">
        <v>344.0</v>
      </c>
      <c r="B174" s="12" t="s">
        <v>8922</v>
      </c>
      <c r="C174" s="11"/>
      <c r="D174" s="11" t="s">
        <v>8923</v>
      </c>
      <c r="E174" s="21" t="s">
        <v>8924</v>
      </c>
      <c r="F174" s="21" t="s">
        <v>8925</v>
      </c>
      <c r="G174" s="21" t="s">
        <v>8926</v>
      </c>
      <c r="H174" s="21" t="s">
        <v>56</v>
      </c>
      <c r="I174" s="21" t="s">
        <v>195</v>
      </c>
      <c r="J174" s="31">
        <v>9.167782206E9</v>
      </c>
      <c r="K174" s="11" t="s">
        <v>8016</v>
      </c>
      <c r="L174" s="11" t="s">
        <v>7003</v>
      </c>
      <c r="M174" s="11" t="s">
        <v>8927</v>
      </c>
      <c r="N174" s="11" t="s">
        <v>8928</v>
      </c>
      <c r="O174" s="11">
        <v>25.0</v>
      </c>
      <c r="P174" s="11" t="s">
        <v>8929</v>
      </c>
      <c r="Q174" s="11">
        <v>25.0</v>
      </c>
      <c r="R174" s="11" t="s">
        <v>8930</v>
      </c>
      <c r="S174" s="11">
        <v>25.0</v>
      </c>
      <c r="T174" s="11" t="s">
        <v>8931</v>
      </c>
      <c r="U174" s="11" t="s">
        <v>8932</v>
      </c>
      <c r="V174" s="11">
        <v>10.0</v>
      </c>
      <c r="W174" s="11" t="s">
        <v>8933</v>
      </c>
      <c r="X174" s="11">
        <v>0.0</v>
      </c>
      <c r="Y174" s="11" t="s">
        <v>6991</v>
      </c>
      <c r="Z174" s="11">
        <v>0.0</v>
      </c>
      <c r="AA174" s="13" t="s">
        <v>8934</v>
      </c>
      <c r="AB174" s="19">
        <v>25.0</v>
      </c>
      <c r="AC174" s="11" t="s">
        <v>8935</v>
      </c>
      <c r="AD174" s="13" t="s">
        <v>6994</v>
      </c>
      <c r="AE174" s="11"/>
      <c r="AF174" s="11">
        <f t="shared" si="27"/>
        <v>110</v>
      </c>
      <c r="AG174" s="11"/>
      <c r="AH174" s="11">
        <f>AE174+AB174+Z175+X175+V175+S175+Q175+O175</f>
        <v>410</v>
      </c>
    </row>
    <row r="175" ht="15.75" customHeight="1">
      <c r="A175" s="11">
        <v>88.0</v>
      </c>
      <c r="B175" s="12" t="s">
        <v>8936</v>
      </c>
      <c r="C175" s="11"/>
      <c r="D175" s="11" t="s">
        <v>8937</v>
      </c>
      <c r="E175" s="11" t="s">
        <v>1203</v>
      </c>
      <c r="F175" s="11" t="s">
        <v>382</v>
      </c>
      <c r="G175" s="11" t="s">
        <v>4586</v>
      </c>
      <c r="H175" s="11" t="s">
        <v>7047</v>
      </c>
      <c r="I175" s="11" t="s">
        <v>4779</v>
      </c>
      <c r="J175" s="11">
        <v>7.415936009E9</v>
      </c>
      <c r="K175" s="11"/>
      <c r="L175" s="11" t="s">
        <v>7003</v>
      </c>
      <c r="M175" s="11" t="s">
        <v>8938</v>
      </c>
      <c r="N175" s="11" t="s">
        <v>8939</v>
      </c>
      <c r="O175" s="11">
        <v>75.0</v>
      </c>
      <c r="P175" s="11" t="s">
        <v>8940</v>
      </c>
      <c r="Q175" s="11">
        <v>50.0</v>
      </c>
      <c r="R175" s="11" t="s">
        <v>8941</v>
      </c>
      <c r="S175" s="11">
        <v>70.0</v>
      </c>
      <c r="T175" s="11" t="s">
        <v>8942</v>
      </c>
      <c r="U175" s="11" t="s">
        <v>8943</v>
      </c>
      <c r="V175" s="11">
        <v>65.0</v>
      </c>
      <c r="W175" s="11" t="s">
        <v>8944</v>
      </c>
      <c r="X175" s="11">
        <v>75.0</v>
      </c>
      <c r="Y175" s="11" t="s">
        <v>7027</v>
      </c>
      <c r="Z175" s="11">
        <v>50.0</v>
      </c>
      <c r="AA175" s="13" t="s">
        <v>8945</v>
      </c>
      <c r="AB175" s="11"/>
      <c r="AC175" s="11" t="s">
        <v>8946</v>
      </c>
      <c r="AD175" s="13" t="s">
        <v>6994</v>
      </c>
      <c r="AE175" s="11"/>
      <c r="AF175" s="11">
        <f t="shared" si="27"/>
        <v>385</v>
      </c>
      <c r="AG175" s="11" t="s">
        <v>8947</v>
      </c>
      <c r="AH175" s="11"/>
    </row>
    <row r="176" ht="15.75" customHeight="1">
      <c r="A176" s="11">
        <v>353.0</v>
      </c>
      <c r="B176" s="12" t="s">
        <v>8948</v>
      </c>
      <c r="C176" s="11"/>
      <c r="D176" s="11" t="s">
        <v>8949</v>
      </c>
      <c r="E176" s="31" t="s">
        <v>1534</v>
      </c>
      <c r="F176" s="31" t="s">
        <v>6128</v>
      </c>
      <c r="G176" s="31" t="s">
        <v>6122</v>
      </c>
      <c r="H176" s="31" t="s">
        <v>26</v>
      </c>
      <c r="I176" s="31" t="s">
        <v>6123</v>
      </c>
      <c r="J176" s="31">
        <v>8.767086171E9</v>
      </c>
      <c r="K176" s="11" t="s">
        <v>8064</v>
      </c>
      <c r="L176" s="11" t="s">
        <v>6983</v>
      </c>
      <c r="M176" s="11" t="s">
        <v>8950</v>
      </c>
      <c r="N176" s="11" t="s">
        <v>8951</v>
      </c>
      <c r="O176" s="11">
        <v>10.0</v>
      </c>
      <c r="P176" s="11" t="s">
        <v>8952</v>
      </c>
      <c r="Q176" s="11">
        <v>10.0</v>
      </c>
      <c r="R176" s="11" t="s">
        <v>8953</v>
      </c>
      <c r="S176" s="11">
        <v>10.0</v>
      </c>
      <c r="T176" s="11" t="s">
        <v>8954</v>
      </c>
      <c r="U176" s="11" t="s">
        <v>8955</v>
      </c>
      <c r="V176" s="11">
        <v>25.0</v>
      </c>
      <c r="W176" s="11" t="s">
        <v>8956</v>
      </c>
      <c r="X176" s="11">
        <v>10.0</v>
      </c>
      <c r="Y176" s="11" t="s">
        <v>7027</v>
      </c>
      <c r="Z176" s="11">
        <v>25.0</v>
      </c>
      <c r="AA176" s="13" t="s">
        <v>8957</v>
      </c>
      <c r="AB176" s="11">
        <v>0.0</v>
      </c>
      <c r="AC176" s="11" t="s">
        <v>8958</v>
      </c>
      <c r="AD176" s="13" t="s">
        <v>6994</v>
      </c>
      <c r="AE176" s="11">
        <v>0.0</v>
      </c>
      <c r="AF176" s="11">
        <f>O176+Q176+S176+V176+X176+Z176+AB176+AE176</f>
        <v>90</v>
      </c>
      <c r="AG176" s="11" t="s">
        <v>8959</v>
      </c>
      <c r="AH176" s="11"/>
    </row>
    <row r="177" ht="15.75" customHeight="1">
      <c r="A177" s="11">
        <v>279.0</v>
      </c>
      <c r="B177" s="12" t="s">
        <v>8960</v>
      </c>
      <c r="C177" s="11" t="s">
        <v>7168</v>
      </c>
      <c r="D177" s="11" t="s">
        <v>8961</v>
      </c>
      <c r="E177" s="21" t="s">
        <v>1433</v>
      </c>
      <c r="F177" s="21" t="s">
        <v>75</v>
      </c>
      <c r="G177" s="21" t="s">
        <v>2466</v>
      </c>
      <c r="H177" s="21" t="s">
        <v>102</v>
      </c>
      <c r="I177" s="21" t="s">
        <v>2467</v>
      </c>
      <c r="J177" s="31">
        <v>9.730764705E9</v>
      </c>
      <c r="K177" s="11" t="s">
        <v>8064</v>
      </c>
      <c r="L177" s="11" t="s">
        <v>6983</v>
      </c>
      <c r="M177" s="11" t="s">
        <v>8962</v>
      </c>
      <c r="N177" s="11" t="s">
        <v>8963</v>
      </c>
      <c r="O177" s="11">
        <v>50.0</v>
      </c>
      <c r="P177" s="11" t="s">
        <v>8964</v>
      </c>
      <c r="Q177" s="11">
        <v>25.0</v>
      </c>
      <c r="R177" s="11" t="s">
        <v>8965</v>
      </c>
      <c r="S177" s="11">
        <v>25.0</v>
      </c>
      <c r="T177" s="11" t="s">
        <v>8966</v>
      </c>
      <c r="U177" s="11" t="s">
        <v>8967</v>
      </c>
      <c r="V177" s="11">
        <v>25.0</v>
      </c>
      <c r="W177" s="11" t="s">
        <v>8968</v>
      </c>
      <c r="X177" s="11">
        <v>25.0</v>
      </c>
      <c r="Y177" s="11" t="s">
        <v>6991</v>
      </c>
      <c r="Z177" s="11">
        <v>25.0</v>
      </c>
      <c r="AA177" s="13" t="s">
        <v>8969</v>
      </c>
      <c r="AB177" s="11">
        <v>25.0</v>
      </c>
      <c r="AC177" s="11" t="s">
        <v>8970</v>
      </c>
      <c r="AD177" s="13" t="s">
        <v>6994</v>
      </c>
      <c r="AE177" s="11"/>
      <c r="AF177" s="11">
        <f>AB177+Z177+X177+V177+S177+Q177+O177</f>
        <v>200</v>
      </c>
      <c r="AG177" s="11"/>
      <c r="AH177" s="11"/>
    </row>
    <row r="178" ht="15.75" customHeight="1">
      <c r="A178" s="11">
        <v>282.0</v>
      </c>
      <c r="B178" s="12" t="s">
        <v>8971</v>
      </c>
      <c r="C178" s="11" t="s">
        <v>7043</v>
      </c>
      <c r="D178" s="11" t="s">
        <v>8972</v>
      </c>
      <c r="E178" s="21" t="s">
        <v>4348</v>
      </c>
      <c r="F178" s="21" t="s">
        <v>3739</v>
      </c>
      <c r="G178" s="21" t="s">
        <v>4349</v>
      </c>
      <c r="H178" s="21" t="s">
        <v>26</v>
      </c>
      <c r="I178" s="21" t="s">
        <v>4350</v>
      </c>
      <c r="J178" s="31">
        <v>9.727747179E9</v>
      </c>
      <c r="K178" s="11" t="s">
        <v>6982</v>
      </c>
      <c r="L178" s="11" t="s">
        <v>6983</v>
      </c>
      <c r="M178" s="11" t="s">
        <v>8973</v>
      </c>
      <c r="N178" s="11" t="s">
        <v>8974</v>
      </c>
      <c r="O178" s="11">
        <v>25.0</v>
      </c>
      <c r="P178" s="11" t="s">
        <v>8975</v>
      </c>
      <c r="Q178" s="11">
        <v>25.0</v>
      </c>
      <c r="R178" s="11" t="s">
        <v>8976</v>
      </c>
      <c r="S178" s="11">
        <v>25.0</v>
      </c>
      <c r="T178" s="11" t="s">
        <v>8977</v>
      </c>
      <c r="U178" s="11" t="s">
        <v>8978</v>
      </c>
      <c r="V178" s="11">
        <v>50.0</v>
      </c>
      <c r="W178" s="11" t="s">
        <v>8979</v>
      </c>
      <c r="X178" s="11">
        <v>50.0</v>
      </c>
      <c r="Y178" s="11" t="s">
        <v>7027</v>
      </c>
      <c r="Z178" s="11">
        <v>25.0</v>
      </c>
      <c r="AA178" s="11" t="s">
        <v>8980</v>
      </c>
      <c r="AB178" s="11"/>
      <c r="AC178" s="11" t="s">
        <v>8981</v>
      </c>
      <c r="AD178" s="13" t="s">
        <v>6994</v>
      </c>
      <c r="AE178" s="11"/>
      <c r="AF178" s="11">
        <f>AE178+AB178+Z178+X178+V178+S178+Q178+O178</f>
        <v>200</v>
      </c>
      <c r="AG178" s="11"/>
      <c r="AH178" s="11"/>
    </row>
    <row r="179" ht="15.75" customHeight="1">
      <c r="A179" s="11">
        <v>275.0</v>
      </c>
      <c r="B179" s="12" t="s">
        <v>8982</v>
      </c>
      <c r="C179" s="11" t="s">
        <v>4344</v>
      </c>
      <c r="D179" s="15" t="s">
        <v>8983</v>
      </c>
      <c r="E179" s="21" t="s">
        <v>5467</v>
      </c>
      <c r="F179" s="21" t="s">
        <v>49</v>
      </c>
      <c r="G179" s="21" t="s">
        <v>5072</v>
      </c>
      <c r="H179" s="21" t="s">
        <v>56</v>
      </c>
      <c r="I179" s="21" t="s">
        <v>4276</v>
      </c>
      <c r="J179" s="27">
        <v>9.100880303E9</v>
      </c>
      <c r="K179" s="11"/>
      <c r="L179" s="11" t="s">
        <v>7003</v>
      </c>
      <c r="M179" s="11" t="s">
        <v>8984</v>
      </c>
      <c r="N179" s="11" t="s">
        <v>8985</v>
      </c>
      <c r="O179" s="11">
        <v>50.0</v>
      </c>
      <c r="P179" s="11" t="s">
        <v>8986</v>
      </c>
      <c r="Q179" s="11">
        <v>25.0</v>
      </c>
      <c r="R179" s="11" t="s">
        <v>8987</v>
      </c>
      <c r="S179" s="11">
        <v>25.0</v>
      </c>
      <c r="T179" s="11" t="s">
        <v>8988</v>
      </c>
      <c r="U179" s="11" t="s">
        <v>8989</v>
      </c>
      <c r="V179" s="11">
        <v>50.0</v>
      </c>
      <c r="W179" s="11" t="s">
        <v>8990</v>
      </c>
      <c r="X179" s="11">
        <v>25.0</v>
      </c>
      <c r="Y179" s="11" t="s">
        <v>6991</v>
      </c>
      <c r="Z179" s="11">
        <v>25.0</v>
      </c>
      <c r="AA179" s="19" t="s">
        <v>7078</v>
      </c>
      <c r="AB179" s="11">
        <v>0.0</v>
      </c>
      <c r="AC179" s="11" t="s">
        <v>7221</v>
      </c>
      <c r="AD179" s="13" t="s">
        <v>6994</v>
      </c>
      <c r="AE179" s="11">
        <v>0.0</v>
      </c>
      <c r="AF179" s="11">
        <f t="shared" ref="AF179:AF181" si="28">O179+Q179+S179+V179+X179+Z179+AB179+AE179</f>
        <v>200</v>
      </c>
      <c r="AG179" s="11" t="s">
        <v>8991</v>
      </c>
      <c r="AH179" s="11"/>
    </row>
    <row r="180" ht="15.75" customHeight="1">
      <c r="A180" s="11">
        <v>67.0</v>
      </c>
      <c r="B180" s="12" t="s">
        <v>8992</v>
      </c>
      <c r="C180" s="11"/>
      <c r="D180" s="11" t="s">
        <v>8993</v>
      </c>
      <c r="E180" s="11" t="s">
        <v>8994</v>
      </c>
      <c r="F180" s="11" t="s">
        <v>6943</v>
      </c>
      <c r="G180" s="11" t="s">
        <v>6954</v>
      </c>
      <c r="H180" s="11" t="s">
        <v>6981</v>
      </c>
      <c r="I180" s="11" t="s">
        <v>434</v>
      </c>
      <c r="J180" s="11">
        <v>9.987476732E9</v>
      </c>
      <c r="K180" s="11"/>
      <c r="L180" s="11" t="s">
        <v>7003</v>
      </c>
      <c r="M180" s="11" t="s">
        <v>8995</v>
      </c>
      <c r="N180" s="11" t="s">
        <v>8996</v>
      </c>
      <c r="O180" s="11">
        <v>80.0</v>
      </c>
      <c r="P180" s="11" t="s">
        <v>8997</v>
      </c>
      <c r="Q180" s="11">
        <v>70.0</v>
      </c>
      <c r="R180" s="11" t="s">
        <v>8998</v>
      </c>
      <c r="S180" s="11">
        <v>70.0</v>
      </c>
      <c r="T180" s="11" t="s">
        <v>8999</v>
      </c>
      <c r="U180" s="11" t="s">
        <v>9000</v>
      </c>
      <c r="V180" s="11">
        <v>80.0</v>
      </c>
      <c r="W180" s="11" t="s">
        <v>9001</v>
      </c>
      <c r="X180" s="11">
        <v>70.0</v>
      </c>
      <c r="Y180" s="11" t="s">
        <v>6991</v>
      </c>
      <c r="Z180" s="11">
        <v>40.0</v>
      </c>
      <c r="AA180" s="11" t="s">
        <v>7078</v>
      </c>
      <c r="AB180" s="11">
        <v>0.0</v>
      </c>
      <c r="AC180" s="11" t="s">
        <v>9002</v>
      </c>
      <c r="AD180" s="13" t="s">
        <v>6994</v>
      </c>
      <c r="AE180" s="11"/>
      <c r="AF180" s="11">
        <f t="shared" si="28"/>
        <v>410</v>
      </c>
      <c r="AG180" s="11"/>
      <c r="AH180" s="11"/>
    </row>
    <row r="181" ht="15.75" customHeight="1">
      <c r="A181" s="11">
        <v>86.0</v>
      </c>
      <c r="B181" s="12" t="s">
        <v>9003</v>
      </c>
      <c r="C181" s="11"/>
      <c r="D181" s="11" t="s">
        <v>9004</v>
      </c>
      <c r="E181" s="31" t="s">
        <v>3014</v>
      </c>
      <c r="F181" s="31" t="s">
        <v>3023</v>
      </c>
      <c r="G181" s="31" t="s">
        <v>6529</v>
      </c>
      <c r="H181" s="31" t="s">
        <v>26</v>
      </c>
      <c r="I181" s="31" t="s">
        <v>6532</v>
      </c>
      <c r="J181" s="31">
        <v>495001.0</v>
      </c>
      <c r="K181" s="11"/>
      <c r="L181" s="11" t="s">
        <v>6983</v>
      </c>
      <c r="M181" s="11" t="s">
        <v>9005</v>
      </c>
      <c r="N181" s="11" t="s">
        <v>9006</v>
      </c>
      <c r="O181" s="11">
        <v>80.0</v>
      </c>
      <c r="P181" s="11" t="s">
        <v>9007</v>
      </c>
      <c r="Q181" s="11">
        <v>50.0</v>
      </c>
      <c r="R181" s="11" t="s">
        <v>9008</v>
      </c>
      <c r="S181" s="11">
        <v>70.0</v>
      </c>
      <c r="T181" s="11" t="s">
        <v>9009</v>
      </c>
      <c r="U181" s="11" t="s">
        <v>9010</v>
      </c>
      <c r="V181" s="11">
        <v>80.0</v>
      </c>
      <c r="W181" s="11" t="s">
        <v>9011</v>
      </c>
      <c r="X181" s="11">
        <v>80.0</v>
      </c>
      <c r="Y181" s="11" t="s">
        <v>7193</v>
      </c>
      <c r="Z181" s="11">
        <v>30.0</v>
      </c>
      <c r="AA181" s="13" t="s">
        <v>9012</v>
      </c>
      <c r="AB181" s="19">
        <v>0.0</v>
      </c>
      <c r="AC181" s="11" t="s">
        <v>9013</v>
      </c>
      <c r="AD181" s="13" t="s">
        <v>6994</v>
      </c>
      <c r="AE181" s="11"/>
      <c r="AF181" s="11">
        <f t="shared" si="28"/>
        <v>390</v>
      </c>
      <c r="AG181" s="11"/>
      <c r="AH181" s="11"/>
    </row>
    <row r="182" ht="15.75" customHeight="1">
      <c r="A182" s="11">
        <v>152.0</v>
      </c>
      <c r="B182" s="12" t="s">
        <v>9014</v>
      </c>
      <c r="C182" s="12" t="s">
        <v>7168</v>
      </c>
      <c r="D182" s="11" t="s">
        <v>9015</v>
      </c>
      <c r="E182" s="31" t="s">
        <v>6516</v>
      </c>
      <c r="F182" s="31" t="s">
        <v>6517</v>
      </c>
      <c r="G182" s="31" t="s">
        <v>6374</v>
      </c>
      <c r="H182" s="31" t="s">
        <v>9</v>
      </c>
      <c r="I182" s="31" t="s">
        <v>494</v>
      </c>
      <c r="J182" s="31">
        <v>8.076459495E9</v>
      </c>
      <c r="K182" s="11" t="s">
        <v>6982</v>
      </c>
      <c r="L182" s="11" t="s">
        <v>6983</v>
      </c>
      <c r="M182" s="11" t="s">
        <v>9016</v>
      </c>
      <c r="N182" s="11" t="s">
        <v>9017</v>
      </c>
      <c r="O182" s="11">
        <v>50.0</v>
      </c>
      <c r="P182" s="11" t="s">
        <v>9018</v>
      </c>
      <c r="Q182" s="11">
        <v>50.0</v>
      </c>
      <c r="R182" s="11" t="s">
        <v>9019</v>
      </c>
      <c r="S182" s="11">
        <v>50.0</v>
      </c>
      <c r="T182" s="11" t="s">
        <v>9020</v>
      </c>
      <c r="U182" s="11" t="s">
        <v>9021</v>
      </c>
      <c r="V182" s="11">
        <v>50.0</v>
      </c>
      <c r="W182" s="11" t="s">
        <v>9022</v>
      </c>
      <c r="X182" s="11">
        <v>50.0</v>
      </c>
      <c r="Y182" s="11" t="s">
        <v>6991</v>
      </c>
      <c r="Z182" s="11">
        <v>25.0</v>
      </c>
      <c r="AA182" s="13" t="s">
        <v>9023</v>
      </c>
      <c r="AB182" s="11">
        <v>25.0</v>
      </c>
      <c r="AC182" s="11" t="s">
        <v>9024</v>
      </c>
      <c r="AD182" s="13" t="s">
        <v>6994</v>
      </c>
      <c r="AE182" s="11"/>
      <c r="AF182" s="11">
        <f>AB182+Z182+X182+V182+S182+Q182+O182</f>
        <v>300</v>
      </c>
      <c r="AG182" s="11"/>
      <c r="AH182" s="11"/>
    </row>
    <row r="183" ht="15.75" customHeight="1">
      <c r="A183" s="11">
        <v>232.0</v>
      </c>
      <c r="B183" s="12" t="s">
        <v>9025</v>
      </c>
      <c r="C183" s="11" t="s">
        <v>7043</v>
      </c>
      <c r="D183" s="11" t="s">
        <v>9026</v>
      </c>
      <c r="E183" s="11" t="s">
        <v>6953</v>
      </c>
      <c r="F183" s="11" t="s">
        <v>9027</v>
      </c>
      <c r="G183" s="11" t="s">
        <v>9028</v>
      </c>
      <c r="H183" s="11" t="s">
        <v>7047</v>
      </c>
      <c r="I183" s="11"/>
      <c r="J183" s="11"/>
      <c r="K183" s="11" t="s">
        <v>7411</v>
      </c>
      <c r="L183" s="11" t="s">
        <v>6983</v>
      </c>
      <c r="M183" s="11" t="s">
        <v>9029</v>
      </c>
      <c r="N183" s="11" t="s">
        <v>9030</v>
      </c>
      <c r="O183" s="11">
        <v>60.0</v>
      </c>
      <c r="P183" s="11" t="s">
        <v>9031</v>
      </c>
      <c r="Q183" s="11">
        <v>50.0</v>
      </c>
      <c r="R183" s="11" t="s">
        <v>9032</v>
      </c>
      <c r="S183" s="11">
        <v>80.0</v>
      </c>
      <c r="T183" s="11" t="s">
        <v>9033</v>
      </c>
      <c r="U183" s="11" t="s">
        <v>9034</v>
      </c>
      <c r="V183" s="11">
        <v>10.0</v>
      </c>
      <c r="W183" s="11" t="s">
        <v>9035</v>
      </c>
      <c r="X183" s="11">
        <v>10.0</v>
      </c>
      <c r="Y183" s="11" t="s">
        <v>6991</v>
      </c>
      <c r="Z183" s="11">
        <v>10.0</v>
      </c>
      <c r="AA183" s="13" t="s">
        <v>9036</v>
      </c>
      <c r="AB183" s="11">
        <v>10.0</v>
      </c>
      <c r="AC183" s="11" t="s">
        <v>9037</v>
      </c>
      <c r="AD183" s="13" t="s">
        <v>6994</v>
      </c>
      <c r="AE183" s="11"/>
      <c r="AF183" s="11">
        <f>AE183+AB183+Z183+X183+V183+S183+Q183+O183</f>
        <v>230</v>
      </c>
      <c r="AG183" s="11"/>
      <c r="AH183" s="11"/>
    </row>
    <row r="184" ht="15.75" customHeight="1">
      <c r="A184" s="11">
        <v>24.0</v>
      </c>
      <c r="B184" s="12" t="s">
        <v>9038</v>
      </c>
      <c r="C184" s="11" t="s">
        <v>7168</v>
      </c>
      <c r="D184" s="11" t="s">
        <v>9039</v>
      </c>
      <c r="E184" s="21" t="s">
        <v>3531</v>
      </c>
      <c r="F184" s="21" t="s">
        <v>1235</v>
      </c>
      <c r="G184" s="21" t="s">
        <v>4483</v>
      </c>
      <c r="H184" s="21" t="s">
        <v>29</v>
      </c>
      <c r="I184" s="21" t="s">
        <v>494</v>
      </c>
      <c r="J184" s="31">
        <v>8.851359178E9</v>
      </c>
      <c r="K184" s="11" t="s">
        <v>6982</v>
      </c>
      <c r="L184" s="11" t="s">
        <v>6983</v>
      </c>
      <c r="M184" s="11" t="s">
        <v>9040</v>
      </c>
      <c r="N184" s="11" t="s">
        <v>9041</v>
      </c>
      <c r="O184" s="11">
        <v>100.0</v>
      </c>
      <c r="P184" s="11">
        <v>75.0</v>
      </c>
      <c r="Q184" s="11"/>
      <c r="R184" s="11" t="s">
        <v>9042</v>
      </c>
      <c r="S184" s="11">
        <v>100.0</v>
      </c>
      <c r="T184" s="11" t="s">
        <v>9043</v>
      </c>
      <c r="U184" s="11" t="s">
        <v>9043</v>
      </c>
      <c r="V184" s="11">
        <v>100.0</v>
      </c>
      <c r="W184" s="11" t="s">
        <v>9044</v>
      </c>
      <c r="X184" s="11">
        <v>50.0</v>
      </c>
      <c r="Y184" s="11" t="s">
        <v>7027</v>
      </c>
      <c r="Z184" s="11">
        <v>50.0</v>
      </c>
      <c r="AA184" s="13" t="s">
        <v>9045</v>
      </c>
      <c r="AB184" s="11">
        <v>75.0</v>
      </c>
      <c r="AC184" s="11" t="s">
        <v>9046</v>
      </c>
      <c r="AD184" s="13" t="s">
        <v>6994</v>
      </c>
      <c r="AE184" s="11"/>
      <c r="AF184" s="11">
        <f>AB184+Z184+X184+V184+S184+Q184+O184</f>
        <v>475</v>
      </c>
      <c r="AG184" s="11"/>
      <c r="AH184" s="11"/>
    </row>
    <row r="185" ht="15.75" customHeight="1">
      <c r="A185" s="11">
        <v>21.0</v>
      </c>
      <c r="B185" s="12" t="s">
        <v>9047</v>
      </c>
      <c r="C185" s="11"/>
      <c r="D185" s="11" t="s">
        <v>9048</v>
      </c>
      <c r="E185" s="31" t="s">
        <v>4589</v>
      </c>
      <c r="F185" s="31" t="s">
        <v>4590</v>
      </c>
      <c r="G185" s="31" t="s">
        <v>493</v>
      </c>
      <c r="H185" s="31" t="s">
        <v>56</v>
      </c>
      <c r="I185" s="31" t="s">
        <v>494</v>
      </c>
      <c r="J185" s="31">
        <v>9.711604647E9</v>
      </c>
      <c r="K185" s="11" t="s">
        <v>6982</v>
      </c>
      <c r="L185" s="11" t="s">
        <v>6983</v>
      </c>
      <c r="M185" s="11" t="s">
        <v>9049</v>
      </c>
      <c r="N185" s="11" t="s">
        <v>9050</v>
      </c>
      <c r="O185" s="11">
        <v>80.0</v>
      </c>
      <c r="P185" s="11" t="s">
        <v>9051</v>
      </c>
      <c r="Q185" s="11">
        <v>80.0</v>
      </c>
      <c r="R185" s="11" t="s">
        <v>9052</v>
      </c>
      <c r="S185" s="11">
        <v>100.0</v>
      </c>
      <c r="T185" s="11" t="s">
        <v>9053</v>
      </c>
      <c r="U185" s="11" t="s">
        <v>9054</v>
      </c>
      <c r="V185" s="11">
        <v>90.0</v>
      </c>
      <c r="W185" s="11" t="s">
        <v>9055</v>
      </c>
      <c r="X185" s="11">
        <v>90.0</v>
      </c>
      <c r="Y185" s="11" t="s">
        <v>6991</v>
      </c>
      <c r="Z185" s="11">
        <v>40.0</v>
      </c>
      <c r="AA185" s="11" t="s">
        <v>7078</v>
      </c>
      <c r="AB185" s="11"/>
      <c r="AC185" s="11" t="s">
        <v>9056</v>
      </c>
      <c r="AD185" s="13" t="s">
        <v>7504</v>
      </c>
      <c r="AE185" s="11"/>
      <c r="AF185" s="11">
        <f>AE185+AB185+Z185+X185+V185+S185+Q185+O185</f>
        <v>480</v>
      </c>
      <c r="AG185" s="20" t="s">
        <v>7140</v>
      </c>
      <c r="AH185" s="11"/>
    </row>
    <row r="186" ht="15.75" customHeight="1">
      <c r="A186" s="11">
        <v>288.0</v>
      </c>
      <c r="B186" s="12" t="s">
        <v>9057</v>
      </c>
      <c r="C186" s="11" t="s">
        <v>2140</v>
      </c>
      <c r="D186" s="11" t="s">
        <v>9058</v>
      </c>
      <c r="E186" s="21" t="s">
        <v>511</v>
      </c>
      <c r="F186" s="21" t="s">
        <v>4127</v>
      </c>
      <c r="G186" s="21" t="s">
        <v>2708</v>
      </c>
      <c r="H186" s="21" t="s">
        <v>9</v>
      </c>
      <c r="I186" s="21" t="s">
        <v>434</v>
      </c>
      <c r="J186" s="31">
        <v>9.769765539E9</v>
      </c>
      <c r="K186" s="11" t="s">
        <v>7086</v>
      </c>
      <c r="L186" s="11" t="s">
        <v>7003</v>
      </c>
      <c r="M186" s="11" t="s">
        <v>9059</v>
      </c>
      <c r="N186" s="11" t="s">
        <v>9060</v>
      </c>
      <c r="O186" s="11">
        <v>40.0</v>
      </c>
      <c r="P186" s="11" t="s">
        <v>9061</v>
      </c>
      <c r="Q186" s="11">
        <v>50.0</v>
      </c>
      <c r="R186" s="11" t="s">
        <v>9062</v>
      </c>
      <c r="S186" s="11">
        <v>40.0</v>
      </c>
      <c r="T186" s="11" t="s">
        <v>9063</v>
      </c>
      <c r="U186" s="11" t="s">
        <v>9063</v>
      </c>
      <c r="V186" s="11">
        <v>20.0</v>
      </c>
      <c r="W186" s="11" t="s">
        <v>9063</v>
      </c>
      <c r="X186" s="11">
        <v>20.0</v>
      </c>
      <c r="Y186" s="11" t="s">
        <v>6991</v>
      </c>
      <c r="Z186" s="11">
        <v>20.0</v>
      </c>
      <c r="AA186" s="13" t="s">
        <v>9064</v>
      </c>
      <c r="AB186" s="11">
        <v>5.0</v>
      </c>
      <c r="AC186" s="11" t="s">
        <v>9065</v>
      </c>
      <c r="AD186" s="13" t="s">
        <v>6994</v>
      </c>
      <c r="AE186" s="11"/>
      <c r="AF186" s="11">
        <f>O186+Q186+S186+V186+X186+Z186+AB186</f>
        <v>195</v>
      </c>
      <c r="AG186" s="11"/>
      <c r="AH186" s="11"/>
    </row>
    <row r="187" ht="15.75" customHeight="1">
      <c r="A187" s="11">
        <v>287.0</v>
      </c>
      <c r="B187" s="11" t="s">
        <v>9066</v>
      </c>
      <c r="C187" s="11"/>
      <c r="D187" s="11" t="s">
        <v>9067</v>
      </c>
      <c r="E187" s="31" t="s">
        <v>4768</v>
      </c>
      <c r="F187" s="31" t="s">
        <v>4759</v>
      </c>
      <c r="G187" s="31" t="s">
        <v>4477</v>
      </c>
      <c r="H187" s="31" t="s">
        <v>26</v>
      </c>
      <c r="I187" s="31" t="s">
        <v>4769</v>
      </c>
      <c r="J187" s="31">
        <v>9.81042068E9</v>
      </c>
      <c r="K187" s="11" t="s">
        <v>6982</v>
      </c>
      <c r="L187" s="11" t="s">
        <v>6983</v>
      </c>
      <c r="M187" s="11" t="s">
        <v>9068</v>
      </c>
      <c r="N187" s="11" t="s">
        <v>9069</v>
      </c>
      <c r="O187" s="11">
        <v>85.0</v>
      </c>
      <c r="P187" s="11" t="s">
        <v>9070</v>
      </c>
      <c r="Q187" s="11">
        <v>25.0</v>
      </c>
      <c r="R187" s="11" t="s">
        <v>9071</v>
      </c>
      <c r="S187" s="11">
        <v>25.0</v>
      </c>
      <c r="T187" s="11" t="s">
        <v>9072</v>
      </c>
      <c r="U187" s="11" t="s">
        <v>9073</v>
      </c>
      <c r="V187" s="11">
        <v>25.0</v>
      </c>
      <c r="W187" s="11" t="s">
        <v>9074</v>
      </c>
      <c r="X187" s="11">
        <v>25.0</v>
      </c>
      <c r="Y187" s="11" t="s">
        <v>7027</v>
      </c>
      <c r="Z187" s="11">
        <v>10.0</v>
      </c>
      <c r="AA187" s="11" t="s">
        <v>7078</v>
      </c>
      <c r="AB187" s="11">
        <v>0.0</v>
      </c>
      <c r="AC187" s="11" t="s">
        <v>9075</v>
      </c>
      <c r="AD187" s="13" t="s">
        <v>6994</v>
      </c>
      <c r="AE187" s="11"/>
      <c r="AF187" s="11">
        <f>AE187+AB187+Z187+X187+V187+S187+Q187+O187</f>
        <v>195</v>
      </c>
      <c r="AG187" s="11"/>
      <c r="AH187" s="11"/>
    </row>
    <row r="188" ht="15.75" customHeight="1">
      <c r="A188" s="11">
        <v>3.0</v>
      </c>
      <c r="B188" s="12" t="s">
        <v>9076</v>
      </c>
      <c r="C188" s="11"/>
      <c r="D188" s="11" t="s">
        <v>9077</v>
      </c>
      <c r="E188" s="31" t="s">
        <v>5678</v>
      </c>
      <c r="F188" s="31" t="s">
        <v>5746</v>
      </c>
      <c r="G188" s="31" t="s">
        <v>5747</v>
      </c>
      <c r="H188" s="31" t="s">
        <v>26</v>
      </c>
      <c r="I188" s="31" t="s">
        <v>402</v>
      </c>
      <c r="J188" s="31">
        <v>9.904235633E9</v>
      </c>
      <c r="K188" s="11" t="s">
        <v>7411</v>
      </c>
      <c r="L188" s="11" t="s">
        <v>6983</v>
      </c>
      <c r="M188" s="11" t="s">
        <v>9078</v>
      </c>
      <c r="N188" s="11" t="s">
        <v>9079</v>
      </c>
      <c r="O188" s="11">
        <v>80.0</v>
      </c>
      <c r="P188" s="11" t="s">
        <v>9080</v>
      </c>
      <c r="Q188" s="11">
        <v>60.0</v>
      </c>
      <c r="R188" s="11" t="s">
        <v>9081</v>
      </c>
      <c r="S188" s="11">
        <v>100.0</v>
      </c>
      <c r="T188" s="11" t="s">
        <v>9082</v>
      </c>
      <c r="U188" s="11" t="s">
        <v>9083</v>
      </c>
      <c r="V188" s="11">
        <v>90.0</v>
      </c>
      <c r="W188" s="11" t="s">
        <v>9084</v>
      </c>
      <c r="X188" s="11">
        <v>70.0</v>
      </c>
      <c r="Y188" s="11" t="s">
        <v>7193</v>
      </c>
      <c r="Z188" s="11">
        <v>90.0</v>
      </c>
      <c r="AA188" s="13" t="s">
        <v>9085</v>
      </c>
      <c r="AB188" s="19">
        <v>90.0</v>
      </c>
      <c r="AC188" s="11" t="s">
        <v>9086</v>
      </c>
      <c r="AD188" s="13" t="s">
        <v>6994</v>
      </c>
      <c r="AE188" s="11"/>
      <c r="AF188" s="11">
        <f>O188+Q188+S188+V188+X188+Z188+AB188+AE188</f>
        <v>580</v>
      </c>
      <c r="AG188" s="11"/>
      <c r="AH188" s="11"/>
    </row>
    <row r="189" ht="15.75" customHeight="1">
      <c r="A189" s="11">
        <v>389.0</v>
      </c>
      <c r="B189" s="12" t="s">
        <v>9087</v>
      </c>
      <c r="C189" s="11"/>
      <c r="D189" s="11" t="s">
        <v>9088</v>
      </c>
      <c r="E189" s="21" t="s">
        <v>1230</v>
      </c>
      <c r="F189" s="21" t="s">
        <v>6371</v>
      </c>
      <c r="G189" s="21" t="s">
        <v>6372</v>
      </c>
      <c r="H189" s="21" t="s">
        <v>9</v>
      </c>
      <c r="I189" s="21" t="s">
        <v>6373</v>
      </c>
      <c r="J189" s="31">
        <v>9.130248649E9</v>
      </c>
      <c r="K189" s="11" t="s">
        <v>8064</v>
      </c>
      <c r="L189" s="11" t="s">
        <v>6983</v>
      </c>
      <c r="M189" s="11" t="s">
        <v>9089</v>
      </c>
      <c r="N189" s="11" t="s">
        <v>9090</v>
      </c>
      <c r="O189" s="11"/>
      <c r="P189" s="11" t="s">
        <v>9091</v>
      </c>
      <c r="Q189" s="11"/>
      <c r="R189" s="11" t="s">
        <v>9092</v>
      </c>
      <c r="S189" s="11"/>
      <c r="T189" s="11" t="s">
        <v>9093</v>
      </c>
      <c r="U189" s="11" t="s">
        <v>9094</v>
      </c>
      <c r="V189" s="11"/>
      <c r="W189" s="11" t="s">
        <v>9095</v>
      </c>
      <c r="X189" s="11"/>
      <c r="Y189" s="11" t="s">
        <v>6991</v>
      </c>
      <c r="Z189" s="11"/>
      <c r="AA189" s="11" t="s">
        <v>7078</v>
      </c>
      <c r="AB189" s="11"/>
      <c r="AC189" s="11" t="s">
        <v>9096</v>
      </c>
      <c r="AD189" s="13" t="s">
        <v>6994</v>
      </c>
      <c r="AE189" s="11"/>
      <c r="AF189" s="11">
        <f>AB189+Z189+X189+V189+S189+Q189+O189</f>
        <v>0</v>
      </c>
      <c r="AG189" s="11" t="s">
        <v>9097</v>
      </c>
      <c r="AH189" s="11"/>
    </row>
    <row r="190" ht="15.75" customHeight="1">
      <c r="A190" s="11">
        <v>310.0</v>
      </c>
      <c r="B190" s="12" t="s">
        <v>9098</v>
      </c>
      <c r="C190" s="11"/>
      <c r="D190" s="11" t="s">
        <v>9099</v>
      </c>
      <c r="E190" s="21" t="s">
        <v>4465</v>
      </c>
      <c r="F190" s="21" t="s">
        <v>4466</v>
      </c>
      <c r="G190" s="21" t="s">
        <v>4467</v>
      </c>
      <c r="H190" s="21" t="s">
        <v>56</v>
      </c>
      <c r="I190" s="21" t="s">
        <v>4385</v>
      </c>
      <c r="J190" s="31">
        <v>8.073136949E9</v>
      </c>
      <c r="K190" s="11" t="s">
        <v>6982</v>
      </c>
      <c r="L190" s="11" t="s">
        <v>6983</v>
      </c>
      <c r="M190" s="11" t="s">
        <v>9100</v>
      </c>
      <c r="N190" s="11" t="s">
        <v>9101</v>
      </c>
      <c r="O190" s="11">
        <v>25.0</v>
      </c>
      <c r="P190" s="11" t="s">
        <v>9102</v>
      </c>
      <c r="Q190" s="11">
        <v>25.0</v>
      </c>
      <c r="R190" s="11" t="s">
        <v>9103</v>
      </c>
      <c r="S190" s="11">
        <v>30.0</v>
      </c>
      <c r="T190" s="11" t="s">
        <v>9104</v>
      </c>
      <c r="U190" s="11" t="s">
        <v>9105</v>
      </c>
      <c r="V190" s="11">
        <v>45.0</v>
      </c>
      <c r="W190" s="11" t="s">
        <v>9106</v>
      </c>
      <c r="X190" s="11">
        <v>20.0</v>
      </c>
      <c r="Y190" s="11" t="s">
        <v>6991</v>
      </c>
      <c r="Z190" s="11">
        <v>15.0</v>
      </c>
      <c r="AA190" s="11" t="s">
        <v>7078</v>
      </c>
      <c r="AB190" s="11">
        <v>0.0</v>
      </c>
      <c r="AC190" s="11" t="s">
        <v>9107</v>
      </c>
      <c r="AD190" s="13" t="s">
        <v>9108</v>
      </c>
      <c r="AE190" s="11">
        <v>0.0</v>
      </c>
      <c r="AF190" s="11">
        <f t="shared" ref="AF190:AF192" si="29">O190+Q190+S190+V190+X190+Z190+AB190+AE190</f>
        <v>160</v>
      </c>
      <c r="AG190" s="11" t="s">
        <v>9109</v>
      </c>
      <c r="AH190" s="11"/>
    </row>
    <row r="191" ht="15.75" customHeight="1">
      <c r="A191" s="11">
        <v>73.0</v>
      </c>
      <c r="B191" s="12" t="s">
        <v>9110</v>
      </c>
      <c r="C191" s="11"/>
      <c r="D191" s="11" t="s">
        <v>9111</v>
      </c>
      <c r="E191" s="31" t="s">
        <v>5315</v>
      </c>
      <c r="F191" s="31" t="s">
        <v>5316</v>
      </c>
      <c r="G191" s="31" t="s">
        <v>5259</v>
      </c>
      <c r="H191" s="31" t="s">
        <v>56</v>
      </c>
      <c r="I191" s="31" t="s">
        <v>434</v>
      </c>
      <c r="J191" s="31">
        <v>9.32447839E9</v>
      </c>
      <c r="K191" s="11" t="s">
        <v>9112</v>
      </c>
      <c r="L191" s="11" t="s">
        <v>7003</v>
      </c>
      <c r="M191" s="11" t="s">
        <v>9113</v>
      </c>
      <c r="N191" s="11" t="s">
        <v>9114</v>
      </c>
      <c r="O191" s="11">
        <v>95.0</v>
      </c>
      <c r="P191" s="11" t="s">
        <v>9115</v>
      </c>
      <c r="Q191" s="11">
        <v>70.0</v>
      </c>
      <c r="R191" s="11" t="s">
        <v>9116</v>
      </c>
      <c r="S191" s="11">
        <v>70.0</v>
      </c>
      <c r="T191" s="11" t="s">
        <v>9117</v>
      </c>
      <c r="U191" s="11" t="s">
        <v>9118</v>
      </c>
      <c r="V191" s="11">
        <v>90.0</v>
      </c>
      <c r="W191" s="11" t="s">
        <v>9119</v>
      </c>
      <c r="X191" s="11">
        <v>80.0</v>
      </c>
      <c r="Y191" s="11" t="s">
        <v>7027</v>
      </c>
      <c r="Z191" s="11">
        <v>0.0</v>
      </c>
      <c r="AA191" s="11" t="s">
        <v>7078</v>
      </c>
      <c r="AB191" s="11">
        <v>0.0</v>
      </c>
      <c r="AC191" s="11" t="s">
        <v>9120</v>
      </c>
      <c r="AD191" s="13" t="s">
        <v>7420</v>
      </c>
      <c r="AE191" s="11"/>
      <c r="AF191" s="11">
        <f t="shared" si="29"/>
        <v>405</v>
      </c>
      <c r="AG191" s="11"/>
      <c r="AH191" s="11"/>
    </row>
    <row r="192" ht="15.75" customHeight="1">
      <c r="A192" s="11">
        <v>366.0</v>
      </c>
      <c r="B192" s="12" t="s">
        <v>9121</v>
      </c>
      <c r="C192" s="11"/>
      <c r="D192" s="11" t="s">
        <v>9122</v>
      </c>
      <c r="E192" s="31" t="s">
        <v>5317</v>
      </c>
      <c r="F192" s="31" t="s">
        <v>68</v>
      </c>
      <c r="G192" s="31" t="s">
        <v>5259</v>
      </c>
      <c r="H192" s="31" t="s">
        <v>56</v>
      </c>
      <c r="I192" s="31" t="s">
        <v>434</v>
      </c>
      <c r="J192" s="31">
        <v>7.04586624E9</v>
      </c>
      <c r="K192" s="11" t="s">
        <v>9112</v>
      </c>
      <c r="L192" s="11" t="s">
        <v>7003</v>
      </c>
      <c r="M192" s="11" t="s">
        <v>9123</v>
      </c>
      <c r="N192" s="11" t="s">
        <v>9124</v>
      </c>
      <c r="O192" s="11"/>
      <c r="P192" s="11" t="s">
        <v>9125</v>
      </c>
      <c r="Q192" s="11"/>
      <c r="R192" s="11" t="s">
        <v>9126</v>
      </c>
      <c r="S192" s="11"/>
      <c r="T192" s="11" t="s">
        <v>9127</v>
      </c>
      <c r="U192" s="11" t="s">
        <v>9128</v>
      </c>
      <c r="V192" s="11"/>
      <c r="W192" s="11" t="s">
        <v>9129</v>
      </c>
      <c r="X192" s="11"/>
      <c r="Y192" s="11" t="s">
        <v>7193</v>
      </c>
      <c r="Z192" s="11"/>
      <c r="AA192" s="13" t="s">
        <v>9130</v>
      </c>
      <c r="AB192" s="11"/>
      <c r="AC192" s="11" t="s">
        <v>9131</v>
      </c>
      <c r="AD192" s="13" t="s">
        <v>7420</v>
      </c>
      <c r="AE192" s="11"/>
      <c r="AF192" s="11">
        <f t="shared" si="29"/>
        <v>0</v>
      </c>
      <c r="AG192" s="11"/>
      <c r="AH192" s="11"/>
    </row>
    <row r="193" ht="15.75" customHeight="1">
      <c r="A193" s="11">
        <v>140.0</v>
      </c>
      <c r="B193" s="12" t="s">
        <v>9132</v>
      </c>
      <c r="C193" s="11" t="s">
        <v>7081</v>
      </c>
      <c r="D193" s="11" t="s">
        <v>9133</v>
      </c>
      <c r="E193" s="11" t="s">
        <v>488</v>
      </c>
      <c r="F193" s="11" t="s">
        <v>68</v>
      </c>
      <c r="G193" s="11" t="s">
        <v>5770</v>
      </c>
      <c r="H193" s="11" t="s">
        <v>7097</v>
      </c>
      <c r="I193" s="11"/>
      <c r="J193" s="11"/>
      <c r="K193" s="11" t="s">
        <v>7086</v>
      </c>
      <c r="L193" s="11" t="s">
        <v>7003</v>
      </c>
      <c r="M193" s="11" t="s">
        <v>9134</v>
      </c>
      <c r="N193" s="11" t="s">
        <v>9135</v>
      </c>
      <c r="O193" s="11">
        <v>75.0</v>
      </c>
      <c r="P193" s="11" t="s">
        <v>9136</v>
      </c>
      <c r="Q193" s="11">
        <v>50.0</v>
      </c>
      <c r="R193" s="11" t="s">
        <v>9137</v>
      </c>
      <c r="S193" s="11">
        <v>50.0</v>
      </c>
      <c r="T193" s="11" t="s">
        <v>9138</v>
      </c>
      <c r="U193" s="11" t="s">
        <v>9139</v>
      </c>
      <c r="V193" s="11">
        <v>50.0</v>
      </c>
      <c r="W193" s="11" t="s">
        <v>9140</v>
      </c>
      <c r="X193" s="11">
        <v>50.0</v>
      </c>
      <c r="Y193" s="11" t="s">
        <v>6991</v>
      </c>
      <c r="Z193" s="13">
        <v>25.0</v>
      </c>
      <c r="AA193" s="13" t="s">
        <v>9141</v>
      </c>
      <c r="AB193" s="11">
        <v>25.0</v>
      </c>
      <c r="AC193" s="11" t="s">
        <v>9142</v>
      </c>
      <c r="AD193" s="13" t="s">
        <v>6994</v>
      </c>
      <c r="AE193" s="11"/>
      <c r="AF193" s="11">
        <f>AE193+AB193+Z193+X193+V193+S193+Q193+O193</f>
        <v>325</v>
      </c>
      <c r="AG193" s="11"/>
      <c r="AH193" s="11"/>
    </row>
    <row r="194" ht="15.75" customHeight="1">
      <c r="A194" s="11">
        <v>306.0</v>
      </c>
      <c r="B194" s="12" t="s">
        <v>9143</v>
      </c>
      <c r="C194" s="11"/>
      <c r="D194" s="11">
        <v>7.249836953E9</v>
      </c>
      <c r="E194" s="11" t="s">
        <v>4977</v>
      </c>
      <c r="F194" s="11" t="s">
        <v>4978</v>
      </c>
      <c r="G194" s="11" t="s">
        <v>9144</v>
      </c>
      <c r="H194" s="11" t="s">
        <v>9145</v>
      </c>
      <c r="I194" s="11" t="s">
        <v>9146</v>
      </c>
      <c r="J194" s="11"/>
      <c r="K194" s="11"/>
      <c r="L194" s="11" t="s">
        <v>7003</v>
      </c>
      <c r="M194" s="11" t="s">
        <v>9147</v>
      </c>
      <c r="N194" s="11" t="s">
        <v>9148</v>
      </c>
      <c r="O194" s="11"/>
      <c r="P194" s="11" t="s">
        <v>9149</v>
      </c>
      <c r="Q194" s="11"/>
      <c r="R194" s="11" t="s">
        <v>9150</v>
      </c>
      <c r="S194" s="11"/>
      <c r="T194" s="11" t="s">
        <v>9151</v>
      </c>
      <c r="U194" s="11" t="s">
        <v>9152</v>
      </c>
      <c r="V194" s="11"/>
      <c r="W194" s="11" t="s">
        <v>9153</v>
      </c>
      <c r="X194" s="11"/>
      <c r="Y194" s="11" t="s">
        <v>7027</v>
      </c>
      <c r="Z194" s="11"/>
      <c r="AA194" s="13" t="s">
        <v>9154</v>
      </c>
      <c r="AB194" s="11"/>
      <c r="AC194" s="11" t="s">
        <v>9155</v>
      </c>
      <c r="AD194" s="13" t="s">
        <v>6994</v>
      </c>
      <c r="AE194" s="11"/>
      <c r="AF194" s="11">
        <f>AE194+AB194+Z195+X195+V195+S195+Q195+O195</f>
        <v>250</v>
      </c>
      <c r="AG194" s="11" t="s">
        <v>9156</v>
      </c>
      <c r="AH194" s="11"/>
    </row>
    <row r="195" ht="15.75" customHeight="1">
      <c r="A195" s="11">
        <v>181.0</v>
      </c>
      <c r="B195" s="12" t="s">
        <v>9157</v>
      </c>
      <c r="C195" s="12" t="s">
        <v>7168</v>
      </c>
      <c r="D195" s="11" t="s">
        <v>9158</v>
      </c>
      <c r="E195" s="21" t="s">
        <v>5116</v>
      </c>
      <c r="F195" s="21" t="s">
        <v>411</v>
      </c>
      <c r="G195" s="21" t="s">
        <v>5117</v>
      </c>
      <c r="H195" s="21" t="s">
        <v>14</v>
      </c>
      <c r="I195" s="21" t="s">
        <v>5118</v>
      </c>
      <c r="J195" s="21">
        <v>9.810817912E9</v>
      </c>
      <c r="K195" s="11" t="s">
        <v>7411</v>
      </c>
      <c r="L195" s="11" t="s">
        <v>6983</v>
      </c>
      <c r="M195" s="11" t="s">
        <v>9159</v>
      </c>
      <c r="N195" s="11" t="s">
        <v>9160</v>
      </c>
      <c r="O195" s="11">
        <v>25.0</v>
      </c>
      <c r="P195" s="11" t="s">
        <v>9161</v>
      </c>
      <c r="Q195" s="11">
        <v>50.0</v>
      </c>
      <c r="R195" s="11" t="s">
        <v>9162</v>
      </c>
      <c r="S195" s="11">
        <v>50.0</v>
      </c>
      <c r="T195" s="11" t="s">
        <v>9163</v>
      </c>
      <c r="U195" s="11" t="s">
        <v>9164</v>
      </c>
      <c r="V195" s="11">
        <v>50.0</v>
      </c>
      <c r="W195" s="11" t="s">
        <v>9165</v>
      </c>
      <c r="X195" s="11">
        <v>50.0</v>
      </c>
      <c r="Y195" s="11" t="s">
        <v>6991</v>
      </c>
      <c r="Z195" s="11">
        <v>25.0</v>
      </c>
      <c r="AA195" s="13" t="s">
        <v>9166</v>
      </c>
      <c r="AB195" s="11">
        <v>25.0</v>
      </c>
      <c r="AC195" s="11" t="s">
        <v>9167</v>
      </c>
      <c r="AD195" s="13" t="s">
        <v>6994</v>
      </c>
      <c r="AE195" s="11"/>
      <c r="AF195" s="11">
        <f>AB195+Z195+X195+V195+S195+Q195+O195</f>
        <v>275</v>
      </c>
      <c r="AG195" s="11"/>
      <c r="AH195" s="11"/>
    </row>
    <row r="196" ht="15.75" customHeight="1">
      <c r="A196" s="11">
        <v>347.0</v>
      </c>
      <c r="B196" s="12" t="s">
        <v>9168</v>
      </c>
      <c r="C196" s="11"/>
      <c r="D196" s="11" t="s">
        <v>9169</v>
      </c>
      <c r="E196" s="21" t="s">
        <v>4888</v>
      </c>
      <c r="F196" s="21" t="s">
        <v>4889</v>
      </c>
      <c r="G196" s="21" t="s">
        <v>4890</v>
      </c>
      <c r="H196" s="21" t="s">
        <v>44</v>
      </c>
      <c r="I196" s="21" t="s">
        <v>4891</v>
      </c>
      <c r="J196" s="31">
        <v>9.052235311E9</v>
      </c>
      <c r="K196" s="11" t="s">
        <v>7411</v>
      </c>
      <c r="L196" s="11" t="s">
        <v>7003</v>
      </c>
      <c r="M196" s="11" t="s">
        <v>9170</v>
      </c>
      <c r="N196" s="11" t="s">
        <v>9171</v>
      </c>
      <c r="O196" s="11">
        <v>50.0</v>
      </c>
      <c r="P196" s="11" t="s">
        <v>9172</v>
      </c>
      <c r="Q196" s="11">
        <v>10.0</v>
      </c>
      <c r="R196" s="11" t="s">
        <v>9173</v>
      </c>
      <c r="S196" s="11">
        <v>25.0</v>
      </c>
      <c r="T196" s="11" t="s">
        <v>9174</v>
      </c>
      <c r="U196" s="11" t="s">
        <v>9175</v>
      </c>
      <c r="V196" s="11">
        <v>10.0</v>
      </c>
      <c r="W196" s="11" t="s">
        <v>9176</v>
      </c>
      <c r="X196" s="11">
        <v>0.0</v>
      </c>
      <c r="Y196" s="11" t="s">
        <v>6991</v>
      </c>
      <c r="Z196" s="11">
        <v>0.0</v>
      </c>
      <c r="AA196" s="13" t="s">
        <v>9177</v>
      </c>
      <c r="AB196" s="19">
        <v>10.0</v>
      </c>
      <c r="AC196" s="11" t="s">
        <v>9178</v>
      </c>
      <c r="AD196" s="13" t="s">
        <v>6994</v>
      </c>
      <c r="AE196" s="11"/>
      <c r="AF196" s="11">
        <f>AE196+AB196+Z196+X196+V196+S196+Q196+O196</f>
        <v>105</v>
      </c>
      <c r="AG196" s="11"/>
      <c r="AH196" s="11" t="str">
        <f>AE196+AB196+#REF!+#REF!+#REF!+#REF!+#REF!+#REF!</f>
        <v>#REF!</v>
      </c>
    </row>
    <row r="197" ht="15.75" customHeight="1">
      <c r="A197" s="11">
        <v>18.0</v>
      </c>
      <c r="B197" s="12" t="s">
        <v>9179</v>
      </c>
      <c r="C197" s="11" t="s">
        <v>4344</v>
      </c>
      <c r="D197" s="11" t="s">
        <v>9180</v>
      </c>
      <c r="E197" s="21" t="s">
        <v>5409</v>
      </c>
      <c r="F197" s="21" t="s">
        <v>5410</v>
      </c>
      <c r="G197" s="21" t="s">
        <v>3322</v>
      </c>
      <c r="H197" s="21" t="s">
        <v>56</v>
      </c>
      <c r="I197" s="21" t="s">
        <v>434</v>
      </c>
      <c r="J197" s="31">
        <v>7.506578164E9</v>
      </c>
      <c r="K197" s="11" t="s">
        <v>7086</v>
      </c>
      <c r="L197" s="11" t="s">
        <v>7003</v>
      </c>
      <c r="M197" s="11" t="s">
        <v>9181</v>
      </c>
      <c r="N197" s="11" t="s">
        <v>9182</v>
      </c>
      <c r="O197" s="11">
        <v>80.0</v>
      </c>
      <c r="P197" s="11" t="s">
        <v>9183</v>
      </c>
      <c r="Q197" s="11">
        <v>80.0</v>
      </c>
      <c r="R197" s="11" t="s">
        <v>9184</v>
      </c>
      <c r="S197" s="11">
        <v>50.0</v>
      </c>
      <c r="T197" s="11" t="s">
        <v>9185</v>
      </c>
      <c r="U197" s="11" t="s">
        <v>9186</v>
      </c>
      <c r="V197" s="11">
        <v>85.0</v>
      </c>
      <c r="W197" s="11" t="s">
        <v>9187</v>
      </c>
      <c r="X197" s="11">
        <v>60.0</v>
      </c>
      <c r="Y197" s="11" t="s">
        <v>6991</v>
      </c>
      <c r="Z197" s="11">
        <v>50.0</v>
      </c>
      <c r="AA197" s="13" t="s">
        <v>9188</v>
      </c>
      <c r="AB197" s="11">
        <v>90.0</v>
      </c>
      <c r="AC197" s="11" t="s">
        <v>9189</v>
      </c>
      <c r="AD197" s="13" t="s">
        <v>6994</v>
      </c>
      <c r="AE197" s="11">
        <v>0.0</v>
      </c>
      <c r="AF197" s="11">
        <f t="shared" ref="AF197:AF198" si="30">O197+Q197+S197+V197+X197+Z197+AB197+AE197</f>
        <v>495</v>
      </c>
      <c r="AG197" s="11" t="s">
        <v>9190</v>
      </c>
      <c r="AH197" s="11"/>
    </row>
    <row r="198" ht="15.75" customHeight="1">
      <c r="A198" s="11">
        <v>151.0</v>
      </c>
      <c r="B198" s="11" t="s">
        <v>9191</v>
      </c>
      <c r="C198" s="11" t="s">
        <v>4344</v>
      </c>
      <c r="D198" s="11" t="s">
        <v>9192</v>
      </c>
      <c r="E198" s="31" t="s">
        <v>5086</v>
      </c>
      <c r="F198" s="31" t="s">
        <v>1265</v>
      </c>
      <c r="G198" s="31" t="s">
        <v>4409</v>
      </c>
      <c r="H198" s="31" t="s">
        <v>56</v>
      </c>
      <c r="I198" s="31" t="s">
        <v>5087</v>
      </c>
      <c r="J198" s="31">
        <v>8.918436046E9</v>
      </c>
      <c r="K198" s="11" t="s">
        <v>6982</v>
      </c>
      <c r="L198" s="11" t="s">
        <v>6983</v>
      </c>
      <c r="M198" s="11" t="s">
        <v>9193</v>
      </c>
      <c r="N198" s="11" t="s">
        <v>9194</v>
      </c>
      <c r="O198" s="11">
        <v>60.0</v>
      </c>
      <c r="P198" s="11" t="s">
        <v>9195</v>
      </c>
      <c r="Q198" s="11">
        <v>40.0</v>
      </c>
      <c r="R198" s="11" t="s">
        <v>9196</v>
      </c>
      <c r="S198" s="11">
        <v>50.0</v>
      </c>
      <c r="T198" s="11" t="s">
        <v>9197</v>
      </c>
      <c r="U198" s="11" t="s">
        <v>9198</v>
      </c>
      <c r="V198" s="11">
        <v>75.0</v>
      </c>
      <c r="W198" s="11" t="s">
        <v>9199</v>
      </c>
      <c r="X198" s="11">
        <v>50.0</v>
      </c>
      <c r="Y198" s="11" t="s">
        <v>6991</v>
      </c>
      <c r="Z198" s="11">
        <v>25.0</v>
      </c>
      <c r="AA198" s="11" t="s">
        <v>7078</v>
      </c>
      <c r="AB198" s="11">
        <v>0.0</v>
      </c>
      <c r="AC198" s="11" t="s">
        <v>9200</v>
      </c>
      <c r="AD198" s="13" t="s">
        <v>6994</v>
      </c>
      <c r="AE198" s="11">
        <v>0.0</v>
      </c>
      <c r="AF198" s="11">
        <f t="shared" si="30"/>
        <v>300</v>
      </c>
      <c r="AG198" s="11" t="s">
        <v>9201</v>
      </c>
      <c r="AH198" s="11"/>
    </row>
    <row r="199" ht="15.75" customHeight="1">
      <c r="A199" s="11">
        <v>382.0</v>
      </c>
      <c r="B199" s="12" t="s">
        <v>9202</v>
      </c>
      <c r="C199" s="11" t="s">
        <v>7081</v>
      </c>
      <c r="D199" s="11" t="s">
        <v>9203</v>
      </c>
      <c r="E199" s="11" t="s">
        <v>1348</v>
      </c>
      <c r="F199" s="11" t="s">
        <v>1235</v>
      </c>
      <c r="G199" s="11" t="s">
        <v>4700</v>
      </c>
      <c r="H199" s="11"/>
      <c r="I199" s="11"/>
      <c r="J199" s="37">
        <v>9.8107861E9</v>
      </c>
      <c r="K199" s="11"/>
      <c r="L199" s="11" t="s">
        <v>7003</v>
      </c>
      <c r="M199" s="11" t="s">
        <v>9204</v>
      </c>
      <c r="N199" s="11" t="s">
        <v>9205</v>
      </c>
      <c r="O199" s="11"/>
      <c r="P199" s="11" t="s">
        <v>9206</v>
      </c>
      <c r="Q199" s="11"/>
      <c r="R199" s="11" t="s">
        <v>9207</v>
      </c>
      <c r="S199" s="11"/>
      <c r="T199" s="11" t="s">
        <v>9208</v>
      </c>
      <c r="U199" s="11" t="s">
        <v>9209</v>
      </c>
      <c r="V199" s="11"/>
      <c r="W199" s="11" t="s">
        <v>9210</v>
      </c>
      <c r="X199" s="11"/>
      <c r="Y199" s="11" t="s">
        <v>6991</v>
      </c>
      <c r="Z199" s="11"/>
      <c r="AA199" s="13" t="s">
        <v>9211</v>
      </c>
      <c r="AB199" s="11"/>
      <c r="AC199" s="11" t="s">
        <v>9212</v>
      </c>
      <c r="AD199" s="13" t="s">
        <v>6994</v>
      </c>
      <c r="AE199" s="11"/>
      <c r="AF199" s="11">
        <f t="shared" ref="AF199:AF200" si="31">AE199+AB199+Z199+X199+V199+S199+Q199+O199</f>
        <v>0</v>
      </c>
      <c r="AG199" s="11" t="s">
        <v>9213</v>
      </c>
      <c r="AH199" s="11"/>
    </row>
    <row r="200" ht="15.75" customHeight="1">
      <c r="A200" s="11">
        <v>92.0</v>
      </c>
      <c r="B200" s="12" t="s">
        <v>9214</v>
      </c>
      <c r="C200" s="11" t="s">
        <v>7043</v>
      </c>
      <c r="D200" s="11" t="s">
        <v>9215</v>
      </c>
      <c r="E200" s="21" t="s">
        <v>2663</v>
      </c>
      <c r="F200" s="21" t="s">
        <v>5226</v>
      </c>
      <c r="G200" s="21" t="s">
        <v>3322</v>
      </c>
      <c r="H200" s="21" t="s">
        <v>9</v>
      </c>
      <c r="I200" s="21" t="s">
        <v>434</v>
      </c>
      <c r="J200" s="31">
        <v>9.372460941E9</v>
      </c>
      <c r="K200" s="11" t="s">
        <v>7086</v>
      </c>
      <c r="L200" s="11" t="s">
        <v>7003</v>
      </c>
      <c r="M200" s="11" t="s">
        <v>9216</v>
      </c>
      <c r="N200" s="11" t="s">
        <v>9217</v>
      </c>
      <c r="O200" s="11">
        <v>60.0</v>
      </c>
      <c r="P200" s="11" t="s">
        <v>9218</v>
      </c>
      <c r="Q200" s="11">
        <v>50.0</v>
      </c>
      <c r="R200" s="11" t="s">
        <v>9219</v>
      </c>
      <c r="S200" s="11">
        <v>75.0</v>
      </c>
      <c r="T200" s="11" t="s">
        <v>9220</v>
      </c>
      <c r="U200" s="11" t="s">
        <v>9221</v>
      </c>
      <c r="V200" s="11">
        <v>75.0</v>
      </c>
      <c r="W200" s="11" t="s">
        <v>9222</v>
      </c>
      <c r="X200" s="11">
        <v>75.0</v>
      </c>
      <c r="Y200" s="11" t="s">
        <v>6991</v>
      </c>
      <c r="Z200" s="11">
        <v>25.0</v>
      </c>
      <c r="AA200" s="13" t="s">
        <v>9223</v>
      </c>
      <c r="AB200" s="11">
        <v>25.0</v>
      </c>
      <c r="AC200" s="11" t="s">
        <v>9224</v>
      </c>
      <c r="AD200" s="13" t="s">
        <v>6994</v>
      </c>
      <c r="AE200" s="11"/>
      <c r="AF200" s="11">
        <f t="shared" si="31"/>
        <v>385</v>
      </c>
      <c r="AG200" s="11"/>
      <c r="AH200" s="11"/>
    </row>
    <row r="201" ht="15.75" customHeight="1">
      <c r="A201" s="11">
        <v>241.0</v>
      </c>
      <c r="B201" s="12" t="s">
        <v>9225</v>
      </c>
      <c r="C201" s="11" t="s">
        <v>2140</v>
      </c>
      <c r="D201" s="11" t="s">
        <v>9226</v>
      </c>
      <c r="E201" s="31" t="s">
        <v>9227</v>
      </c>
      <c r="F201" s="31" t="s">
        <v>9228</v>
      </c>
      <c r="G201" s="31" t="s">
        <v>9229</v>
      </c>
      <c r="H201" s="31" t="s">
        <v>14</v>
      </c>
      <c r="I201" s="31" t="s">
        <v>2575</v>
      </c>
      <c r="J201" s="31">
        <v>9.500064047E9</v>
      </c>
      <c r="K201" s="11" t="s">
        <v>6982</v>
      </c>
      <c r="L201" s="11" t="s">
        <v>6983</v>
      </c>
      <c r="M201" s="11" t="s">
        <v>9230</v>
      </c>
      <c r="N201" s="11" t="s">
        <v>9231</v>
      </c>
      <c r="O201" s="11">
        <v>40.0</v>
      </c>
      <c r="P201" s="11" t="s">
        <v>9232</v>
      </c>
      <c r="Q201" s="11">
        <v>40.0</v>
      </c>
      <c r="R201" s="11" t="s">
        <v>9233</v>
      </c>
      <c r="S201" s="11">
        <v>30.0</v>
      </c>
      <c r="T201" s="11" t="s">
        <v>9234</v>
      </c>
      <c r="U201" s="11" t="s">
        <v>9235</v>
      </c>
      <c r="V201" s="11">
        <v>50.0</v>
      </c>
      <c r="W201" s="11" t="s">
        <v>9236</v>
      </c>
      <c r="X201" s="11">
        <v>20.0</v>
      </c>
      <c r="Y201" s="11" t="s">
        <v>6991</v>
      </c>
      <c r="Z201" s="11">
        <v>20.0</v>
      </c>
      <c r="AA201" s="13" t="s">
        <v>9237</v>
      </c>
      <c r="AB201" s="11">
        <v>30.0</v>
      </c>
      <c r="AC201" s="11" t="s">
        <v>9238</v>
      </c>
      <c r="AD201" s="13" t="s">
        <v>6994</v>
      </c>
      <c r="AE201" s="11"/>
      <c r="AF201" s="11">
        <f t="shared" ref="AF201:AF202" si="32">O201+Q201+S201+V201+X201+Z201+AB201</f>
        <v>230</v>
      </c>
      <c r="AG201" s="11"/>
      <c r="AH201" s="11"/>
    </row>
    <row r="202" ht="15.75" customHeight="1">
      <c r="A202" s="11">
        <v>295.0</v>
      </c>
      <c r="B202" s="12" t="s">
        <v>9239</v>
      </c>
      <c r="C202" s="11" t="s">
        <v>2140</v>
      </c>
      <c r="D202" s="11" t="s">
        <v>9240</v>
      </c>
      <c r="E202" s="31" t="s">
        <v>4445</v>
      </c>
      <c r="F202" s="31" t="s">
        <v>4446</v>
      </c>
      <c r="G202" s="31" t="s">
        <v>4338</v>
      </c>
      <c r="H202" s="31" t="s">
        <v>9</v>
      </c>
      <c r="I202" s="31" t="s">
        <v>2575</v>
      </c>
      <c r="J202" s="31">
        <v>7.397344407E9</v>
      </c>
      <c r="K202" s="11" t="s">
        <v>6982</v>
      </c>
      <c r="L202" s="11" t="s">
        <v>6983</v>
      </c>
      <c r="M202" s="11" t="s">
        <v>9241</v>
      </c>
      <c r="N202" s="11" t="s">
        <v>9242</v>
      </c>
      <c r="O202" s="11">
        <v>40.0</v>
      </c>
      <c r="P202" s="11" t="s">
        <v>9243</v>
      </c>
      <c r="Q202" s="11">
        <v>30.0</v>
      </c>
      <c r="R202" s="11" t="s">
        <v>9244</v>
      </c>
      <c r="S202" s="11">
        <v>40.0</v>
      </c>
      <c r="T202" s="11" t="s">
        <v>9245</v>
      </c>
      <c r="U202" s="11" t="s">
        <v>9246</v>
      </c>
      <c r="V202" s="11">
        <v>30.0</v>
      </c>
      <c r="W202" s="11" t="s">
        <v>9247</v>
      </c>
      <c r="X202" s="11">
        <v>30.0</v>
      </c>
      <c r="Y202" s="11" t="s">
        <v>6991</v>
      </c>
      <c r="Z202" s="11">
        <v>20.0</v>
      </c>
      <c r="AA202" s="11" t="s">
        <v>7078</v>
      </c>
      <c r="AB202" s="11">
        <v>0.0</v>
      </c>
      <c r="AC202" s="11" t="s">
        <v>9248</v>
      </c>
      <c r="AD202" s="13" t="s">
        <v>6994</v>
      </c>
      <c r="AE202" s="11"/>
      <c r="AF202" s="11">
        <f t="shared" si="32"/>
        <v>190</v>
      </c>
      <c r="AG202" s="11"/>
      <c r="AH202" s="11"/>
    </row>
    <row r="203" ht="15.75" customHeight="1">
      <c r="A203" s="11">
        <v>394.0</v>
      </c>
      <c r="B203" s="12" t="s">
        <v>9249</v>
      </c>
      <c r="C203" s="11"/>
      <c r="D203" s="11" t="s">
        <v>9250</v>
      </c>
      <c r="E203" s="11" t="s">
        <v>1092</v>
      </c>
      <c r="F203" s="11" t="s">
        <v>4600</v>
      </c>
      <c r="G203" s="11" t="s">
        <v>4420</v>
      </c>
      <c r="H203" s="11" t="s">
        <v>7184</v>
      </c>
      <c r="I203" s="11" t="s">
        <v>4416</v>
      </c>
      <c r="J203" s="18">
        <v>6.398782437E9</v>
      </c>
      <c r="K203" s="11"/>
      <c r="L203" s="11" t="s">
        <v>7003</v>
      </c>
      <c r="M203" s="11" t="s">
        <v>9251</v>
      </c>
      <c r="N203" s="11" t="s">
        <v>9252</v>
      </c>
      <c r="O203" s="11"/>
      <c r="P203" s="11" t="s">
        <v>9253</v>
      </c>
      <c r="Q203" s="11"/>
      <c r="R203" s="11" t="s">
        <v>9254</v>
      </c>
      <c r="S203" s="11"/>
      <c r="T203" s="11" t="s">
        <v>9255</v>
      </c>
      <c r="U203" s="11" t="s">
        <v>9256</v>
      </c>
      <c r="V203" s="11"/>
      <c r="W203" s="11" t="s">
        <v>9257</v>
      </c>
      <c r="X203" s="11"/>
      <c r="Y203" s="11" t="s">
        <v>6991</v>
      </c>
      <c r="Z203" s="11"/>
      <c r="AA203" s="13" t="s">
        <v>9258</v>
      </c>
      <c r="AB203" s="11"/>
      <c r="AC203" s="11" t="s">
        <v>9259</v>
      </c>
      <c r="AD203" s="13" t="s">
        <v>6994</v>
      </c>
      <c r="AE203" s="11"/>
      <c r="AF203" s="11">
        <f t="shared" ref="AF203:AF204" si="33">AE203+AB203+Z203+X203+V203+S203+Q203+O203</f>
        <v>0</v>
      </c>
      <c r="AG203" s="11"/>
      <c r="AH203" s="11"/>
    </row>
    <row r="204" ht="15.75" customHeight="1">
      <c r="A204" s="11">
        <v>17.0</v>
      </c>
      <c r="B204" s="12" t="s">
        <v>9260</v>
      </c>
      <c r="C204" s="11"/>
      <c r="D204" s="11" t="s">
        <v>9261</v>
      </c>
      <c r="E204" s="11" t="s">
        <v>5404</v>
      </c>
      <c r="F204" s="11"/>
      <c r="G204" s="11" t="s">
        <v>5405</v>
      </c>
      <c r="H204" s="11" t="s">
        <v>8337</v>
      </c>
      <c r="I204" s="11" t="s">
        <v>1102</v>
      </c>
      <c r="J204" s="11">
        <v>7.683089932E9</v>
      </c>
      <c r="K204" s="11"/>
      <c r="L204" s="11" t="s">
        <v>7003</v>
      </c>
      <c r="M204" s="11" t="s">
        <v>9262</v>
      </c>
      <c r="N204" s="11" t="s">
        <v>9263</v>
      </c>
      <c r="O204" s="11">
        <v>75.0</v>
      </c>
      <c r="P204" s="11" t="s">
        <v>9264</v>
      </c>
      <c r="Q204" s="11">
        <v>100.0</v>
      </c>
      <c r="R204" s="11" t="s">
        <v>9265</v>
      </c>
      <c r="S204" s="11">
        <v>75.0</v>
      </c>
      <c r="T204" s="11" t="s">
        <v>9266</v>
      </c>
      <c r="U204" s="11" t="s">
        <v>9267</v>
      </c>
      <c r="V204" s="11">
        <v>75.0</v>
      </c>
      <c r="W204" s="11" t="s">
        <v>9268</v>
      </c>
      <c r="X204" s="11">
        <v>75.0</v>
      </c>
      <c r="Y204" s="11" t="s">
        <v>7027</v>
      </c>
      <c r="Z204" s="13">
        <v>50.0</v>
      </c>
      <c r="AA204" s="13" t="s">
        <v>9269</v>
      </c>
      <c r="AB204" s="11">
        <v>50.0</v>
      </c>
      <c r="AC204" s="11" t="s">
        <v>9270</v>
      </c>
      <c r="AD204" s="13" t="s">
        <v>6994</v>
      </c>
      <c r="AE204" s="11"/>
      <c r="AF204" s="11">
        <f t="shared" si="33"/>
        <v>500</v>
      </c>
      <c r="AG204" s="11"/>
      <c r="AH204" s="11"/>
    </row>
    <row r="205" ht="15.75" customHeight="1">
      <c r="A205" s="11">
        <v>123.0</v>
      </c>
      <c r="B205" s="12" t="s">
        <v>9271</v>
      </c>
      <c r="C205" s="12" t="s">
        <v>4344</v>
      </c>
      <c r="D205" s="11" t="s">
        <v>9272</v>
      </c>
      <c r="E205" s="21" t="s">
        <v>5803</v>
      </c>
      <c r="F205" s="21" t="s">
        <v>225</v>
      </c>
      <c r="G205" s="21" t="s">
        <v>4480</v>
      </c>
      <c r="H205" s="21" t="s">
        <v>9</v>
      </c>
      <c r="I205" s="21" t="s">
        <v>4481</v>
      </c>
      <c r="J205" s="21"/>
      <c r="K205" s="11" t="s">
        <v>6982</v>
      </c>
      <c r="L205" s="11" t="s">
        <v>6983</v>
      </c>
      <c r="M205" s="11" t="s">
        <v>9273</v>
      </c>
      <c r="N205" s="11" t="s">
        <v>9274</v>
      </c>
      <c r="O205" s="11">
        <v>70.0</v>
      </c>
      <c r="P205" s="11" t="s">
        <v>9275</v>
      </c>
      <c r="Q205" s="11">
        <v>40.0</v>
      </c>
      <c r="R205" s="11" t="s">
        <v>9276</v>
      </c>
      <c r="S205" s="11">
        <v>50.0</v>
      </c>
      <c r="T205" s="11" t="s">
        <v>9277</v>
      </c>
      <c r="U205" s="11" t="s">
        <v>9278</v>
      </c>
      <c r="V205" s="11">
        <v>80.0</v>
      </c>
      <c r="W205" s="11" t="s">
        <v>9279</v>
      </c>
      <c r="X205" s="11">
        <v>50.0</v>
      </c>
      <c r="Y205" s="11" t="s">
        <v>6991</v>
      </c>
      <c r="Z205" s="11">
        <v>25.0</v>
      </c>
      <c r="AA205" s="13" t="s">
        <v>9280</v>
      </c>
      <c r="AB205" s="11">
        <v>25.0</v>
      </c>
      <c r="AC205" s="11" t="s">
        <v>9281</v>
      </c>
      <c r="AD205" s="13" t="s">
        <v>6994</v>
      </c>
      <c r="AE205" s="11">
        <v>0.0</v>
      </c>
      <c r="AF205" s="11">
        <f>O205+Q205+S205+V205+X205+Z205+AB205+AE205</f>
        <v>340</v>
      </c>
      <c r="AG205" s="11" t="s">
        <v>9282</v>
      </c>
      <c r="AH205" s="11"/>
    </row>
    <row r="206" ht="15.75" customHeight="1">
      <c r="A206" s="11">
        <v>213.0</v>
      </c>
      <c r="B206" s="12" t="s">
        <v>9283</v>
      </c>
      <c r="C206" s="11" t="s">
        <v>7168</v>
      </c>
      <c r="D206" s="11" t="s">
        <v>9284</v>
      </c>
      <c r="E206" s="21" t="s">
        <v>4713</v>
      </c>
      <c r="F206" s="21" t="s">
        <v>108</v>
      </c>
      <c r="G206" s="21" t="s">
        <v>4714</v>
      </c>
      <c r="H206" s="21" t="s">
        <v>1108</v>
      </c>
      <c r="I206" s="21" t="s">
        <v>15</v>
      </c>
      <c r="J206" s="31">
        <v>9.860470202E9</v>
      </c>
      <c r="K206" s="11" t="s">
        <v>6982</v>
      </c>
      <c r="L206" s="11" t="s">
        <v>7003</v>
      </c>
      <c r="M206" s="11" t="s">
        <v>9285</v>
      </c>
      <c r="N206" s="11" t="s">
        <v>9286</v>
      </c>
      <c r="O206" s="11">
        <v>50.0</v>
      </c>
      <c r="P206" s="11" t="s">
        <v>9287</v>
      </c>
      <c r="Q206" s="11">
        <v>50.0</v>
      </c>
      <c r="R206" s="11" t="s">
        <v>9288</v>
      </c>
      <c r="S206" s="11">
        <v>50.0</v>
      </c>
      <c r="T206" s="11" t="s">
        <v>9289</v>
      </c>
      <c r="U206" s="11" t="s">
        <v>9290</v>
      </c>
      <c r="V206" s="11">
        <v>50.0</v>
      </c>
      <c r="W206" s="11" t="s">
        <v>9291</v>
      </c>
      <c r="X206" s="11">
        <v>50.0</v>
      </c>
      <c r="Y206" s="11" t="s">
        <v>7027</v>
      </c>
      <c r="Z206" s="11"/>
      <c r="AA206" s="13" t="s">
        <v>9292</v>
      </c>
      <c r="AB206" s="11"/>
      <c r="AC206" s="11" t="s">
        <v>9293</v>
      </c>
      <c r="AD206" s="13" t="s">
        <v>6994</v>
      </c>
      <c r="AE206" s="11"/>
      <c r="AF206" s="11">
        <f t="shared" ref="AF206:AF207" si="34">AB206+Z206+X206+V206+S206+Q206+O206</f>
        <v>250</v>
      </c>
      <c r="AG206" s="13" t="s">
        <v>9294</v>
      </c>
      <c r="AH206" s="11"/>
    </row>
    <row r="207" ht="15.75" customHeight="1">
      <c r="A207" s="11">
        <v>298.0</v>
      </c>
      <c r="B207" s="12" t="s">
        <v>9295</v>
      </c>
      <c r="C207" s="11"/>
      <c r="D207" s="11" t="s">
        <v>9296</v>
      </c>
      <c r="E207" s="31" t="s">
        <v>4698</v>
      </c>
      <c r="F207" s="31" t="s">
        <v>4699</v>
      </c>
      <c r="G207" s="31" t="s">
        <v>4700</v>
      </c>
      <c r="H207" s="31" t="s">
        <v>44</v>
      </c>
      <c r="I207" s="31" t="s">
        <v>4015</v>
      </c>
      <c r="J207" s="31">
        <v>9.873077235E9</v>
      </c>
      <c r="K207" s="11" t="s">
        <v>6982</v>
      </c>
      <c r="L207" s="11" t="s">
        <v>6983</v>
      </c>
      <c r="M207" s="11" t="s">
        <v>9297</v>
      </c>
      <c r="N207" s="11" t="s">
        <v>9298</v>
      </c>
      <c r="O207" s="11">
        <v>30.0</v>
      </c>
      <c r="P207" s="11" t="s">
        <v>9299</v>
      </c>
      <c r="Q207" s="11">
        <v>25.0</v>
      </c>
      <c r="R207" s="11" t="s">
        <v>9300</v>
      </c>
      <c r="S207" s="11">
        <v>50.0</v>
      </c>
      <c r="T207" s="11" t="s">
        <v>9301</v>
      </c>
      <c r="U207" s="11" t="s">
        <v>9302</v>
      </c>
      <c r="V207" s="11">
        <v>30.0</v>
      </c>
      <c r="W207" s="11" t="s">
        <v>9303</v>
      </c>
      <c r="X207" s="11">
        <v>20.0</v>
      </c>
      <c r="Y207" s="11" t="s">
        <v>6991</v>
      </c>
      <c r="Z207" s="11">
        <v>25.0</v>
      </c>
      <c r="AA207" s="11" t="s">
        <v>7078</v>
      </c>
      <c r="AB207" s="11">
        <v>0.0</v>
      </c>
      <c r="AC207" s="11" t="s">
        <v>9304</v>
      </c>
      <c r="AD207" s="13" t="s">
        <v>6994</v>
      </c>
      <c r="AE207" s="11"/>
      <c r="AF207" s="11">
        <f t="shared" si="34"/>
        <v>180</v>
      </c>
      <c r="AG207" s="11"/>
      <c r="AH207" s="11"/>
    </row>
    <row r="208" ht="15.75" customHeight="1">
      <c r="A208" s="11">
        <v>249.0</v>
      </c>
      <c r="B208" s="12" t="s">
        <v>9305</v>
      </c>
      <c r="C208" s="11" t="s">
        <v>4344</v>
      </c>
      <c r="D208" s="11" t="s">
        <v>9306</v>
      </c>
      <c r="E208" s="21" t="s">
        <v>182</v>
      </c>
      <c r="F208" s="21" t="s">
        <v>4140</v>
      </c>
      <c r="G208" s="21" t="s">
        <v>4141</v>
      </c>
      <c r="H208" s="21" t="s">
        <v>29</v>
      </c>
      <c r="I208" s="21" t="s">
        <v>2115</v>
      </c>
      <c r="J208" s="31">
        <v>9.433811532E9</v>
      </c>
      <c r="K208" s="11" t="s">
        <v>7411</v>
      </c>
      <c r="L208" s="11" t="s">
        <v>6983</v>
      </c>
      <c r="M208" s="11" t="s">
        <v>9307</v>
      </c>
      <c r="N208" s="11" t="s">
        <v>9308</v>
      </c>
      <c r="O208" s="11">
        <v>40.0</v>
      </c>
      <c r="P208" s="11" t="s">
        <v>9309</v>
      </c>
      <c r="Q208" s="11">
        <v>45.0</v>
      </c>
      <c r="R208" s="11" t="s">
        <v>9310</v>
      </c>
      <c r="S208" s="11">
        <v>25.0</v>
      </c>
      <c r="T208" s="11" t="s">
        <v>9311</v>
      </c>
      <c r="U208" s="11" t="s">
        <v>9312</v>
      </c>
      <c r="V208" s="11">
        <v>40.0</v>
      </c>
      <c r="W208" s="11" t="s">
        <v>9313</v>
      </c>
      <c r="X208" s="11">
        <v>25.0</v>
      </c>
      <c r="Y208" s="11" t="s">
        <v>7027</v>
      </c>
      <c r="Z208" s="11">
        <v>25.0</v>
      </c>
      <c r="AA208" s="13" t="s">
        <v>9314</v>
      </c>
      <c r="AB208" s="11">
        <v>20.0</v>
      </c>
      <c r="AC208" s="11" t="s">
        <v>9315</v>
      </c>
      <c r="AD208" s="13" t="s">
        <v>6994</v>
      </c>
      <c r="AE208" s="11">
        <v>0.0</v>
      </c>
      <c r="AF208" s="11">
        <f t="shared" ref="AF208:AF209" si="35">O208+Q208+S208+V208+X208+Z208+AB208+AE208</f>
        <v>220</v>
      </c>
      <c r="AG208" s="11" t="s">
        <v>9316</v>
      </c>
      <c r="AH208" s="11"/>
    </row>
    <row r="209" ht="15.75" customHeight="1">
      <c r="A209" s="11">
        <v>104.0</v>
      </c>
      <c r="B209" s="12" t="s">
        <v>9317</v>
      </c>
      <c r="C209" s="11" t="s">
        <v>4344</v>
      </c>
      <c r="D209" s="11" t="s">
        <v>9318</v>
      </c>
      <c r="E209" s="21" t="s">
        <v>1842</v>
      </c>
      <c r="F209" s="21" t="s">
        <v>4986</v>
      </c>
      <c r="G209" s="21" t="s">
        <v>6432</v>
      </c>
      <c r="H209" s="21" t="s">
        <v>14</v>
      </c>
      <c r="I209" s="21" t="s">
        <v>2025</v>
      </c>
      <c r="J209" s="21">
        <v>9.31937683E9</v>
      </c>
      <c r="K209" s="11" t="s">
        <v>7411</v>
      </c>
      <c r="L209" s="11" t="s">
        <v>6983</v>
      </c>
      <c r="M209" s="11" t="s">
        <v>9319</v>
      </c>
      <c r="N209" s="11" t="s">
        <v>9320</v>
      </c>
      <c r="O209" s="11">
        <v>75.0</v>
      </c>
      <c r="P209" s="11" t="s">
        <v>9321</v>
      </c>
      <c r="Q209" s="11">
        <v>70.0</v>
      </c>
      <c r="R209" s="11" t="s">
        <v>9322</v>
      </c>
      <c r="S209" s="11">
        <v>50.0</v>
      </c>
      <c r="T209" s="11" t="s">
        <v>9323</v>
      </c>
      <c r="U209" s="11" t="s">
        <v>9324</v>
      </c>
      <c r="V209" s="11">
        <v>70.0</v>
      </c>
      <c r="W209" s="11" t="s">
        <v>9325</v>
      </c>
      <c r="X209" s="11">
        <v>50.0</v>
      </c>
      <c r="Y209" s="11" t="s">
        <v>7193</v>
      </c>
      <c r="Z209" s="11">
        <v>25.0</v>
      </c>
      <c r="AA209" s="13" t="s">
        <v>9326</v>
      </c>
      <c r="AB209" s="11">
        <v>25.0</v>
      </c>
      <c r="AC209" s="11" t="s">
        <v>9327</v>
      </c>
      <c r="AD209" s="13" t="s">
        <v>6994</v>
      </c>
      <c r="AE209" s="11">
        <v>0.0</v>
      </c>
      <c r="AF209" s="11">
        <f t="shared" si="35"/>
        <v>365</v>
      </c>
      <c r="AG209" s="11" t="s">
        <v>9328</v>
      </c>
      <c r="AH209" s="11"/>
    </row>
    <row r="210" ht="15.75" customHeight="1">
      <c r="A210" s="11">
        <v>55.0</v>
      </c>
      <c r="B210" s="12" t="s">
        <v>9329</v>
      </c>
      <c r="C210" s="11" t="s">
        <v>7043</v>
      </c>
      <c r="D210" s="11" t="s">
        <v>9330</v>
      </c>
      <c r="E210" s="21" t="s">
        <v>2003</v>
      </c>
      <c r="F210" s="21" t="s">
        <v>4229</v>
      </c>
      <c r="G210" s="21" t="s">
        <v>5014</v>
      </c>
      <c r="H210" s="21" t="s">
        <v>29</v>
      </c>
      <c r="I210" s="21" t="s">
        <v>4769</v>
      </c>
      <c r="J210" s="31">
        <v>8.708638153E9</v>
      </c>
      <c r="K210" s="11" t="s">
        <v>7411</v>
      </c>
      <c r="L210" s="11" t="s">
        <v>7003</v>
      </c>
      <c r="M210" s="11" t="s">
        <v>9331</v>
      </c>
      <c r="N210" s="11" t="s">
        <v>9332</v>
      </c>
      <c r="O210" s="11">
        <v>60.0</v>
      </c>
      <c r="P210" s="11" t="s">
        <v>9333</v>
      </c>
      <c r="Q210" s="11">
        <v>75.0</v>
      </c>
      <c r="R210" s="11" t="s">
        <v>9334</v>
      </c>
      <c r="S210" s="11">
        <v>50.0</v>
      </c>
      <c r="T210" s="11" t="s">
        <v>9335</v>
      </c>
      <c r="U210" s="11" t="s">
        <v>9336</v>
      </c>
      <c r="V210" s="11">
        <v>75.0</v>
      </c>
      <c r="W210" s="11" t="s">
        <v>9337</v>
      </c>
      <c r="X210" s="11">
        <v>50.0</v>
      </c>
      <c r="Y210" s="11" t="s">
        <v>6991</v>
      </c>
      <c r="Z210" s="11">
        <v>25.0</v>
      </c>
      <c r="AA210" s="13" t="s">
        <v>9338</v>
      </c>
      <c r="AB210" s="11">
        <v>90.0</v>
      </c>
      <c r="AC210" s="11" t="s">
        <v>9339</v>
      </c>
      <c r="AD210" s="13" t="s">
        <v>6994</v>
      </c>
      <c r="AE210" s="11"/>
      <c r="AF210" s="11">
        <f t="shared" ref="AF210:AF211" si="36">AE210+AB210+Z210+X210+V210+S210+Q210+O210</f>
        <v>425</v>
      </c>
      <c r="AG210" s="11"/>
      <c r="AH210" s="11"/>
    </row>
    <row r="211" ht="15.75" customHeight="1">
      <c r="A211" s="11">
        <v>371.0</v>
      </c>
      <c r="B211" s="12" t="s">
        <v>9340</v>
      </c>
      <c r="C211" s="11"/>
      <c r="D211" s="11" t="s">
        <v>9341</v>
      </c>
      <c r="E211" s="31" t="s">
        <v>182</v>
      </c>
      <c r="F211" s="31" t="s">
        <v>4672</v>
      </c>
      <c r="G211" s="31" t="s">
        <v>4673</v>
      </c>
      <c r="H211" s="31" t="s">
        <v>56</v>
      </c>
      <c r="I211" s="31" t="s">
        <v>4587</v>
      </c>
      <c r="J211" s="31" t="s">
        <v>9342</v>
      </c>
      <c r="K211" s="11" t="s">
        <v>7411</v>
      </c>
      <c r="L211" s="11" t="s">
        <v>6983</v>
      </c>
      <c r="M211" s="11" t="s">
        <v>9343</v>
      </c>
      <c r="N211" s="11" t="s">
        <v>9344</v>
      </c>
      <c r="O211" s="11"/>
      <c r="P211" s="11" t="s">
        <v>9345</v>
      </c>
      <c r="Q211" s="11"/>
      <c r="R211" s="11" t="s">
        <v>9346</v>
      </c>
      <c r="S211" s="11"/>
      <c r="T211" s="11" t="s">
        <v>9347</v>
      </c>
      <c r="U211" s="11" t="s">
        <v>9348</v>
      </c>
      <c r="V211" s="11"/>
      <c r="W211" s="11" t="s">
        <v>9349</v>
      </c>
      <c r="X211" s="11"/>
      <c r="Y211" s="11" t="s">
        <v>6991</v>
      </c>
      <c r="Z211" s="11"/>
      <c r="AA211" s="13" t="s">
        <v>9350</v>
      </c>
      <c r="AB211" s="11"/>
      <c r="AC211" s="11" t="s">
        <v>9351</v>
      </c>
      <c r="AD211" s="13" t="s">
        <v>6994</v>
      </c>
      <c r="AE211" s="11"/>
      <c r="AF211" s="11">
        <f t="shared" si="36"/>
        <v>0</v>
      </c>
      <c r="AG211" s="11" t="s">
        <v>9352</v>
      </c>
      <c r="AH211" s="11"/>
    </row>
    <row r="212" ht="15.75" customHeight="1">
      <c r="A212" s="11">
        <v>77.0</v>
      </c>
      <c r="B212" s="12" t="s">
        <v>9353</v>
      </c>
      <c r="C212" s="11"/>
      <c r="D212" s="11" t="s">
        <v>9354</v>
      </c>
      <c r="E212" s="11" t="s">
        <v>9355</v>
      </c>
      <c r="F212" s="11" t="s">
        <v>9356</v>
      </c>
      <c r="G212" s="11" t="s">
        <v>4700</v>
      </c>
      <c r="H212" s="11" t="s">
        <v>6981</v>
      </c>
      <c r="I212" s="11" t="s">
        <v>1102</v>
      </c>
      <c r="J212" s="11">
        <v>9.811380924E9</v>
      </c>
      <c r="K212" s="11"/>
      <c r="L212" s="11" t="s">
        <v>7003</v>
      </c>
      <c r="M212" s="11" t="s">
        <v>9357</v>
      </c>
      <c r="N212" s="11" t="s">
        <v>9358</v>
      </c>
      <c r="O212" s="11">
        <v>80.0</v>
      </c>
      <c r="P212" s="11" t="s">
        <v>9359</v>
      </c>
      <c r="Q212" s="11">
        <v>60.0</v>
      </c>
      <c r="R212" s="11" t="s">
        <v>9360</v>
      </c>
      <c r="S212" s="11">
        <v>80.0</v>
      </c>
      <c r="T212" s="11" t="s">
        <v>9361</v>
      </c>
      <c r="U212" s="11" t="s">
        <v>9362</v>
      </c>
      <c r="V212" s="11">
        <v>60.0</v>
      </c>
      <c r="W212" s="11" t="s">
        <v>9363</v>
      </c>
      <c r="X212" s="11">
        <v>50.0</v>
      </c>
      <c r="Y212" s="11" t="s">
        <v>6991</v>
      </c>
      <c r="Z212" s="11">
        <v>40.0</v>
      </c>
      <c r="AA212" s="13" t="s">
        <v>9364</v>
      </c>
      <c r="AB212" s="11">
        <v>30.0</v>
      </c>
      <c r="AC212" s="11" t="s">
        <v>9365</v>
      </c>
      <c r="AD212" s="13" t="s">
        <v>6994</v>
      </c>
      <c r="AE212" s="11"/>
      <c r="AF212" s="11">
        <f t="shared" ref="AF212:AF214" si="37">O212+Q212+S212+V212+X212+Z212+AB212+AE212</f>
        <v>400</v>
      </c>
      <c r="AG212" s="11"/>
      <c r="AH212" s="11"/>
    </row>
    <row r="213" ht="15.75" customHeight="1">
      <c r="A213" s="11">
        <v>337.0</v>
      </c>
      <c r="B213" s="12" t="s">
        <v>9366</v>
      </c>
      <c r="C213" s="11"/>
      <c r="D213" s="11" t="s">
        <v>9367</v>
      </c>
      <c r="E213" s="31" t="s">
        <v>511</v>
      </c>
      <c r="F213" s="31" t="s">
        <v>882</v>
      </c>
      <c r="G213" s="31" t="s">
        <v>5068</v>
      </c>
      <c r="H213" s="31" t="s">
        <v>56</v>
      </c>
      <c r="I213" s="31" t="s">
        <v>4015</v>
      </c>
      <c r="J213" s="31">
        <v>7.827346184E9</v>
      </c>
      <c r="K213" s="11" t="s">
        <v>7411</v>
      </c>
      <c r="L213" s="11" t="s">
        <v>6983</v>
      </c>
      <c r="M213" s="11" t="s">
        <v>9368</v>
      </c>
      <c r="N213" s="11" t="s">
        <v>9369</v>
      </c>
      <c r="O213" s="11">
        <v>25.0</v>
      </c>
      <c r="P213" s="11" t="s">
        <v>9370</v>
      </c>
      <c r="Q213" s="11">
        <v>25.0</v>
      </c>
      <c r="R213" s="11" t="s">
        <v>9371</v>
      </c>
      <c r="S213" s="11">
        <v>25.0</v>
      </c>
      <c r="T213" s="11" t="s">
        <v>9372</v>
      </c>
      <c r="U213" s="11" t="s">
        <v>9373</v>
      </c>
      <c r="V213" s="11">
        <v>25.0</v>
      </c>
      <c r="W213" s="11" t="s">
        <v>9374</v>
      </c>
      <c r="X213" s="11">
        <v>25.0</v>
      </c>
      <c r="Y213" s="11" t="s">
        <v>6991</v>
      </c>
      <c r="Z213" s="11">
        <v>0.0</v>
      </c>
      <c r="AA213" s="11" t="s">
        <v>7078</v>
      </c>
      <c r="AB213" s="11">
        <v>0.0</v>
      </c>
      <c r="AC213" s="11" t="s">
        <v>9375</v>
      </c>
      <c r="AD213" s="13" t="s">
        <v>6994</v>
      </c>
      <c r="AE213" s="11">
        <v>0.0</v>
      </c>
      <c r="AF213" s="11">
        <f t="shared" si="37"/>
        <v>125</v>
      </c>
      <c r="AG213" s="11" t="s">
        <v>9376</v>
      </c>
      <c r="AH213" s="11"/>
    </row>
    <row r="214" ht="15.75" customHeight="1">
      <c r="A214" s="11">
        <v>229.0</v>
      </c>
      <c r="B214" s="12" t="s">
        <v>9377</v>
      </c>
      <c r="C214" s="11" t="s">
        <v>4344</v>
      </c>
      <c r="D214" s="11" t="s">
        <v>9378</v>
      </c>
      <c r="E214" s="21" t="s">
        <v>4133</v>
      </c>
      <c r="F214" s="21" t="s">
        <v>4134</v>
      </c>
      <c r="G214" s="21" t="s">
        <v>4135</v>
      </c>
      <c r="H214" s="21" t="s">
        <v>9</v>
      </c>
      <c r="I214" s="21" t="s">
        <v>4136</v>
      </c>
      <c r="J214" s="22"/>
      <c r="K214" s="11" t="s">
        <v>7086</v>
      </c>
      <c r="L214" s="11" t="s">
        <v>7003</v>
      </c>
      <c r="M214" s="11" t="s">
        <v>9379</v>
      </c>
      <c r="N214" s="11" t="s">
        <v>9380</v>
      </c>
      <c r="O214" s="11">
        <v>50.0</v>
      </c>
      <c r="P214" s="11" t="s">
        <v>9381</v>
      </c>
      <c r="Q214" s="11">
        <v>50.0</v>
      </c>
      <c r="R214" s="11" t="s">
        <v>9382</v>
      </c>
      <c r="S214" s="11">
        <v>20.0</v>
      </c>
      <c r="T214" s="11" t="s">
        <v>9383</v>
      </c>
      <c r="U214" s="11" t="s">
        <v>9384</v>
      </c>
      <c r="V214" s="11">
        <v>40.0</v>
      </c>
      <c r="W214" s="11" t="s">
        <v>9385</v>
      </c>
      <c r="X214" s="11">
        <v>25.0</v>
      </c>
      <c r="Y214" s="11" t="s">
        <v>6991</v>
      </c>
      <c r="Z214" s="11">
        <v>25.0</v>
      </c>
      <c r="AA214" s="13" t="s">
        <v>9386</v>
      </c>
      <c r="AB214" s="11">
        <v>25.0</v>
      </c>
      <c r="AC214" s="11" t="s">
        <v>9387</v>
      </c>
      <c r="AD214" s="13" t="s">
        <v>6994</v>
      </c>
      <c r="AE214" s="11">
        <v>0.0</v>
      </c>
      <c r="AF214" s="11">
        <f t="shared" si="37"/>
        <v>235</v>
      </c>
      <c r="AG214" s="11" t="s">
        <v>9388</v>
      </c>
      <c r="AH214" s="11"/>
    </row>
    <row r="215" ht="15.75" customHeight="1">
      <c r="A215" s="11">
        <v>120.0</v>
      </c>
      <c r="B215" s="12" t="s">
        <v>9389</v>
      </c>
      <c r="C215" s="11" t="s">
        <v>7168</v>
      </c>
      <c r="D215" s="11" t="s">
        <v>9390</v>
      </c>
      <c r="E215" s="11"/>
      <c r="F215" s="11"/>
      <c r="G215" s="11"/>
      <c r="H215" s="11"/>
      <c r="I215" s="11"/>
      <c r="J215" s="11"/>
      <c r="K215" s="11"/>
      <c r="L215" s="11" t="s">
        <v>7003</v>
      </c>
      <c r="M215" s="11" t="s">
        <v>9391</v>
      </c>
      <c r="N215" s="11" t="s">
        <v>9392</v>
      </c>
      <c r="O215" s="11">
        <v>70.0</v>
      </c>
      <c r="P215" s="11" t="s">
        <v>9393</v>
      </c>
      <c r="Q215" s="11">
        <v>50.0</v>
      </c>
      <c r="R215" s="11" t="s">
        <v>9394</v>
      </c>
      <c r="S215" s="11">
        <v>70.0</v>
      </c>
      <c r="T215" s="11" t="s">
        <v>9395</v>
      </c>
      <c r="U215" s="11" t="s">
        <v>9396</v>
      </c>
      <c r="V215" s="11">
        <v>60.0</v>
      </c>
      <c r="W215" s="11" t="s">
        <v>9397</v>
      </c>
      <c r="X215" s="11">
        <v>70.0</v>
      </c>
      <c r="Y215" s="11" t="s">
        <v>6991</v>
      </c>
      <c r="Z215" s="11">
        <v>25.0</v>
      </c>
      <c r="AA215" s="11" t="s">
        <v>7078</v>
      </c>
      <c r="AB215" s="11"/>
      <c r="AC215" s="11" t="s">
        <v>9398</v>
      </c>
      <c r="AD215" s="13" t="s">
        <v>6994</v>
      </c>
      <c r="AE215" s="11"/>
      <c r="AF215" s="11">
        <f>AB215+Z215+X215+V215+S215+Q215+O215</f>
        <v>345</v>
      </c>
      <c r="AG215" s="11"/>
      <c r="AH215" s="11"/>
    </row>
    <row r="216" ht="15.75" customHeight="1">
      <c r="A216" s="11">
        <v>348.0</v>
      </c>
      <c r="B216" s="12" t="s">
        <v>9399</v>
      </c>
      <c r="C216" s="11"/>
      <c r="D216" s="11" t="s">
        <v>9400</v>
      </c>
      <c r="E216" s="31" t="s">
        <v>49</v>
      </c>
      <c r="F216" s="31" t="s">
        <v>4661</v>
      </c>
      <c r="G216" s="31" t="s">
        <v>4662</v>
      </c>
      <c r="H216" s="31" t="s">
        <v>26</v>
      </c>
      <c r="I216" s="31" t="s">
        <v>4587</v>
      </c>
      <c r="J216" s="31">
        <v>9.009457261E9</v>
      </c>
      <c r="K216" s="11" t="s">
        <v>7411</v>
      </c>
      <c r="L216" s="11" t="s">
        <v>6983</v>
      </c>
      <c r="M216" s="11" t="s">
        <v>9401</v>
      </c>
      <c r="N216" s="11" t="s">
        <v>9402</v>
      </c>
      <c r="O216" s="11">
        <v>25.0</v>
      </c>
      <c r="P216" s="11" t="s">
        <v>9403</v>
      </c>
      <c r="Q216" s="11">
        <v>25.0</v>
      </c>
      <c r="R216" s="11" t="s">
        <v>9404</v>
      </c>
      <c r="S216" s="11">
        <v>15.0</v>
      </c>
      <c r="T216" s="11" t="s">
        <v>9405</v>
      </c>
      <c r="U216" s="11" t="s">
        <v>9406</v>
      </c>
      <c r="V216" s="11">
        <v>10.0</v>
      </c>
      <c r="W216" s="11" t="s">
        <v>9407</v>
      </c>
      <c r="X216" s="11">
        <v>25.0</v>
      </c>
      <c r="Y216" s="11" t="s">
        <v>6991</v>
      </c>
      <c r="Z216" s="11">
        <v>0.0</v>
      </c>
      <c r="AA216" s="13" t="s">
        <v>9408</v>
      </c>
      <c r="AB216" s="11">
        <v>0.0</v>
      </c>
      <c r="AC216" s="11" t="s">
        <v>9409</v>
      </c>
      <c r="AD216" s="13" t="s">
        <v>6994</v>
      </c>
      <c r="AE216" s="11"/>
      <c r="AF216" s="11">
        <f>AE216+AB216+Z216+X216+V216+S216+Q216+O216</f>
        <v>100</v>
      </c>
      <c r="AG216" s="11"/>
      <c r="AH216" s="11"/>
    </row>
    <row r="217" ht="15.75" customHeight="1">
      <c r="A217" s="11">
        <v>183.0</v>
      </c>
      <c r="B217" s="12" t="s">
        <v>9410</v>
      </c>
      <c r="C217" s="11" t="s">
        <v>7168</v>
      </c>
      <c r="D217" s="11" t="s">
        <v>9411</v>
      </c>
      <c r="E217" s="11" t="s">
        <v>9412</v>
      </c>
      <c r="F217" s="11"/>
      <c r="G217" s="11"/>
      <c r="H217" s="11"/>
      <c r="I217" s="11"/>
      <c r="J217" s="11"/>
      <c r="K217" s="11"/>
      <c r="L217" s="11" t="s">
        <v>7003</v>
      </c>
      <c r="M217" s="11" t="s">
        <v>9413</v>
      </c>
      <c r="N217" s="11" t="s">
        <v>9414</v>
      </c>
      <c r="O217" s="11">
        <v>50.0</v>
      </c>
      <c r="P217" s="11" t="s">
        <v>9415</v>
      </c>
      <c r="Q217" s="11">
        <v>50.0</v>
      </c>
      <c r="R217" s="11" t="s">
        <v>9416</v>
      </c>
      <c r="S217" s="11">
        <v>50.0</v>
      </c>
      <c r="T217" s="11" t="s">
        <v>9417</v>
      </c>
      <c r="U217" s="11" t="s">
        <v>9418</v>
      </c>
      <c r="V217" s="11">
        <v>50.0</v>
      </c>
      <c r="W217" s="11" t="s">
        <v>9419</v>
      </c>
      <c r="X217" s="11">
        <v>25.0</v>
      </c>
      <c r="Y217" s="11" t="s">
        <v>7027</v>
      </c>
      <c r="Z217" s="11">
        <v>25.0</v>
      </c>
      <c r="AA217" s="13" t="s">
        <v>9420</v>
      </c>
      <c r="AB217" s="11">
        <v>25.0</v>
      </c>
      <c r="AC217" s="11" t="s">
        <v>9421</v>
      </c>
      <c r="AD217" s="13" t="s">
        <v>6994</v>
      </c>
      <c r="AE217" s="11"/>
      <c r="AF217" s="11">
        <f t="shared" ref="AF217:AF219" si="38">AB217+Z217+X217+V217+S217+Q217+O217</f>
        <v>275</v>
      </c>
      <c r="AG217" s="11"/>
      <c r="AH217" s="11"/>
    </row>
    <row r="218" ht="15.75" customHeight="1">
      <c r="A218" s="11">
        <v>141.0</v>
      </c>
      <c r="B218" s="11" t="s">
        <v>9422</v>
      </c>
      <c r="C218" s="11"/>
      <c r="D218" s="11" t="s">
        <v>9423</v>
      </c>
      <c r="E218" s="11"/>
      <c r="F218" s="11"/>
      <c r="G218" s="11"/>
      <c r="H218" s="11"/>
      <c r="I218" s="11"/>
      <c r="J218" s="11"/>
      <c r="K218" s="11"/>
      <c r="L218" s="11" t="s">
        <v>7003</v>
      </c>
      <c r="M218" s="11" t="s">
        <v>9424</v>
      </c>
      <c r="N218" s="11" t="s">
        <v>9425</v>
      </c>
      <c r="O218" s="11">
        <v>70.0</v>
      </c>
      <c r="P218" s="11" t="s">
        <v>9426</v>
      </c>
      <c r="Q218" s="11">
        <v>25.0</v>
      </c>
      <c r="R218" s="11" t="s">
        <v>9427</v>
      </c>
      <c r="S218" s="11">
        <v>50.0</v>
      </c>
      <c r="T218" s="11" t="s">
        <v>9428</v>
      </c>
      <c r="U218" s="11" t="s">
        <v>9429</v>
      </c>
      <c r="V218" s="11">
        <v>50.0</v>
      </c>
      <c r="W218" s="11" t="s">
        <v>9430</v>
      </c>
      <c r="X218" s="11">
        <v>50.0</v>
      </c>
      <c r="Y218" s="11" t="s">
        <v>6991</v>
      </c>
      <c r="Z218" s="11">
        <v>25.0</v>
      </c>
      <c r="AA218" s="13" t="s">
        <v>9431</v>
      </c>
      <c r="AB218" s="11">
        <v>50.0</v>
      </c>
      <c r="AC218" s="11" t="s">
        <v>9432</v>
      </c>
      <c r="AD218" s="13" t="s">
        <v>6994</v>
      </c>
      <c r="AE218" s="11"/>
      <c r="AF218" s="11">
        <f t="shared" si="38"/>
        <v>320</v>
      </c>
      <c r="AG218" s="11"/>
      <c r="AH218" s="11"/>
    </row>
    <row r="219" ht="15.75" customHeight="1">
      <c r="A219" s="11">
        <v>81.0</v>
      </c>
      <c r="B219" s="12" t="s">
        <v>9433</v>
      </c>
      <c r="C219" s="11" t="s">
        <v>7168</v>
      </c>
      <c r="D219" s="11" t="s">
        <v>9434</v>
      </c>
      <c r="E219" s="21" t="s">
        <v>3372</v>
      </c>
      <c r="F219" s="21" t="s">
        <v>3373</v>
      </c>
      <c r="G219" s="21" t="s">
        <v>3374</v>
      </c>
      <c r="H219" s="21" t="s">
        <v>9</v>
      </c>
      <c r="I219" s="21" t="s">
        <v>3375</v>
      </c>
      <c r="J219" s="22"/>
      <c r="K219" s="11"/>
      <c r="L219" s="11" t="s">
        <v>7003</v>
      </c>
      <c r="M219" s="11" t="s">
        <v>9435</v>
      </c>
      <c r="N219" s="11" t="s">
        <v>9436</v>
      </c>
      <c r="O219" s="11">
        <v>75.0</v>
      </c>
      <c r="P219" s="11" t="s">
        <v>9437</v>
      </c>
      <c r="Q219" s="11">
        <v>50.0</v>
      </c>
      <c r="R219" s="11" t="s">
        <v>9438</v>
      </c>
      <c r="S219" s="11">
        <v>75.0</v>
      </c>
      <c r="T219" s="11" t="s">
        <v>9439</v>
      </c>
      <c r="U219" s="11" t="s">
        <v>9440</v>
      </c>
      <c r="V219" s="11">
        <v>75.0</v>
      </c>
      <c r="W219" s="11" t="s">
        <v>9441</v>
      </c>
      <c r="X219" s="11">
        <v>70.0</v>
      </c>
      <c r="Y219" s="11" t="s">
        <v>7027</v>
      </c>
      <c r="Z219" s="11">
        <v>25.0</v>
      </c>
      <c r="AA219" s="13" t="s">
        <v>9442</v>
      </c>
      <c r="AB219" s="11">
        <v>25.0</v>
      </c>
      <c r="AC219" s="11" t="s">
        <v>9443</v>
      </c>
      <c r="AD219" s="13" t="s">
        <v>6994</v>
      </c>
      <c r="AE219" s="11"/>
      <c r="AF219" s="11">
        <f t="shared" si="38"/>
        <v>395</v>
      </c>
      <c r="AG219" s="11" t="s">
        <v>9444</v>
      </c>
      <c r="AH219" s="11"/>
    </row>
    <row r="220" ht="15.75" customHeight="1">
      <c r="A220" s="11">
        <v>393.0</v>
      </c>
      <c r="B220" s="12" t="s">
        <v>9445</v>
      </c>
      <c r="C220" s="11"/>
      <c r="D220" s="11" t="s">
        <v>9446</v>
      </c>
      <c r="E220" s="11" t="s">
        <v>4505</v>
      </c>
      <c r="F220" s="11" t="s">
        <v>9447</v>
      </c>
      <c r="G220" s="11" t="s">
        <v>5505</v>
      </c>
      <c r="H220" s="11" t="s">
        <v>7184</v>
      </c>
      <c r="I220" s="11" t="s">
        <v>5242</v>
      </c>
      <c r="J220" s="23" t="s">
        <v>9448</v>
      </c>
      <c r="K220" s="11"/>
      <c r="L220" s="11" t="s">
        <v>7003</v>
      </c>
      <c r="M220" s="11" t="s">
        <v>9449</v>
      </c>
      <c r="N220" s="11" t="s">
        <v>9450</v>
      </c>
      <c r="O220" s="11"/>
      <c r="P220" s="11" t="s">
        <v>9451</v>
      </c>
      <c r="Q220" s="11"/>
      <c r="R220" s="11" t="s">
        <v>9452</v>
      </c>
      <c r="S220" s="11"/>
      <c r="T220" s="11" t="s">
        <v>9453</v>
      </c>
      <c r="U220" s="11" t="s">
        <v>9454</v>
      </c>
      <c r="V220" s="11"/>
      <c r="W220" s="11" t="s">
        <v>9455</v>
      </c>
      <c r="X220" s="11"/>
      <c r="Y220" s="11" t="s">
        <v>6991</v>
      </c>
      <c r="Z220" s="11"/>
      <c r="AA220" s="13" t="s">
        <v>9456</v>
      </c>
      <c r="AB220" s="11"/>
      <c r="AC220" s="11" t="s">
        <v>9457</v>
      </c>
      <c r="AD220" s="13" t="s">
        <v>6994</v>
      </c>
      <c r="AE220" s="11"/>
      <c r="AF220" s="11">
        <f t="shared" ref="AF220:AF224" si="39">AE220+AB220+Z220+X220+V220+S220+Q220+O220</f>
        <v>0</v>
      </c>
      <c r="AG220" s="11"/>
      <c r="AH220" s="11"/>
    </row>
    <row r="221" ht="15.75" customHeight="1">
      <c r="A221" s="11">
        <v>172.0</v>
      </c>
      <c r="B221" s="12" t="s">
        <v>9458</v>
      </c>
      <c r="C221" s="11" t="s">
        <v>7043</v>
      </c>
      <c r="D221" s="11" t="s">
        <v>9459</v>
      </c>
      <c r="E221" s="31" t="s">
        <v>5044</v>
      </c>
      <c r="F221" s="31" t="s">
        <v>4613</v>
      </c>
      <c r="G221" s="31" t="s">
        <v>5045</v>
      </c>
      <c r="H221" s="31" t="s">
        <v>44</v>
      </c>
      <c r="I221" s="31" t="s">
        <v>4015</v>
      </c>
      <c r="J221" s="31">
        <v>8.882342923E9</v>
      </c>
      <c r="K221" s="11" t="s">
        <v>7411</v>
      </c>
      <c r="L221" s="11" t="s">
        <v>6983</v>
      </c>
      <c r="M221" s="11" t="s">
        <v>9460</v>
      </c>
      <c r="N221" s="11" t="s">
        <v>9461</v>
      </c>
      <c r="O221" s="11">
        <v>75.0</v>
      </c>
      <c r="P221" s="11" t="s">
        <v>9462</v>
      </c>
      <c r="Q221" s="11">
        <v>25.0</v>
      </c>
      <c r="R221" s="11" t="s">
        <v>9463</v>
      </c>
      <c r="S221" s="11">
        <v>80.0</v>
      </c>
      <c r="T221" s="11" t="s">
        <v>9464</v>
      </c>
      <c r="U221" s="11" t="s">
        <v>9465</v>
      </c>
      <c r="V221" s="11">
        <v>50.0</v>
      </c>
      <c r="W221" s="11" t="s">
        <v>9466</v>
      </c>
      <c r="X221" s="11">
        <v>25.0</v>
      </c>
      <c r="Y221" s="11" t="s">
        <v>6991</v>
      </c>
      <c r="Z221" s="11">
        <v>25.0</v>
      </c>
      <c r="AA221" s="11" t="s">
        <v>7078</v>
      </c>
      <c r="AB221" s="11">
        <v>0.0</v>
      </c>
      <c r="AC221" s="11" t="s">
        <v>9467</v>
      </c>
      <c r="AD221" s="13" t="s">
        <v>6994</v>
      </c>
      <c r="AE221" s="11"/>
      <c r="AF221" s="11">
        <f t="shared" si="39"/>
        <v>280</v>
      </c>
      <c r="AG221" s="11"/>
      <c r="AH221" s="11"/>
    </row>
    <row r="222" ht="15.75" customHeight="1">
      <c r="A222" s="11">
        <v>131.0</v>
      </c>
      <c r="B222" s="12" t="s">
        <v>9468</v>
      </c>
      <c r="C222" s="11" t="s">
        <v>7043</v>
      </c>
      <c r="D222" s="11" t="s">
        <v>9469</v>
      </c>
      <c r="E222" s="21" t="s">
        <v>2749</v>
      </c>
      <c r="F222" s="21" t="s">
        <v>5406</v>
      </c>
      <c r="G222" s="21" t="s">
        <v>925</v>
      </c>
      <c r="H222" s="21" t="s">
        <v>26</v>
      </c>
      <c r="I222" s="21" t="s">
        <v>926</v>
      </c>
      <c r="J222" s="31">
        <v>9.781751E9</v>
      </c>
      <c r="K222" s="11" t="s">
        <v>7411</v>
      </c>
      <c r="L222" s="11" t="s">
        <v>6983</v>
      </c>
      <c r="M222" s="11" t="s">
        <v>9470</v>
      </c>
      <c r="N222" s="11" t="s">
        <v>9471</v>
      </c>
      <c r="O222" s="11">
        <v>60.0</v>
      </c>
      <c r="P222" s="11" t="s">
        <v>9472</v>
      </c>
      <c r="Q222" s="11">
        <v>75.0</v>
      </c>
      <c r="R222" s="11" t="s">
        <v>9473</v>
      </c>
      <c r="S222" s="11">
        <v>50.0</v>
      </c>
      <c r="T222" s="13" t="s">
        <v>9474</v>
      </c>
      <c r="U222" s="11" t="s">
        <v>9475</v>
      </c>
      <c r="V222" s="11">
        <v>100.0</v>
      </c>
      <c r="W222" s="11" t="s">
        <v>9476</v>
      </c>
      <c r="X222" s="11">
        <v>25.0</v>
      </c>
      <c r="Y222" s="11" t="s">
        <v>7193</v>
      </c>
      <c r="Z222" s="11">
        <v>25.0</v>
      </c>
      <c r="AA222" s="11" t="s">
        <v>7078</v>
      </c>
      <c r="AB222" s="11">
        <v>0.0</v>
      </c>
      <c r="AC222" s="11" t="s">
        <v>9477</v>
      </c>
      <c r="AD222" s="13" t="s">
        <v>6994</v>
      </c>
      <c r="AE222" s="11"/>
      <c r="AF222" s="11">
        <f t="shared" si="39"/>
        <v>335</v>
      </c>
      <c r="AG222" s="11" t="s">
        <v>9478</v>
      </c>
      <c r="AH222" s="11"/>
    </row>
    <row r="223" ht="15.75" customHeight="1">
      <c r="A223" s="11">
        <v>58.0</v>
      </c>
      <c r="B223" s="12" t="s">
        <v>9479</v>
      </c>
      <c r="C223" s="11" t="s">
        <v>7081</v>
      </c>
      <c r="D223" s="11" t="s">
        <v>9480</v>
      </c>
      <c r="E223" s="11" t="s">
        <v>2693</v>
      </c>
      <c r="F223" s="11" t="s">
        <v>3846</v>
      </c>
      <c r="G223" s="11" t="s">
        <v>576</v>
      </c>
      <c r="H223" s="11" t="s">
        <v>7184</v>
      </c>
      <c r="I223" s="11" t="s">
        <v>4015</v>
      </c>
      <c r="J223" s="23">
        <v>9.811225751E9</v>
      </c>
      <c r="K223" s="11"/>
      <c r="L223" s="11" t="s">
        <v>7003</v>
      </c>
      <c r="M223" s="11" t="s">
        <v>9481</v>
      </c>
      <c r="N223" s="11" t="s">
        <v>9482</v>
      </c>
      <c r="O223" s="11">
        <v>75.0</v>
      </c>
      <c r="P223" s="11" t="s">
        <v>9483</v>
      </c>
      <c r="Q223" s="11">
        <v>75.0</v>
      </c>
      <c r="R223" s="11" t="s">
        <v>9484</v>
      </c>
      <c r="S223" s="11">
        <v>50.0</v>
      </c>
      <c r="T223" s="11" t="s">
        <v>9485</v>
      </c>
      <c r="U223" s="11" t="s">
        <v>9486</v>
      </c>
      <c r="V223" s="11">
        <v>75.0</v>
      </c>
      <c r="W223" s="11" t="s">
        <v>9487</v>
      </c>
      <c r="X223" s="11">
        <v>50.0</v>
      </c>
      <c r="Y223" s="11" t="s">
        <v>7193</v>
      </c>
      <c r="Z223" s="13">
        <v>50.0</v>
      </c>
      <c r="AA223" s="13" t="s">
        <v>9488</v>
      </c>
      <c r="AB223" s="11">
        <v>50.0</v>
      </c>
      <c r="AC223" s="11" t="s">
        <v>7094</v>
      </c>
      <c r="AD223" s="13" t="s">
        <v>6994</v>
      </c>
      <c r="AE223" s="11"/>
      <c r="AF223" s="11">
        <f t="shared" si="39"/>
        <v>425</v>
      </c>
      <c r="AG223" s="11"/>
      <c r="AH223" s="11"/>
    </row>
    <row r="224" ht="15.75" customHeight="1">
      <c r="A224" s="11">
        <v>116.0</v>
      </c>
      <c r="B224" s="12" t="s">
        <v>9489</v>
      </c>
      <c r="C224" s="11" t="s">
        <v>7081</v>
      </c>
      <c r="D224" s="11" t="s">
        <v>9490</v>
      </c>
      <c r="E224" s="11" t="s">
        <v>9491</v>
      </c>
      <c r="F224" s="11" t="s">
        <v>9492</v>
      </c>
      <c r="G224" s="11" t="s">
        <v>9493</v>
      </c>
      <c r="H224" s="11" t="s">
        <v>7047</v>
      </c>
      <c r="I224" s="11"/>
      <c r="J224" s="11"/>
      <c r="K224" s="11" t="s">
        <v>7411</v>
      </c>
      <c r="L224" s="11" t="s">
        <v>6983</v>
      </c>
      <c r="M224" s="11" t="s">
        <v>9494</v>
      </c>
      <c r="N224" s="11" t="s">
        <v>9495</v>
      </c>
      <c r="O224" s="11">
        <v>50.0</v>
      </c>
      <c r="P224" s="11" t="s">
        <v>9496</v>
      </c>
      <c r="Q224" s="11">
        <v>50.0</v>
      </c>
      <c r="R224" s="11" t="s">
        <v>9497</v>
      </c>
      <c r="S224" s="11">
        <v>50.0</v>
      </c>
      <c r="T224" s="11" t="s">
        <v>9498</v>
      </c>
      <c r="U224" s="11" t="s">
        <v>9499</v>
      </c>
      <c r="V224" s="11">
        <v>50.0</v>
      </c>
      <c r="W224" s="11" t="s">
        <v>9500</v>
      </c>
      <c r="X224" s="11">
        <v>75.0</v>
      </c>
      <c r="Y224" s="11" t="s">
        <v>7193</v>
      </c>
      <c r="Z224" s="13">
        <v>50.0</v>
      </c>
      <c r="AA224" s="13" t="s">
        <v>9501</v>
      </c>
      <c r="AB224" s="11">
        <v>25.0</v>
      </c>
      <c r="AC224" s="11" t="s">
        <v>9502</v>
      </c>
      <c r="AD224" s="13" t="s">
        <v>6994</v>
      </c>
      <c r="AE224" s="11"/>
      <c r="AF224" s="11">
        <f t="shared" si="39"/>
        <v>350</v>
      </c>
      <c r="AG224" s="11"/>
      <c r="AH224" s="11"/>
    </row>
    <row r="225" ht="15.75" customHeight="1">
      <c r="A225" s="11">
        <v>358.0</v>
      </c>
      <c r="B225" s="12" t="s">
        <v>9503</v>
      </c>
      <c r="C225" s="11"/>
      <c r="D225" s="11" t="s">
        <v>9504</v>
      </c>
      <c r="E225" s="31" t="s">
        <v>94</v>
      </c>
      <c r="F225" s="31" t="s">
        <v>5690</v>
      </c>
      <c r="G225" s="31" t="s">
        <v>5776</v>
      </c>
      <c r="H225" s="31" t="s">
        <v>1108</v>
      </c>
      <c r="I225" s="31" t="s">
        <v>5777</v>
      </c>
      <c r="J225" s="31" t="s">
        <v>9505</v>
      </c>
      <c r="K225" s="11" t="s">
        <v>7411</v>
      </c>
      <c r="L225" s="11" t="s">
        <v>6983</v>
      </c>
      <c r="M225" s="11" t="s">
        <v>9506</v>
      </c>
      <c r="N225" s="11" t="s">
        <v>9506</v>
      </c>
      <c r="O225" s="11">
        <v>20.0</v>
      </c>
      <c r="P225" s="11" t="s">
        <v>9507</v>
      </c>
      <c r="Q225" s="11">
        <v>0.0</v>
      </c>
      <c r="R225" s="11" t="s">
        <v>9508</v>
      </c>
      <c r="S225" s="11">
        <v>0.0</v>
      </c>
      <c r="T225" s="11" t="s">
        <v>9506</v>
      </c>
      <c r="U225" s="11" t="s">
        <v>9509</v>
      </c>
      <c r="V225" s="11">
        <v>20.0</v>
      </c>
      <c r="W225" s="11" t="s">
        <v>9510</v>
      </c>
      <c r="X225" s="11">
        <v>0.0</v>
      </c>
      <c r="Y225" s="11" t="s">
        <v>6991</v>
      </c>
      <c r="Z225" s="11">
        <v>10.0</v>
      </c>
      <c r="AA225" s="13" t="s">
        <v>9511</v>
      </c>
      <c r="AB225" s="11">
        <v>10.0</v>
      </c>
      <c r="AC225" s="11" t="s">
        <v>9512</v>
      </c>
      <c r="AD225" s="13" t="s">
        <v>6994</v>
      </c>
      <c r="AE225" s="11"/>
      <c r="AF225" s="11">
        <f>O225+Q225+S225+V225+X225+Z225+AB225</f>
        <v>60</v>
      </c>
      <c r="AG225" s="11"/>
      <c r="AH225" s="11"/>
    </row>
    <row r="226" ht="15.75" customHeight="1">
      <c r="A226" s="11">
        <v>100.0</v>
      </c>
      <c r="B226" s="12" t="s">
        <v>9513</v>
      </c>
      <c r="C226" s="11"/>
      <c r="D226" s="11" t="s">
        <v>9514</v>
      </c>
      <c r="E226" s="11" t="s">
        <v>996</v>
      </c>
      <c r="F226" s="11" t="s">
        <v>3352</v>
      </c>
      <c r="G226" s="11" t="s">
        <v>9515</v>
      </c>
      <c r="H226" s="11"/>
      <c r="I226" s="11" t="s">
        <v>494</v>
      </c>
      <c r="J226" s="23">
        <v>9.354704966E9</v>
      </c>
      <c r="K226" s="11"/>
      <c r="L226" s="11" t="s">
        <v>7003</v>
      </c>
      <c r="M226" s="11" t="s">
        <v>9516</v>
      </c>
      <c r="N226" s="11" t="s">
        <v>9517</v>
      </c>
      <c r="O226" s="11">
        <v>90.0</v>
      </c>
      <c r="P226" s="11" t="s">
        <v>9518</v>
      </c>
      <c r="Q226" s="11">
        <v>60.0</v>
      </c>
      <c r="R226" s="11" t="s">
        <v>9519</v>
      </c>
      <c r="S226" s="11">
        <v>60.0</v>
      </c>
      <c r="T226" s="11" t="s">
        <v>9520</v>
      </c>
      <c r="U226" s="11" t="s">
        <v>9521</v>
      </c>
      <c r="V226" s="11">
        <v>100.0</v>
      </c>
      <c r="W226" s="11" t="s">
        <v>9522</v>
      </c>
      <c r="X226" s="11">
        <v>20.0</v>
      </c>
      <c r="Y226" s="11" t="s">
        <v>7027</v>
      </c>
      <c r="Z226" s="11">
        <v>20.0</v>
      </c>
      <c r="AA226" s="13" t="s">
        <v>9523</v>
      </c>
      <c r="AB226" s="19">
        <v>20.0</v>
      </c>
      <c r="AC226" s="11" t="s">
        <v>9524</v>
      </c>
      <c r="AD226" s="13" t="s">
        <v>7420</v>
      </c>
      <c r="AE226" s="11"/>
      <c r="AF226" s="11">
        <f>O226+Q226+S226+V226+X226+Z226+AB226+AE226</f>
        <v>370</v>
      </c>
      <c r="AG226" s="11"/>
      <c r="AH226" s="11"/>
    </row>
    <row r="227" ht="15.75" customHeight="1">
      <c r="A227" s="11">
        <v>322.0</v>
      </c>
      <c r="B227" s="12" t="s">
        <v>9525</v>
      </c>
      <c r="C227" s="11"/>
      <c r="D227" s="11" t="s">
        <v>9526</v>
      </c>
      <c r="E227" s="31" t="s">
        <v>4937</v>
      </c>
      <c r="F227" s="31" t="s">
        <v>1090</v>
      </c>
      <c r="G227" s="31" t="s">
        <v>4938</v>
      </c>
      <c r="H227" s="31" t="s">
        <v>14</v>
      </c>
      <c r="I227" s="31" t="s">
        <v>4015</v>
      </c>
      <c r="J227" s="31">
        <v>9.711336624E9</v>
      </c>
      <c r="K227" s="11" t="s">
        <v>7411</v>
      </c>
      <c r="L227" s="11" t="s">
        <v>6983</v>
      </c>
      <c r="M227" s="11" t="s">
        <v>9527</v>
      </c>
      <c r="N227" s="11" t="s">
        <v>9528</v>
      </c>
      <c r="O227" s="11">
        <v>60.0</v>
      </c>
      <c r="P227" s="11" t="s">
        <v>9529</v>
      </c>
      <c r="Q227" s="11">
        <v>25.0</v>
      </c>
      <c r="R227" s="11" t="s">
        <v>9530</v>
      </c>
      <c r="S227" s="11">
        <v>25.0</v>
      </c>
      <c r="T227" s="11" t="s">
        <v>9531</v>
      </c>
      <c r="U227" s="11" t="s">
        <v>9532</v>
      </c>
      <c r="V227" s="11">
        <v>25.0</v>
      </c>
      <c r="W227" s="25" t="s">
        <v>9533</v>
      </c>
      <c r="X227" s="11">
        <v>0.0</v>
      </c>
      <c r="Y227" s="11" t="s">
        <v>6991</v>
      </c>
      <c r="Z227" s="11">
        <v>10.0</v>
      </c>
      <c r="AA227" s="13" t="s">
        <v>9534</v>
      </c>
      <c r="AB227" s="11">
        <v>0.0</v>
      </c>
      <c r="AC227" s="11" t="s">
        <v>9535</v>
      </c>
      <c r="AD227" s="13" t="s">
        <v>6994</v>
      </c>
      <c r="AE227" s="11"/>
      <c r="AF227" s="11">
        <f>AE227+AB227+Z227+X227+V227+S227+Q227+O227</f>
        <v>145</v>
      </c>
      <c r="AG227" s="11"/>
      <c r="AH227" s="11"/>
    </row>
    <row r="228" ht="15.75" customHeight="1">
      <c r="A228" s="11">
        <v>293.0</v>
      </c>
      <c r="B228" s="12" t="s">
        <v>9536</v>
      </c>
      <c r="C228" s="11"/>
      <c r="D228" s="15" t="s">
        <v>9537</v>
      </c>
      <c r="E228" s="11"/>
      <c r="F228" s="11"/>
      <c r="G228" s="11"/>
      <c r="H228" s="11"/>
      <c r="I228" s="11"/>
      <c r="J228" s="11"/>
      <c r="K228" s="11"/>
      <c r="L228" s="11" t="s">
        <v>7003</v>
      </c>
      <c r="M228" s="11" t="s">
        <v>9538</v>
      </c>
      <c r="N228" s="11" t="s">
        <v>9539</v>
      </c>
      <c r="O228" s="11">
        <v>40.0</v>
      </c>
      <c r="P228" s="11" t="s">
        <v>9540</v>
      </c>
      <c r="Q228" s="11">
        <v>25.0</v>
      </c>
      <c r="R228" s="11" t="s">
        <v>9541</v>
      </c>
      <c r="S228" s="11">
        <v>25.0</v>
      </c>
      <c r="T228" s="11" t="s">
        <v>9542</v>
      </c>
      <c r="U228" s="11" t="s">
        <v>9543</v>
      </c>
      <c r="V228" s="11">
        <v>25.0</v>
      </c>
      <c r="W228" s="11" t="s">
        <v>9544</v>
      </c>
      <c r="X228" s="11">
        <v>25.0</v>
      </c>
      <c r="Y228" s="11" t="s">
        <v>6991</v>
      </c>
      <c r="Z228" s="11">
        <v>25.0</v>
      </c>
      <c r="AA228" s="13" t="s">
        <v>9545</v>
      </c>
      <c r="AB228" s="11">
        <v>25.0</v>
      </c>
      <c r="AC228" s="11" t="s">
        <v>9546</v>
      </c>
      <c r="AD228" s="13" t="s">
        <v>6994</v>
      </c>
      <c r="AE228" s="11">
        <v>0.0</v>
      </c>
      <c r="AF228" s="11">
        <f>O228+Q228+S228+V228+X228+Z228+AB228+AE228</f>
        <v>190</v>
      </c>
      <c r="AG228" s="11" t="s">
        <v>9547</v>
      </c>
      <c r="AH228" s="11"/>
    </row>
    <row r="229" ht="15.75" customHeight="1">
      <c r="A229" s="11">
        <v>94.0</v>
      </c>
      <c r="B229" s="12" t="s">
        <v>9548</v>
      </c>
      <c r="C229" s="11" t="s">
        <v>7043</v>
      </c>
      <c r="D229" s="11" t="s">
        <v>9549</v>
      </c>
      <c r="E229" s="21" t="s">
        <v>4390</v>
      </c>
      <c r="F229" s="21" t="s">
        <v>4391</v>
      </c>
      <c r="G229" s="21" t="s">
        <v>4371</v>
      </c>
      <c r="H229" s="21" t="s">
        <v>26</v>
      </c>
      <c r="I229" s="21" t="s">
        <v>4392</v>
      </c>
      <c r="J229" s="31">
        <v>9.051078383E9</v>
      </c>
      <c r="K229" s="11" t="s">
        <v>7376</v>
      </c>
      <c r="L229" s="11" t="s">
        <v>7003</v>
      </c>
      <c r="M229" s="11" t="s">
        <v>9550</v>
      </c>
      <c r="N229" s="11" t="s">
        <v>9551</v>
      </c>
      <c r="O229" s="11">
        <v>75.0</v>
      </c>
      <c r="P229" s="11" t="s">
        <v>9552</v>
      </c>
      <c r="Q229" s="11">
        <v>50.0</v>
      </c>
      <c r="R229" s="11" t="s">
        <v>9553</v>
      </c>
      <c r="S229" s="11">
        <v>50.0</v>
      </c>
      <c r="T229" s="11" t="s">
        <v>9554</v>
      </c>
      <c r="U229" s="11" t="s">
        <v>9555</v>
      </c>
      <c r="V229" s="11">
        <v>75.0</v>
      </c>
      <c r="W229" s="11" t="s">
        <v>9556</v>
      </c>
      <c r="X229" s="11">
        <v>50.0</v>
      </c>
      <c r="Y229" s="11" t="s">
        <v>6991</v>
      </c>
      <c r="Z229" s="11">
        <v>25.0</v>
      </c>
      <c r="AA229" s="11" t="s">
        <v>9557</v>
      </c>
      <c r="AB229" s="11">
        <v>60.0</v>
      </c>
      <c r="AC229" s="11" t="s">
        <v>9558</v>
      </c>
      <c r="AD229" s="13" t="s">
        <v>6994</v>
      </c>
      <c r="AE229" s="11"/>
      <c r="AF229" s="11">
        <f>AE229+AB229+Z229+X229+V229+S229+Q229+O229</f>
        <v>385</v>
      </c>
      <c r="AG229" s="11"/>
      <c r="AH229" s="11"/>
    </row>
    <row r="230" ht="15.75" customHeight="1">
      <c r="A230" s="11">
        <v>157.0</v>
      </c>
      <c r="B230" s="12" t="s">
        <v>9559</v>
      </c>
      <c r="C230" s="11" t="s">
        <v>4344</v>
      </c>
      <c r="D230" s="11" t="s">
        <v>9560</v>
      </c>
      <c r="E230" s="21" t="s">
        <v>4533</v>
      </c>
      <c r="F230" s="21" t="s">
        <v>4534</v>
      </c>
      <c r="G230" s="21" t="s">
        <v>4535</v>
      </c>
      <c r="H230" s="21" t="s">
        <v>56</v>
      </c>
      <c r="I230" s="21" t="s">
        <v>4536</v>
      </c>
      <c r="J230" s="11"/>
      <c r="K230" s="11" t="s">
        <v>7086</v>
      </c>
      <c r="L230" s="11" t="s">
        <v>7003</v>
      </c>
      <c r="M230" s="11" t="s">
        <v>9561</v>
      </c>
      <c r="N230" s="11" t="s">
        <v>9562</v>
      </c>
      <c r="O230" s="11">
        <v>50.0</v>
      </c>
      <c r="P230" s="11" t="s">
        <v>9563</v>
      </c>
      <c r="Q230" s="11">
        <v>50.0</v>
      </c>
      <c r="R230" s="11" t="s">
        <v>9564</v>
      </c>
      <c r="S230" s="11">
        <v>25.0</v>
      </c>
      <c r="T230" s="11" t="s">
        <v>9565</v>
      </c>
      <c r="U230" s="11" t="s">
        <v>9566</v>
      </c>
      <c r="V230" s="11">
        <v>50.0</v>
      </c>
      <c r="W230" s="11" t="s">
        <v>9567</v>
      </c>
      <c r="X230" s="11">
        <v>70.0</v>
      </c>
      <c r="Y230" s="11" t="s">
        <v>7027</v>
      </c>
      <c r="Z230" s="11">
        <v>25.0</v>
      </c>
      <c r="AA230" s="13" t="s">
        <v>9568</v>
      </c>
      <c r="AB230" s="11">
        <v>25.0</v>
      </c>
      <c r="AC230" s="11" t="s">
        <v>9569</v>
      </c>
      <c r="AD230" s="13" t="s">
        <v>9108</v>
      </c>
      <c r="AE230" s="11">
        <v>0.0</v>
      </c>
      <c r="AF230" s="11">
        <f t="shared" ref="AF230:AF231" si="40">O230+Q230+S230+V230+X230+Z230+AB230+AE230</f>
        <v>295</v>
      </c>
      <c r="AG230" s="11" t="s">
        <v>9570</v>
      </c>
      <c r="AH230" s="11"/>
    </row>
    <row r="231" ht="15.75" customHeight="1">
      <c r="A231" s="11">
        <v>255.0</v>
      </c>
      <c r="B231" s="12" t="s">
        <v>9571</v>
      </c>
      <c r="C231" s="11" t="s">
        <v>4344</v>
      </c>
      <c r="D231" s="11" t="s">
        <v>9572</v>
      </c>
      <c r="E231" s="21" t="s">
        <v>146</v>
      </c>
      <c r="F231" s="21" t="s">
        <v>1867</v>
      </c>
      <c r="G231" s="21" t="s">
        <v>4149</v>
      </c>
      <c r="H231" s="21" t="s">
        <v>26</v>
      </c>
      <c r="I231" s="21" t="s">
        <v>4150</v>
      </c>
      <c r="J231" s="31">
        <v>7.888467389E9</v>
      </c>
      <c r="K231" s="11" t="s">
        <v>7411</v>
      </c>
      <c r="L231" s="11" t="s">
        <v>6983</v>
      </c>
      <c r="M231" s="11" t="s">
        <v>9573</v>
      </c>
      <c r="N231" s="11" t="s">
        <v>9574</v>
      </c>
      <c r="O231" s="11">
        <v>50.0</v>
      </c>
      <c r="P231" s="11" t="s">
        <v>9575</v>
      </c>
      <c r="Q231" s="11">
        <v>25.0</v>
      </c>
      <c r="R231" s="11" t="s">
        <v>9576</v>
      </c>
      <c r="S231" s="11">
        <v>25.0</v>
      </c>
      <c r="T231" s="11" t="s">
        <v>9577</v>
      </c>
      <c r="U231" s="11" t="s">
        <v>9578</v>
      </c>
      <c r="V231" s="11">
        <v>40.0</v>
      </c>
      <c r="W231" s="11" t="s">
        <v>9579</v>
      </c>
      <c r="X231" s="11">
        <v>50.0</v>
      </c>
      <c r="Y231" s="11" t="s">
        <v>6991</v>
      </c>
      <c r="Z231" s="11">
        <v>25.0</v>
      </c>
      <c r="AA231" s="11" t="s">
        <v>7078</v>
      </c>
      <c r="AB231" s="11">
        <v>0.0</v>
      </c>
      <c r="AC231" s="11" t="s">
        <v>9580</v>
      </c>
      <c r="AD231" s="13" t="s">
        <v>6994</v>
      </c>
      <c r="AE231" s="11">
        <v>0.0</v>
      </c>
      <c r="AF231" s="11">
        <f t="shared" si="40"/>
        <v>215</v>
      </c>
      <c r="AG231" s="11" t="s">
        <v>9581</v>
      </c>
      <c r="AH231" s="11"/>
    </row>
    <row r="232" ht="15.75" customHeight="1">
      <c r="A232" s="11">
        <v>110.0</v>
      </c>
      <c r="B232" s="12" t="s">
        <v>9582</v>
      </c>
      <c r="C232" s="11" t="s">
        <v>7043</v>
      </c>
      <c r="D232" s="11" t="s">
        <v>9583</v>
      </c>
      <c r="E232" s="31" t="s">
        <v>5886</v>
      </c>
      <c r="F232" s="31" t="s">
        <v>5887</v>
      </c>
      <c r="G232" s="31" t="s">
        <v>5888</v>
      </c>
      <c r="H232" s="31" t="s">
        <v>44</v>
      </c>
      <c r="I232" s="31" t="s">
        <v>4865</v>
      </c>
      <c r="J232" s="31">
        <v>7.624964194E9</v>
      </c>
      <c r="K232" s="11"/>
      <c r="L232" s="11" t="s">
        <v>6983</v>
      </c>
      <c r="M232" s="11" t="s">
        <v>9584</v>
      </c>
      <c r="N232" s="11" t="s">
        <v>9585</v>
      </c>
      <c r="O232" s="11">
        <v>60.0</v>
      </c>
      <c r="P232" s="11" t="s">
        <v>9586</v>
      </c>
      <c r="Q232" s="11">
        <v>50.0</v>
      </c>
      <c r="R232" s="11" t="s">
        <v>9587</v>
      </c>
      <c r="S232" s="11">
        <v>50.0</v>
      </c>
      <c r="T232" s="11" t="s">
        <v>9588</v>
      </c>
      <c r="U232" s="11" t="s">
        <v>9589</v>
      </c>
      <c r="V232" s="11">
        <v>75.0</v>
      </c>
      <c r="W232" s="11" t="s">
        <v>9590</v>
      </c>
      <c r="X232" s="11">
        <v>50.0</v>
      </c>
      <c r="Y232" s="11" t="s">
        <v>6991</v>
      </c>
      <c r="Z232" s="11">
        <v>25.0</v>
      </c>
      <c r="AA232" s="13" t="s">
        <v>9591</v>
      </c>
      <c r="AB232" s="11">
        <v>50.0</v>
      </c>
      <c r="AC232" s="11" t="s">
        <v>9592</v>
      </c>
      <c r="AD232" s="13" t="s">
        <v>6994</v>
      </c>
      <c r="AE232" s="11"/>
      <c r="AF232" s="11">
        <f>AE232+AB232+Z232+X232+V232+S232+Q232+O232</f>
        <v>360</v>
      </c>
      <c r="AG232" s="11"/>
      <c r="AH232" s="11"/>
    </row>
    <row r="233" ht="15.75" customHeight="1">
      <c r="A233" s="11">
        <v>239.0</v>
      </c>
      <c r="B233" s="12" t="s">
        <v>9593</v>
      </c>
      <c r="C233" s="11" t="s">
        <v>1531</v>
      </c>
      <c r="D233" s="11" t="s">
        <v>9594</v>
      </c>
      <c r="E233" s="11" t="s">
        <v>1654</v>
      </c>
      <c r="F233" s="11" t="s">
        <v>4401</v>
      </c>
      <c r="G233" s="11" t="s">
        <v>4371</v>
      </c>
      <c r="H233" s="11" t="s">
        <v>7047</v>
      </c>
      <c r="I233" s="11" t="s">
        <v>4392</v>
      </c>
      <c r="J233" s="11"/>
      <c r="K233" s="11" t="s">
        <v>9595</v>
      </c>
      <c r="L233" s="11" t="s">
        <v>7003</v>
      </c>
      <c r="M233" s="11" t="s">
        <v>9596</v>
      </c>
      <c r="N233" s="11" t="s">
        <v>9597</v>
      </c>
      <c r="O233" s="11">
        <v>60.0</v>
      </c>
      <c r="P233" s="11" t="s">
        <v>9598</v>
      </c>
      <c r="Q233" s="11">
        <v>60.0</v>
      </c>
      <c r="R233" s="11" t="s">
        <v>9599</v>
      </c>
      <c r="S233" s="11">
        <v>40.0</v>
      </c>
      <c r="T233" s="11" t="s">
        <v>9600</v>
      </c>
      <c r="U233" s="11" t="s">
        <v>9601</v>
      </c>
      <c r="V233" s="11">
        <v>40.0</v>
      </c>
      <c r="W233" s="11" t="s">
        <v>9602</v>
      </c>
      <c r="X233" s="11">
        <v>30.0</v>
      </c>
      <c r="Y233" s="11" t="s">
        <v>7193</v>
      </c>
      <c r="Z233" s="11">
        <v>0.0</v>
      </c>
      <c r="AA233" s="11" t="s">
        <v>7078</v>
      </c>
      <c r="AB233" s="11">
        <v>0.0</v>
      </c>
      <c r="AC233" s="11" t="s">
        <v>9603</v>
      </c>
      <c r="AD233" s="13" t="s">
        <v>6994</v>
      </c>
      <c r="AE233" s="11"/>
      <c r="AF233" s="11">
        <f>O233+Q233+S233+V233+X233+Z233+AB233+AE233</f>
        <v>230</v>
      </c>
      <c r="AG233" s="11"/>
      <c r="AH233" s="11"/>
    </row>
    <row r="234" ht="15.75" customHeight="1">
      <c r="A234" s="11">
        <v>159.0</v>
      </c>
      <c r="B234" s="12" t="s">
        <v>9604</v>
      </c>
      <c r="C234" s="11" t="s">
        <v>7043</v>
      </c>
      <c r="D234" s="11" t="s">
        <v>9605</v>
      </c>
      <c r="E234" s="21" t="s">
        <v>3857</v>
      </c>
      <c r="F234" s="21" t="s">
        <v>65</v>
      </c>
      <c r="G234" s="21" t="s">
        <v>5124</v>
      </c>
      <c r="H234" s="21" t="s">
        <v>56</v>
      </c>
      <c r="I234" s="21" t="s">
        <v>4212</v>
      </c>
      <c r="J234" s="31">
        <v>9.582732727E9</v>
      </c>
      <c r="K234" s="11"/>
      <c r="L234" s="11" t="s">
        <v>7003</v>
      </c>
      <c r="M234" s="11" t="s">
        <v>9606</v>
      </c>
      <c r="N234" s="11" t="s">
        <v>9607</v>
      </c>
      <c r="O234" s="11">
        <v>60.0</v>
      </c>
      <c r="P234" s="11" t="s">
        <v>9608</v>
      </c>
      <c r="Q234" s="11">
        <v>50.0</v>
      </c>
      <c r="R234" s="11" t="s">
        <v>9609</v>
      </c>
      <c r="S234" s="11">
        <v>25.0</v>
      </c>
      <c r="T234" s="11" t="s">
        <v>9610</v>
      </c>
      <c r="U234" s="11" t="s">
        <v>9611</v>
      </c>
      <c r="V234" s="11">
        <v>50.0</v>
      </c>
      <c r="W234" s="11" t="s">
        <v>9612</v>
      </c>
      <c r="X234" s="11">
        <v>85.0</v>
      </c>
      <c r="Y234" s="11" t="s">
        <v>6991</v>
      </c>
      <c r="Z234" s="11">
        <v>25.0</v>
      </c>
      <c r="AA234" s="11" t="s">
        <v>7078</v>
      </c>
      <c r="AB234" s="11">
        <v>0.0</v>
      </c>
      <c r="AC234" s="11" t="s">
        <v>9613</v>
      </c>
      <c r="AD234" s="13" t="s">
        <v>6994</v>
      </c>
      <c r="AE234" s="11"/>
      <c r="AF234" s="11">
        <f t="shared" ref="AF234:AF236" si="41">AE234+AB234+Z234+X234+V234+S234+Q234+O234</f>
        <v>295</v>
      </c>
      <c r="AG234" s="11"/>
      <c r="AH234" s="11"/>
    </row>
    <row r="235" ht="15.75" customHeight="1">
      <c r="A235" s="11">
        <v>132.0</v>
      </c>
      <c r="B235" s="12" t="s">
        <v>9614</v>
      </c>
      <c r="C235" s="11"/>
      <c r="D235" s="11" t="s">
        <v>9615</v>
      </c>
      <c r="E235" s="21" t="s">
        <v>5010</v>
      </c>
      <c r="F235" s="21" t="s">
        <v>5011</v>
      </c>
      <c r="G235" s="21" t="s">
        <v>5012</v>
      </c>
      <c r="H235" s="21" t="s">
        <v>56</v>
      </c>
      <c r="I235" s="21" t="s">
        <v>4015</v>
      </c>
      <c r="J235" s="21" t="s">
        <v>9616</v>
      </c>
      <c r="K235" s="21"/>
      <c r="L235" s="11" t="s">
        <v>6983</v>
      </c>
      <c r="M235" s="11" t="s">
        <v>9617</v>
      </c>
      <c r="N235" s="11" t="s">
        <v>9618</v>
      </c>
      <c r="O235" s="11">
        <v>75.0</v>
      </c>
      <c r="P235" s="11" t="s">
        <v>9619</v>
      </c>
      <c r="Q235" s="11">
        <v>75.0</v>
      </c>
      <c r="R235" s="11" t="s">
        <v>9620</v>
      </c>
      <c r="S235" s="11">
        <v>80.0</v>
      </c>
      <c r="T235" s="11" t="s">
        <v>9621</v>
      </c>
      <c r="U235" s="11" t="s">
        <v>9622</v>
      </c>
      <c r="V235" s="11">
        <v>50.0</v>
      </c>
      <c r="W235" s="11" t="s">
        <v>9623</v>
      </c>
      <c r="X235" s="11">
        <v>25.0</v>
      </c>
      <c r="Y235" s="11" t="s">
        <v>7027</v>
      </c>
      <c r="Z235" s="11">
        <v>25.0</v>
      </c>
      <c r="AA235" s="11" t="s">
        <v>7078</v>
      </c>
      <c r="AB235" s="11">
        <v>0.0</v>
      </c>
      <c r="AC235" s="11" t="s">
        <v>9624</v>
      </c>
      <c r="AD235" s="13" t="s">
        <v>6994</v>
      </c>
      <c r="AE235" s="11"/>
      <c r="AF235" s="11">
        <f t="shared" si="41"/>
        <v>330</v>
      </c>
      <c r="AG235" s="11"/>
      <c r="AH235" s="11"/>
    </row>
    <row r="236" ht="15.75" customHeight="1">
      <c r="A236" s="11">
        <v>95.0</v>
      </c>
      <c r="B236" s="11" t="s">
        <v>9625</v>
      </c>
      <c r="C236" s="11"/>
      <c r="D236" s="11" t="s">
        <v>9626</v>
      </c>
      <c r="E236" s="11" t="s">
        <v>1260</v>
      </c>
      <c r="F236" s="11" t="s">
        <v>4773</v>
      </c>
      <c r="G236" s="11" t="s">
        <v>9627</v>
      </c>
      <c r="H236" s="11" t="s">
        <v>7047</v>
      </c>
      <c r="I236" s="11" t="s">
        <v>2025</v>
      </c>
      <c r="J236" s="18">
        <v>9.910627905E9</v>
      </c>
      <c r="K236" s="11"/>
      <c r="L236" s="11" t="s">
        <v>7003</v>
      </c>
      <c r="M236" s="11" t="s">
        <v>9628</v>
      </c>
      <c r="N236" s="11" t="s">
        <v>9629</v>
      </c>
      <c r="O236" s="11">
        <v>50.0</v>
      </c>
      <c r="P236" s="11" t="s">
        <v>9630</v>
      </c>
      <c r="Q236" s="11">
        <v>50.0</v>
      </c>
      <c r="R236" s="11" t="s">
        <v>9631</v>
      </c>
      <c r="S236" s="11">
        <v>60.0</v>
      </c>
      <c r="T236" s="11" t="s">
        <v>9632</v>
      </c>
      <c r="U236" s="11" t="s">
        <v>9633</v>
      </c>
      <c r="V236" s="11">
        <v>60.0</v>
      </c>
      <c r="W236" s="11" t="s">
        <v>9634</v>
      </c>
      <c r="X236" s="11">
        <v>60.0</v>
      </c>
      <c r="Y236" s="11" t="s">
        <v>7027</v>
      </c>
      <c r="Z236" s="11">
        <v>50.0</v>
      </c>
      <c r="AA236" s="13" t="s">
        <v>9635</v>
      </c>
      <c r="AB236" s="11">
        <v>50.0</v>
      </c>
      <c r="AC236" s="11" t="s">
        <v>9636</v>
      </c>
      <c r="AD236" s="13" t="s">
        <v>6994</v>
      </c>
      <c r="AE236" s="11">
        <v>0.0</v>
      </c>
      <c r="AF236" s="11">
        <f t="shared" si="41"/>
        <v>380</v>
      </c>
      <c r="AG236" s="11"/>
      <c r="AH236" s="11"/>
    </row>
    <row r="237" ht="15.75" customHeight="1">
      <c r="A237" s="11">
        <v>243.0</v>
      </c>
      <c r="B237" s="12" t="s">
        <v>9637</v>
      </c>
      <c r="C237" s="11" t="s">
        <v>4344</v>
      </c>
      <c r="D237" s="11" t="s">
        <v>9638</v>
      </c>
      <c r="E237" s="11" t="s">
        <v>9639</v>
      </c>
      <c r="F237" s="11" t="s">
        <v>4008</v>
      </c>
      <c r="G237" s="11" t="s">
        <v>9640</v>
      </c>
      <c r="H237" s="11" t="s">
        <v>8293</v>
      </c>
      <c r="I237" s="11" t="s">
        <v>1102</v>
      </c>
      <c r="J237" s="18" t="s">
        <v>9641</v>
      </c>
      <c r="K237" s="11"/>
      <c r="L237" s="11" t="s">
        <v>7003</v>
      </c>
      <c r="M237" s="11" t="s">
        <v>9642</v>
      </c>
      <c r="N237" s="11" t="s">
        <v>9643</v>
      </c>
      <c r="O237" s="11">
        <v>50.0</v>
      </c>
      <c r="P237" s="11" t="s">
        <v>9644</v>
      </c>
      <c r="Q237" s="11">
        <v>40.0</v>
      </c>
      <c r="R237" s="11" t="s">
        <v>9645</v>
      </c>
      <c r="S237" s="11">
        <v>25.0</v>
      </c>
      <c r="T237" s="11" t="s">
        <v>9646</v>
      </c>
      <c r="U237" s="11" t="s">
        <v>9647</v>
      </c>
      <c r="V237" s="11">
        <v>50.0</v>
      </c>
      <c r="W237" s="11" t="s">
        <v>9648</v>
      </c>
      <c r="X237" s="11">
        <v>25.0</v>
      </c>
      <c r="Y237" s="11" t="s">
        <v>6991</v>
      </c>
      <c r="Z237" s="11">
        <v>25.0</v>
      </c>
      <c r="AA237" s="13" t="s">
        <v>9649</v>
      </c>
      <c r="AB237" s="11">
        <v>10.0</v>
      </c>
      <c r="AC237" s="11" t="s">
        <v>9650</v>
      </c>
      <c r="AD237" s="13" t="s">
        <v>6994</v>
      </c>
      <c r="AE237" s="11">
        <v>0.0</v>
      </c>
      <c r="AF237" s="11">
        <f>O237+Q237+S237+V237+X237+Z237+AB237+AE237</f>
        <v>225</v>
      </c>
      <c r="AG237" s="11" t="s">
        <v>9651</v>
      </c>
      <c r="AH237" s="11"/>
    </row>
    <row r="238" ht="15.75" customHeight="1">
      <c r="A238" s="11">
        <v>68.0</v>
      </c>
      <c r="B238" s="12" t="s">
        <v>9652</v>
      </c>
      <c r="C238" s="11"/>
      <c r="D238" s="11" t="s">
        <v>9653</v>
      </c>
      <c r="E238" s="31" t="s">
        <v>5132</v>
      </c>
      <c r="F238" s="31" t="s">
        <v>5133</v>
      </c>
      <c r="G238" s="31" t="s">
        <v>5134</v>
      </c>
      <c r="H238" s="31" t="s">
        <v>14</v>
      </c>
      <c r="I238" s="31" t="s">
        <v>4927</v>
      </c>
      <c r="J238" s="31">
        <v>9.937490415E9</v>
      </c>
      <c r="K238" s="11" t="s">
        <v>6982</v>
      </c>
      <c r="L238" s="11" t="s">
        <v>6983</v>
      </c>
      <c r="M238" s="11" t="s">
        <v>9654</v>
      </c>
      <c r="N238" s="11" t="s">
        <v>9655</v>
      </c>
      <c r="O238" s="11">
        <v>80.0</v>
      </c>
      <c r="P238" s="11" t="s">
        <v>9656</v>
      </c>
      <c r="Q238" s="11">
        <v>80.0</v>
      </c>
      <c r="R238" s="11" t="s">
        <v>8675</v>
      </c>
      <c r="S238" s="11">
        <v>80.0</v>
      </c>
      <c r="T238" s="11" t="s">
        <v>9657</v>
      </c>
      <c r="U238" s="11" t="s">
        <v>9658</v>
      </c>
      <c r="V238" s="11">
        <v>50.0</v>
      </c>
      <c r="W238" s="11" t="s">
        <v>9659</v>
      </c>
      <c r="X238" s="11">
        <v>60.0</v>
      </c>
      <c r="Y238" s="11" t="s">
        <v>6991</v>
      </c>
      <c r="Z238" s="11">
        <v>40.0</v>
      </c>
      <c r="AA238" s="13" t="s">
        <v>9660</v>
      </c>
      <c r="AB238" s="19">
        <v>20.0</v>
      </c>
      <c r="AC238" s="11" t="s">
        <v>9661</v>
      </c>
      <c r="AD238" s="13" t="s">
        <v>6994</v>
      </c>
      <c r="AE238" s="11"/>
      <c r="AF238" s="11">
        <f t="shared" ref="AF238:AF239" si="42">AE238+AB238+Z238+X238+V238+S238+Q238+O238</f>
        <v>410</v>
      </c>
      <c r="AG238" s="11"/>
      <c r="AH238" s="11"/>
    </row>
    <row r="239" ht="15.75" customHeight="1">
      <c r="A239" s="11">
        <v>231.0</v>
      </c>
      <c r="B239" s="12" t="s">
        <v>9662</v>
      </c>
      <c r="C239" s="11" t="s">
        <v>7043</v>
      </c>
      <c r="D239" s="11" t="s">
        <v>9663</v>
      </c>
      <c r="E239" s="31" t="s">
        <v>4784</v>
      </c>
      <c r="F239" s="31" t="s">
        <v>4785</v>
      </c>
      <c r="G239" s="31" t="s">
        <v>4700</v>
      </c>
      <c r="H239" s="31" t="s">
        <v>14</v>
      </c>
      <c r="I239" s="31" t="s">
        <v>4786</v>
      </c>
      <c r="J239" s="31">
        <v>9.854049774E9</v>
      </c>
      <c r="K239" s="11" t="s">
        <v>6982</v>
      </c>
      <c r="L239" s="11" t="s">
        <v>6983</v>
      </c>
      <c r="M239" s="11" t="s">
        <v>9664</v>
      </c>
      <c r="N239" s="11" t="s">
        <v>9665</v>
      </c>
      <c r="O239" s="11">
        <v>60.0</v>
      </c>
      <c r="P239" s="11" t="s">
        <v>9666</v>
      </c>
      <c r="Q239" s="11">
        <v>50.0</v>
      </c>
      <c r="R239" s="11" t="s">
        <v>9667</v>
      </c>
      <c r="S239" s="11">
        <v>25.0</v>
      </c>
      <c r="T239" s="11" t="s">
        <v>9668</v>
      </c>
      <c r="U239" s="11" t="s">
        <v>9669</v>
      </c>
      <c r="V239" s="11">
        <v>50.0</v>
      </c>
      <c r="W239" s="11" t="s">
        <v>9670</v>
      </c>
      <c r="X239" s="11">
        <v>20.0</v>
      </c>
      <c r="Y239" s="11" t="s">
        <v>6991</v>
      </c>
      <c r="Z239" s="11">
        <v>25.0</v>
      </c>
      <c r="AA239" s="13" t="s">
        <v>9671</v>
      </c>
      <c r="AB239" s="11">
        <v>0.0</v>
      </c>
      <c r="AC239" s="11" t="s">
        <v>9672</v>
      </c>
      <c r="AD239" s="13" t="s">
        <v>6994</v>
      </c>
      <c r="AE239" s="11"/>
      <c r="AF239" s="11">
        <f t="shared" si="42"/>
        <v>230</v>
      </c>
      <c r="AG239" s="11"/>
      <c r="AH239" s="11"/>
    </row>
    <row r="240" ht="15.75" customHeight="1">
      <c r="A240" s="11">
        <v>72.0</v>
      </c>
      <c r="B240" s="12" t="s">
        <v>9673</v>
      </c>
      <c r="C240" s="11" t="s">
        <v>1531</v>
      </c>
      <c r="D240" s="11" t="s">
        <v>9674</v>
      </c>
      <c r="E240" s="21" t="s">
        <v>4746</v>
      </c>
      <c r="F240" s="21" t="s">
        <v>4747</v>
      </c>
      <c r="G240" s="21" t="s">
        <v>4748</v>
      </c>
      <c r="H240" s="21" t="s">
        <v>102</v>
      </c>
      <c r="I240" s="21" t="s">
        <v>2575</v>
      </c>
      <c r="J240" s="31">
        <v>8.825829043E9</v>
      </c>
      <c r="K240" s="11" t="s">
        <v>6982</v>
      </c>
      <c r="L240" s="11" t="s">
        <v>6983</v>
      </c>
      <c r="M240" s="11" t="s">
        <v>9675</v>
      </c>
      <c r="N240" s="11" t="s">
        <v>9676</v>
      </c>
      <c r="O240" s="11">
        <v>60.0</v>
      </c>
      <c r="P240" s="11" t="s">
        <v>9677</v>
      </c>
      <c r="Q240" s="11">
        <v>80.0</v>
      </c>
      <c r="R240" s="11" t="s">
        <v>9678</v>
      </c>
      <c r="S240" s="11">
        <v>40.0</v>
      </c>
      <c r="T240" s="11" t="s">
        <v>9679</v>
      </c>
      <c r="U240" s="11" t="s">
        <v>9680</v>
      </c>
      <c r="V240" s="11">
        <v>50.0</v>
      </c>
      <c r="W240" s="11" t="s">
        <v>9681</v>
      </c>
      <c r="X240" s="11">
        <v>60.0</v>
      </c>
      <c r="Y240" s="11" t="s">
        <v>7027</v>
      </c>
      <c r="Z240" s="11">
        <v>60.0</v>
      </c>
      <c r="AA240" s="13" t="s">
        <v>9682</v>
      </c>
      <c r="AB240" s="11">
        <v>60.0</v>
      </c>
      <c r="AC240" s="11" t="s">
        <v>9683</v>
      </c>
      <c r="AD240" s="13" t="s">
        <v>6994</v>
      </c>
      <c r="AE240" s="11"/>
      <c r="AF240" s="11">
        <f t="shared" ref="AF240:AF241" si="43">O240+Q240+S240+V240+X240+Z240+AB240+AE240</f>
        <v>410</v>
      </c>
      <c r="AG240" s="11"/>
      <c r="AH240" s="11"/>
    </row>
    <row r="241" ht="15.75" customHeight="1">
      <c r="A241" s="11">
        <v>27.0</v>
      </c>
      <c r="B241" s="12" t="s">
        <v>9684</v>
      </c>
      <c r="C241" s="11"/>
      <c r="D241" s="11" t="s">
        <v>9685</v>
      </c>
      <c r="E241" s="31" t="s">
        <v>4727</v>
      </c>
      <c r="F241" s="31" t="s">
        <v>3126</v>
      </c>
      <c r="G241" s="31" t="s">
        <v>4635</v>
      </c>
      <c r="H241" s="31" t="s">
        <v>44</v>
      </c>
      <c r="I241" s="31" t="s">
        <v>4636</v>
      </c>
      <c r="J241" s="31">
        <v>9.776105528E9</v>
      </c>
      <c r="K241" s="11" t="s">
        <v>6982</v>
      </c>
      <c r="L241" s="11" t="s">
        <v>6983</v>
      </c>
      <c r="M241" s="11" t="s">
        <v>9686</v>
      </c>
      <c r="N241" s="11" t="s">
        <v>9687</v>
      </c>
      <c r="O241" s="11">
        <v>80.0</v>
      </c>
      <c r="P241" s="11" t="s">
        <v>9688</v>
      </c>
      <c r="Q241" s="11">
        <v>70.0</v>
      </c>
      <c r="R241" s="11" t="s">
        <v>9689</v>
      </c>
      <c r="S241" s="11">
        <v>80.0</v>
      </c>
      <c r="T241" s="11" t="s">
        <v>9690</v>
      </c>
      <c r="U241" s="11" t="s">
        <v>9691</v>
      </c>
      <c r="V241" s="11">
        <v>80.0</v>
      </c>
      <c r="W241" s="11" t="s">
        <v>9692</v>
      </c>
      <c r="X241" s="11">
        <v>80.0</v>
      </c>
      <c r="Y241" s="11" t="s">
        <v>6991</v>
      </c>
      <c r="Z241" s="11">
        <v>40.0</v>
      </c>
      <c r="AA241" s="13" t="s">
        <v>9693</v>
      </c>
      <c r="AB241" s="19">
        <v>30.0</v>
      </c>
      <c r="AC241" s="11" t="s">
        <v>9694</v>
      </c>
      <c r="AD241" s="13" t="s">
        <v>6994</v>
      </c>
      <c r="AE241" s="11"/>
      <c r="AF241" s="11">
        <f t="shared" si="43"/>
        <v>460</v>
      </c>
      <c r="AG241" s="11"/>
      <c r="AH241" s="11"/>
    </row>
    <row r="242" ht="15.75" customHeight="1">
      <c r="A242" s="11">
        <v>280.0</v>
      </c>
      <c r="B242" s="12" t="s">
        <v>9695</v>
      </c>
      <c r="C242" s="12" t="s">
        <v>2140</v>
      </c>
      <c r="D242" s="11" t="s">
        <v>9696</v>
      </c>
      <c r="E242" s="31" t="s">
        <v>6283</v>
      </c>
      <c r="F242" s="31" t="s">
        <v>2342</v>
      </c>
      <c r="G242" s="31" t="s">
        <v>6284</v>
      </c>
      <c r="H242" s="31" t="s">
        <v>44</v>
      </c>
      <c r="I242" s="31" t="s">
        <v>4015</v>
      </c>
      <c r="J242" s="31">
        <v>7.042207733E9</v>
      </c>
      <c r="K242" s="11" t="s">
        <v>6982</v>
      </c>
      <c r="L242" s="11" t="s">
        <v>6983</v>
      </c>
      <c r="M242" s="11" t="s">
        <v>9697</v>
      </c>
      <c r="N242" s="11" t="s">
        <v>9698</v>
      </c>
      <c r="O242" s="11">
        <v>50.0</v>
      </c>
      <c r="P242" s="11" t="s">
        <v>9699</v>
      </c>
      <c r="Q242" s="11">
        <v>40.0</v>
      </c>
      <c r="R242" s="11" t="s">
        <v>9700</v>
      </c>
      <c r="S242" s="11">
        <v>50.0</v>
      </c>
      <c r="T242" s="11" t="s">
        <v>9701</v>
      </c>
      <c r="U242" s="11" t="s">
        <v>9702</v>
      </c>
      <c r="V242" s="11">
        <v>20.0</v>
      </c>
      <c r="W242" s="11" t="s">
        <v>9703</v>
      </c>
      <c r="X242" s="11">
        <v>10.0</v>
      </c>
      <c r="Y242" s="11" t="s">
        <v>7027</v>
      </c>
      <c r="Z242" s="11">
        <v>20.0</v>
      </c>
      <c r="AA242" s="13" t="s">
        <v>9704</v>
      </c>
      <c r="AB242" s="11">
        <v>10.0</v>
      </c>
      <c r="AC242" s="11" t="s">
        <v>9705</v>
      </c>
      <c r="AD242" s="13" t="s">
        <v>6994</v>
      </c>
      <c r="AE242" s="11"/>
      <c r="AF242" s="11">
        <f>O242+Q242+S242+V242+X242+Z242+AB242</f>
        <v>200</v>
      </c>
      <c r="AG242" s="11"/>
      <c r="AH242" s="11"/>
    </row>
    <row r="243" ht="15.75" customHeight="1">
      <c r="A243" s="11">
        <v>134.0</v>
      </c>
      <c r="B243" s="12" t="s">
        <v>9706</v>
      </c>
      <c r="C243" s="11" t="s">
        <v>7168</v>
      </c>
      <c r="D243" s="11" t="s">
        <v>9707</v>
      </c>
      <c r="E243" s="31" t="s">
        <v>4333</v>
      </c>
      <c r="F243" s="31" t="s">
        <v>47</v>
      </c>
      <c r="G243" s="31" t="s">
        <v>4334</v>
      </c>
      <c r="H243" s="31" t="s">
        <v>44</v>
      </c>
      <c r="I243" s="31" t="s">
        <v>2025</v>
      </c>
      <c r="J243" s="31">
        <v>8.588010998E9</v>
      </c>
      <c r="K243" s="11" t="s">
        <v>6982</v>
      </c>
      <c r="L243" s="11" t="s">
        <v>6983</v>
      </c>
      <c r="M243" s="11" t="s">
        <v>9708</v>
      </c>
      <c r="N243" s="11" t="s">
        <v>9709</v>
      </c>
      <c r="O243" s="11">
        <v>50.0</v>
      </c>
      <c r="P243" s="11" t="s">
        <v>9710</v>
      </c>
      <c r="Q243" s="11">
        <v>50.0</v>
      </c>
      <c r="R243" s="11" t="s">
        <v>9711</v>
      </c>
      <c r="S243" s="11">
        <v>50.0</v>
      </c>
      <c r="T243" s="11" t="s">
        <v>9712</v>
      </c>
      <c r="U243" s="11" t="s">
        <v>9713</v>
      </c>
      <c r="V243" s="11">
        <v>70.0</v>
      </c>
      <c r="W243" s="11" t="s">
        <v>9714</v>
      </c>
      <c r="X243" s="11">
        <v>60.0</v>
      </c>
      <c r="Y243" s="11" t="s">
        <v>7027</v>
      </c>
      <c r="Z243" s="11">
        <v>25.0</v>
      </c>
      <c r="AA243" s="13" t="s">
        <v>9715</v>
      </c>
      <c r="AB243" s="11">
        <v>25.0</v>
      </c>
      <c r="AC243" s="11" t="s">
        <v>9716</v>
      </c>
      <c r="AD243" s="13" t="s">
        <v>6994</v>
      </c>
      <c r="AE243" s="11"/>
      <c r="AF243" s="11">
        <f>AB243+Z243+X243+V243+S243+Q243+O243</f>
        <v>330</v>
      </c>
      <c r="AG243" s="11"/>
      <c r="AH243" s="11"/>
    </row>
    <row r="244" ht="15.75" customHeight="1">
      <c r="A244" s="11">
        <v>325.0</v>
      </c>
      <c r="B244" s="11" t="s">
        <v>9717</v>
      </c>
      <c r="C244" s="11"/>
      <c r="D244" s="38" t="s">
        <v>9718</v>
      </c>
      <c r="E244" s="11" t="s">
        <v>6933</v>
      </c>
      <c r="F244" s="11" t="s">
        <v>50</v>
      </c>
      <c r="G244" s="11" t="s">
        <v>9719</v>
      </c>
      <c r="H244" s="11" t="s">
        <v>6981</v>
      </c>
      <c r="I244" s="11" t="s">
        <v>5408</v>
      </c>
      <c r="J244" s="18">
        <v>9.81466656E9</v>
      </c>
      <c r="K244" s="11"/>
      <c r="L244" s="11" t="s">
        <v>7003</v>
      </c>
      <c r="M244" s="11" t="s">
        <v>9720</v>
      </c>
      <c r="N244" s="11" t="s">
        <v>9721</v>
      </c>
      <c r="O244" s="11">
        <v>50.0</v>
      </c>
      <c r="P244" s="11" t="s">
        <v>9722</v>
      </c>
      <c r="Q244" s="11">
        <v>0.0</v>
      </c>
      <c r="R244" s="11" t="s">
        <v>9723</v>
      </c>
      <c r="S244" s="11">
        <v>20.0</v>
      </c>
      <c r="T244" s="11" t="s">
        <v>9724</v>
      </c>
      <c r="U244" s="11" t="s">
        <v>9725</v>
      </c>
      <c r="V244" s="11">
        <v>10.0</v>
      </c>
      <c r="W244" s="11" t="s">
        <v>9726</v>
      </c>
      <c r="X244" s="11">
        <v>50.0</v>
      </c>
      <c r="Y244" s="11" t="s">
        <v>6991</v>
      </c>
      <c r="Z244" s="11">
        <v>10.0</v>
      </c>
      <c r="AA244" s="11" t="s">
        <v>7078</v>
      </c>
      <c r="AB244" s="11">
        <v>0.0</v>
      </c>
      <c r="AC244" s="11" t="s">
        <v>9727</v>
      </c>
      <c r="AD244" s="13" t="s">
        <v>6994</v>
      </c>
      <c r="AE244" s="11"/>
      <c r="AF244" s="11">
        <f t="shared" ref="AF244:AF245" si="44">AE244+AB244+Z244+X244+V244+S244+Q244+O244</f>
        <v>140</v>
      </c>
      <c r="AG244" s="11"/>
      <c r="AH244" s="11"/>
    </row>
    <row r="245" ht="15.75" customHeight="1">
      <c r="A245" s="11">
        <v>166.0</v>
      </c>
      <c r="B245" s="12" t="s">
        <v>9728</v>
      </c>
      <c r="C245" s="11" t="s">
        <v>7043</v>
      </c>
      <c r="D245" s="11" t="s">
        <v>9729</v>
      </c>
      <c r="E245" s="11" t="s">
        <v>9730</v>
      </c>
      <c r="F245" s="11" t="s">
        <v>9731</v>
      </c>
      <c r="G245" s="11" t="s">
        <v>9732</v>
      </c>
      <c r="H245" s="11" t="s">
        <v>7047</v>
      </c>
      <c r="I245" s="11" t="s">
        <v>9733</v>
      </c>
      <c r="J245" s="11"/>
      <c r="K245" s="11" t="s">
        <v>7376</v>
      </c>
      <c r="L245" s="11" t="s">
        <v>7003</v>
      </c>
      <c r="M245" s="11" t="s">
        <v>9734</v>
      </c>
      <c r="N245" s="11" t="s">
        <v>9735</v>
      </c>
      <c r="O245" s="11">
        <v>65.0</v>
      </c>
      <c r="P245" s="11" t="s">
        <v>9736</v>
      </c>
      <c r="Q245" s="11">
        <v>50.0</v>
      </c>
      <c r="R245" s="11" t="s">
        <v>9737</v>
      </c>
      <c r="S245" s="11">
        <v>70.0</v>
      </c>
      <c r="T245" s="11" t="s">
        <v>9738</v>
      </c>
      <c r="U245" s="11" t="s">
        <v>9739</v>
      </c>
      <c r="V245" s="11">
        <v>25.0</v>
      </c>
      <c r="W245" s="11" t="s">
        <v>9740</v>
      </c>
      <c r="X245" s="11">
        <v>25.0</v>
      </c>
      <c r="Y245" s="11" t="s">
        <v>7027</v>
      </c>
      <c r="Z245" s="11">
        <v>25.0</v>
      </c>
      <c r="AA245" s="13" t="s">
        <v>9741</v>
      </c>
      <c r="AB245" s="11">
        <v>25.0</v>
      </c>
      <c r="AC245" s="11" t="s">
        <v>9742</v>
      </c>
      <c r="AD245" s="13" t="s">
        <v>6994</v>
      </c>
      <c r="AE245" s="11"/>
      <c r="AF245" s="11">
        <f t="shared" si="44"/>
        <v>285</v>
      </c>
      <c r="AG245" s="11" t="s">
        <v>9743</v>
      </c>
      <c r="AH245" s="11"/>
    </row>
    <row r="246" ht="15.75" customHeight="1">
      <c r="A246" s="11">
        <v>362.0</v>
      </c>
      <c r="B246" s="12" t="s">
        <v>9744</v>
      </c>
      <c r="C246" s="11" t="s">
        <v>2140</v>
      </c>
      <c r="D246" s="11" t="s">
        <v>9745</v>
      </c>
      <c r="E246" s="21" t="s">
        <v>9746</v>
      </c>
      <c r="F246" s="21" t="s">
        <v>9747</v>
      </c>
      <c r="G246" s="21" t="s">
        <v>9748</v>
      </c>
      <c r="H246" s="21" t="s">
        <v>44</v>
      </c>
      <c r="I246" s="21" t="s">
        <v>4276</v>
      </c>
      <c r="J246" s="21">
        <v>7.993344081E9</v>
      </c>
      <c r="K246" s="11"/>
      <c r="L246" s="11" t="s">
        <v>7003</v>
      </c>
      <c r="M246" s="11" t="s">
        <v>9749</v>
      </c>
      <c r="N246" s="11" t="s">
        <v>9750</v>
      </c>
      <c r="O246" s="11">
        <v>5.0</v>
      </c>
      <c r="P246" s="11" t="s">
        <v>9750</v>
      </c>
      <c r="Q246" s="11">
        <v>5.0</v>
      </c>
      <c r="R246" s="11" t="s">
        <v>9750</v>
      </c>
      <c r="S246" s="11">
        <v>5.0</v>
      </c>
      <c r="T246" s="11" t="s">
        <v>9750</v>
      </c>
      <c r="U246" s="11" t="s">
        <v>9750</v>
      </c>
      <c r="V246" s="11">
        <v>5.0</v>
      </c>
      <c r="W246" s="11" t="s">
        <v>9750</v>
      </c>
      <c r="X246" s="11">
        <v>5.0</v>
      </c>
      <c r="Y246" s="11" t="s">
        <v>7027</v>
      </c>
      <c r="Z246" s="11">
        <v>5.0</v>
      </c>
      <c r="AA246" s="13" t="s">
        <v>9751</v>
      </c>
      <c r="AB246" s="11">
        <v>5.0</v>
      </c>
      <c r="AC246" s="11" t="s">
        <v>9752</v>
      </c>
      <c r="AD246" s="13" t="s">
        <v>6994</v>
      </c>
      <c r="AE246" s="11"/>
      <c r="AF246" s="11">
        <f>O246+Q246+S246+V246+X246+Z246+AB246</f>
        <v>35</v>
      </c>
      <c r="AG246" s="11"/>
      <c r="AH246" s="11"/>
    </row>
    <row r="247" ht="15.75" customHeight="1">
      <c r="A247" s="11">
        <v>387.0</v>
      </c>
      <c r="B247" s="12" t="s">
        <v>9753</v>
      </c>
      <c r="C247" s="11"/>
      <c r="D247" s="11" t="s">
        <v>9754</v>
      </c>
      <c r="E247" s="31" t="s">
        <v>4974</v>
      </c>
      <c r="F247" s="31" t="s">
        <v>4975</v>
      </c>
      <c r="G247" s="31" t="s">
        <v>4976</v>
      </c>
      <c r="H247" s="31" t="s">
        <v>14</v>
      </c>
      <c r="I247" s="31" t="s">
        <v>494</v>
      </c>
      <c r="J247" s="31">
        <v>9.910298944E9</v>
      </c>
      <c r="K247" s="11" t="s">
        <v>6982</v>
      </c>
      <c r="L247" s="11" t="s">
        <v>6983</v>
      </c>
      <c r="M247" s="11" t="s">
        <v>9755</v>
      </c>
      <c r="N247" s="11" t="s">
        <v>9756</v>
      </c>
      <c r="O247" s="11"/>
      <c r="P247" s="11" t="s">
        <v>9757</v>
      </c>
      <c r="Q247" s="11"/>
      <c r="R247" s="11" t="s">
        <v>9758</v>
      </c>
      <c r="S247" s="11"/>
      <c r="T247" s="11" t="s">
        <v>9759</v>
      </c>
      <c r="U247" s="11" t="s">
        <v>9760</v>
      </c>
      <c r="V247" s="11"/>
      <c r="W247" s="11" t="s">
        <v>9761</v>
      </c>
      <c r="X247" s="11"/>
      <c r="Y247" s="11" t="s">
        <v>6991</v>
      </c>
      <c r="Z247" s="11"/>
      <c r="AA247" s="13" t="s">
        <v>9762</v>
      </c>
      <c r="AB247" s="11"/>
      <c r="AC247" s="11" t="s">
        <v>9763</v>
      </c>
      <c r="AD247" s="13" t="s">
        <v>6994</v>
      </c>
      <c r="AE247" s="11"/>
      <c r="AF247" s="11">
        <f>AB247+Z247+X247+V247+S247+Q247+O247</f>
        <v>0</v>
      </c>
      <c r="AG247" s="11" t="s">
        <v>9764</v>
      </c>
      <c r="AH247" s="11"/>
    </row>
    <row r="248" ht="15.75" customHeight="1">
      <c r="A248" s="11">
        <v>356.0</v>
      </c>
      <c r="B248" s="12" t="s">
        <v>9765</v>
      </c>
      <c r="C248" s="11" t="s">
        <v>2140</v>
      </c>
      <c r="D248" s="11" t="s">
        <v>9766</v>
      </c>
      <c r="E248" s="11" t="s">
        <v>9767</v>
      </c>
      <c r="F248" s="11" t="s">
        <v>1875</v>
      </c>
      <c r="G248" s="31" t="s">
        <v>4976</v>
      </c>
      <c r="H248" s="31" t="s">
        <v>14</v>
      </c>
      <c r="I248" s="31" t="s">
        <v>494</v>
      </c>
      <c r="J248" s="18">
        <v>8.447724427E9</v>
      </c>
      <c r="K248" s="11" t="s">
        <v>6982</v>
      </c>
      <c r="L248" s="11" t="s">
        <v>7003</v>
      </c>
      <c r="M248" s="11" t="s">
        <v>9768</v>
      </c>
      <c r="N248" s="11" t="s">
        <v>9769</v>
      </c>
      <c r="O248" s="11">
        <v>20.0</v>
      </c>
      <c r="P248" s="11" t="s">
        <v>9770</v>
      </c>
      <c r="Q248" s="11">
        <v>10.0</v>
      </c>
      <c r="R248" s="11" t="s">
        <v>9771</v>
      </c>
      <c r="S248" s="11">
        <v>10.0</v>
      </c>
      <c r="T248" s="11" t="s">
        <v>9772</v>
      </c>
      <c r="U248" s="11" t="s">
        <v>9773</v>
      </c>
      <c r="V248" s="11">
        <v>20.0</v>
      </c>
      <c r="W248" s="11" t="s">
        <v>9774</v>
      </c>
      <c r="X248" s="11">
        <v>5.0</v>
      </c>
      <c r="Y248" s="11" t="s">
        <v>6991</v>
      </c>
      <c r="Z248" s="11">
        <v>5.0</v>
      </c>
      <c r="AA248" s="13" t="s">
        <v>9775</v>
      </c>
      <c r="AB248" s="11">
        <v>10.0</v>
      </c>
      <c r="AC248" s="11" t="s">
        <v>9776</v>
      </c>
      <c r="AD248" s="13" t="s">
        <v>6994</v>
      </c>
      <c r="AE248" s="11"/>
      <c r="AF248" s="11">
        <f>O248+Q248+S248+V248+X248+Z248+AB248</f>
        <v>80</v>
      </c>
      <c r="AG248" s="11"/>
      <c r="AH248" s="11"/>
    </row>
    <row r="249" ht="15.75" customHeight="1">
      <c r="A249" s="11">
        <v>247.0</v>
      </c>
      <c r="B249" s="12" t="s">
        <v>9777</v>
      </c>
      <c r="C249" s="12" t="s">
        <v>4344</v>
      </c>
      <c r="D249" s="11" t="s">
        <v>9778</v>
      </c>
      <c r="E249" s="31" t="s">
        <v>6798</v>
      </c>
      <c r="F249" s="31" t="s">
        <v>1658</v>
      </c>
      <c r="G249" s="31" t="s">
        <v>4334</v>
      </c>
      <c r="H249" s="31" t="s">
        <v>26</v>
      </c>
      <c r="I249" s="31" t="s">
        <v>2025</v>
      </c>
      <c r="J249" s="31">
        <v>9.205977372E9</v>
      </c>
      <c r="K249" s="11" t="s">
        <v>6982</v>
      </c>
      <c r="L249" s="11" t="s">
        <v>6983</v>
      </c>
      <c r="M249" s="11" t="s">
        <v>9779</v>
      </c>
      <c r="N249" s="11" t="s">
        <v>9780</v>
      </c>
      <c r="O249" s="11">
        <v>60.0</v>
      </c>
      <c r="P249" s="11" t="s">
        <v>9781</v>
      </c>
      <c r="Q249" s="11">
        <v>20.0</v>
      </c>
      <c r="R249" s="11" t="s">
        <v>9782</v>
      </c>
      <c r="S249" s="11">
        <v>50.0</v>
      </c>
      <c r="T249" s="11" t="s">
        <v>9783</v>
      </c>
      <c r="U249" s="11" t="s">
        <v>9784</v>
      </c>
      <c r="V249" s="11">
        <v>30.0</v>
      </c>
      <c r="W249" s="11" t="s">
        <v>9785</v>
      </c>
      <c r="X249" s="11">
        <v>10.0</v>
      </c>
      <c r="Y249" s="11" t="s">
        <v>7027</v>
      </c>
      <c r="Z249" s="11">
        <v>25.0</v>
      </c>
      <c r="AA249" s="13" t="s">
        <v>9786</v>
      </c>
      <c r="AB249" s="11">
        <v>25.0</v>
      </c>
      <c r="AC249" s="11" t="s">
        <v>9787</v>
      </c>
      <c r="AD249" s="13" t="s">
        <v>6994</v>
      </c>
      <c r="AE249" s="11">
        <v>0.0</v>
      </c>
      <c r="AF249" s="11">
        <v>220.0</v>
      </c>
      <c r="AG249" s="39" t="s">
        <v>9788</v>
      </c>
      <c r="AH249" s="11"/>
    </row>
    <row r="250" ht="15.75" customHeight="1">
      <c r="A250" s="11">
        <v>44.0</v>
      </c>
      <c r="B250" s="12" t="s">
        <v>9789</v>
      </c>
      <c r="C250" s="11"/>
      <c r="D250" s="38" t="s">
        <v>9790</v>
      </c>
      <c r="E250" s="11" t="s">
        <v>189</v>
      </c>
      <c r="F250" s="11" t="s">
        <v>9791</v>
      </c>
      <c r="G250" s="11"/>
      <c r="H250" s="11" t="s">
        <v>9792</v>
      </c>
      <c r="I250" s="11"/>
      <c r="J250" s="11"/>
      <c r="K250" s="11"/>
      <c r="L250" s="11" t="s">
        <v>7003</v>
      </c>
      <c r="M250" s="11" t="s">
        <v>9793</v>
      </c>
      <c r="N250" s="11" t="s">
        <v>9793</v>
      </c>
      <c r="O250" s="11">
        <v>80.0</v>
      </c>
      <c r="P250" s="11" t="s">
        <v>9793</v>
      </c>
      <c r="Q250" s="11">
        <v>80.0</v>
      </c>
      <c r="R250" s="11" t="s">
        <v>9793</v>
      </c>
      <c r="S250" s="11">
        <v>80.0</v>
      </c>
      <c r="T250" s="11" t="s">
        <v>9793</v>
      </c>
      <c r="U250" s="11" t="s">
        <v>9793</v>
      </c>
      <c r="V250" s="11">
        <v>90.0</v>
      </c>
      <c r="W250" s="11" t="s">
        <v>9793</v>
      </c>
      <c r="X250" s="11">
        <v>90.0</v>
      </c>
      <c r="Y250" s="11" t="s">
        <v>6991</v>
      </c>
      <c r="Z250" s="11"/>
      <c r="AA250" s="13" t="s">
        <v>9794</v>
      </c>
      <c r="AB250" s="19">
        <v>20.0</v>
      </c>
      <c r="AC250" s="11" t="s">
        <v>9795</v>
      </c>
      <c r="AD250" s="13" t="s">
        <v>6994</v>
      </c>
      <c r="AE250" s="11"/>
      <c r="AF250" s="11">
        <f>AE250+AB250+Z250+X250+V250+S250+Q250+O250</f>
        <v>440</v>
      </c>
      <c r="AG250" s="11"/>
      <c r="AH250" s="11"/>
    </row>
    <row r="251" ht="15.75" customHeight="1">
      <c r="A251" s="11">
        <v>225.0</v>
      </c>
      <c r="B251" s="12" t="s">
        <v>9796</v>
      </c>
      <c r="C251" s="11" t="s">
        <v>4344</v>
      </c>
      <c r="D251" s="11" t="s">
        <v>9797</v>
      </c>
      <c r="E251" s="21" t="s">
        <v>189</v>
      </c>
      <c r="F251" s="21" t="s">
        <v>5523</v>
      </c>
      <c r="G251" s="21" t="s">
        <v>5524</v>
      </c>
      <c r="H251" s="21" t="s">
        <v>44</v>
      </c>
      <c r="I251" s="21" t="s">
        <v>434</v>
      </c>
      <c r="J251" s="31">
        <v>8.879515164E9</v>
      </c>
      <c r="K251" s="11" t="s">
        <v>6982</v>
      </c>
      <c r="L251" s="11" t="s">
        <v>7003</v>
      </c>
      <c r="M251" s="11" t="s">
        <v>9798</v>
      </c>
      <c r="N251" s="11" t="s">
        <v>9799</v>
      </c>
      <c r="O251" s="11">
        <v>50.0</v>
      </c>
      <c r="P251" s="11" t="s">
        <v>9800</v>
      </c>
      <c r="Q251" s="11">
        <v>35.0</v>
      </c>
      <c r="R251" s="11" t="s">
        <v>9801</v>
      </c>
      <c r="S251" s="11">
        <v>25.0</v>
      </c>
      <c r="T251" s="11" t="s">
        <v>9802</v>
      </c>
      <c r="U251" s="11" t="s">
        <v>9803</v>
      </c>
      <c r="V251" s="11">
        <v>65.0</v>
      </c>
      <c r="W251" s="11" t="s">
        <v>9804</v>
      </c>
      <c r="X251" s="11">
        <v>40.0</v>
      </c>
      <c r="Y251" s="11" t="s">
        <v>6991</v>
      </c>
      <c r="Z251" s="11">
        <v>25.0</v>
      </c>
      <c r="AA251" s="11" t="s">
        <v>7078</v>
      </c>
      <c r="AB251" s="11">
        <v>0.0</v>
      </c>
      <c r="AC251" s="11" t="s">
        <v>9805</v>
      </c>
      <c r="AD251" s="13" t="s">
        <v>6994</v>
      </c>
      <c r="AE251" s="11">
        <v>0.0</v>
      </c>
      <c r="AF251" s="11">
        <f>O251+Q251+S251+V251+X251+Z251+AB251+AE251</f>
        <v>240</v>
      </c>
      <c r="AG251" s="11" t="s">
        <v>9806</v>
      </c>
      <c r="AH251" s="11"/>
    </row>
    <row r="252" ht="15.75" customHeight="1">
      <c r="A252" s="11">
        <v>39.0</v>
      </c>
      <c r="B252" s="12" t="s">
        <v>9807</v>
      </c>
      <c r="C252" s="11" t="s">
        <v>7168</v>
      </c>
      <c r="D252" s="11" t="s">
        <v>9808</v>
      </c>
      <c r="E252" s="31" t="s">
        <v>5049</v>
      </c>
      <c r="F252" s="31" t="s">
        <v>63</v>
      </c>
      <c r="G252" s="31" t="s">
        <v>4700</v>
      </c>
      <c r="H252" s="31" t="s">
        <v>14</v>
      </c>
      <c r="I252" s="31" t="s">
        <v>4015</v>
      </c>
      <c r="J252" s="31">
        <v>9.922404044E9</v>
      </c>
      <c r="K252" s="11" t="s">
        <v>6982</v>
      </c>
      <c r="L252" s="11" t="s">
        <v>6983</v>
      </c>
      <c r="M252" s="11" t="s">
        <v>9809</v>
      </c>
      <c r="N252" s="11" t="s">
        <v>9810</v>
      </c>
      <c r="O252" s="11">
        <v>80.0</v>
      </c>
      <c r="P252" s="11" t="s">
        <v>9811</v>
      </c>
      <c r="Q252" s="11">
        <v>50.0</v>
      </c>
      <c r="R252" s="11" t="s">
        <v>9812</v>
      </c>
      <c r="S252" s="11">
        <v>80.0</v>
      </c>
      <c r="T252" s="11" t="s">
        <v>9813</v>
      </c>
      <c r="U252" s="11" t="s">
        <v>9814</v>
      </c>
      <c r="V252" s="11">
        <v>80.0</v>
      </c>
      <c r="W252" s="11" t="s">
        <v>9815</v>
      </c>
      <c r="X252" s="11">
        <v>80.0</v>
      </c>
      <c r="Y252" s="11" t="s">
        <v>7027</v>
      </c>
      <c r="Z252" s="11">
        <v>25.0</v>
      </c>
      <c r="AA252" s="13" t="s">
        <v>9816</v>
      </c>
      <c r="AB252" s="11">
        <v>50.0</v>
      </c>
      <c r="AC252" s="11" t="s">
        <v>9817</v>
      </c>
      <c r="AD252" s="13" t="s">
        <v>6994</v>
      </c>
      <c r="AE252" s="11"/>
      <c r="AF252" s="11">
        <f>AB252+Z252+X252+V252+S252+Q252+O252</f>
        <v>445</v>
      </c>
      <c r="AG252" s="11"/>
      <c r="AH252" s="11"/>
    </row>
    <row r="253" ht="15.75" customHeight="1">
      <c r="A253" s="11">
        <v>311.0</v>
      </c>
      <c r="B253" s="12" t="s">
        <v>9818</v>
      </c>
      <c r="C253" s="11"/>
      <c r="D253" s="11" t="s">
        <v>9819</v>
      </c>
      <c r="E253" s="21" t="s">
        <v>4359</v>
      </c>
      <c r="F253" s="21" t="s">
        <v>4576</v>
      </c>
      <c r="G253" s="21" t="s">
        <v>4577</v>
      </c>
      <c r="H253" s="21" t="s">
        <v>9</v>
      </c>
      <c r="I253" s="21" t="s">
        <v>4546</v>
      </c>
      <c r="J253" s="31">
        <v>8.604596323E9</v>
      </c>
      <c r="K253" s="11" t="s">
        <v>7376</v>
      </c>
      <c r="L253" s="11" t="s">
        <v>7003</v>
      </c>
      <c r="M253" s="11" t="s">
        <v>9820</v>
      </c>
      <c r="N253" s="11" t="s">
        <v>9821</v>
      </c>
      <c r="O253" s="11">
        <v>40.0</v>
      </c>
      <c r="P253" s="11" t="s">
        <v>9822</v>
      </c>
      <c r="Q253" s="11">
        <v>50.0</v>
      </c>
      <c r="R253" s="11" t="s">
        <v>9823</v>
      </c>
      <c r="S253" s="11">
        <v>25.0</v>
      </c>
      <c r="T253" s="11" t="s">
        <v>9824</v>
      </c>
      <c r="U253" s="11" t="s">
        <v>9825</v>
      </c>
      <c r="V253" s="11">
        <v>10.0</v>
      </c>
      <c r="W253" s="11" t="s">
        <v>9826</v>
      </c>
      <c r="X253" s="11">
        <v>25.0</v>
      </c>
      <c r="Y253" s="11" t="s">
        <v>6991</v>
      </c>
      <c r="Z253" s="11">
        <v>0.0</v>
      </c>
      <c r="AA253" s="13" t="s">
        <v>9827</v>
      </c>
      <c r="AB253" s="19">
        <v>10.0</v>
      </c>
      <c r="AC253" s="11" t="s">
        <v>9828</v>
      </c>
      <c r="AD253" s="13" t="s">
        <v>6994</v>
      </c>
      <c r="AE253" s="11"/>
      <c r="AF253" s="11">
        <f>AE253+AB253+Z253+X253+V253+S253+Q253+O253</f>
        <v>160</v>
      </c>
      <c r="AG253" s="11"/>
      <c r="AH253" s="11"/>
    </row>
    <row r="254" ht="15.75" customHeight="1">
      <c r="A254" s="11">
        <v>6.0</v>
      </c>
      <c r="B254" s="12" t="s">
        <v>9829</v>
      </c>
      <c r="C254" s="11" t="s">
        <v>4344</v>
      </c>
      <c r="D254" s="11" t="s">
        <v>9830</v>
      </c>
      <c r="E254" s="21" t="s">
        <v>4359</v>
      </c>
      <c r="F254" s="21" t="s">
        <v>1090</v>
      </c>
      <c r="G254" s="21" t="s">
        <v>4360</v>
      </c>
      <c r="H254" s="21" t="s">
        <v>9</v>
      </c>
      <c r="I254" s="21" t="s">
        <v>494</v>
      </c>
      <c r="J254" s="31">
        <v>9.205310191E9</v>
      </c>
      <c r="K254" s="11" t="s">
        <v>6982</v>
      </c>
      <c r="L254" s="11" t="s">
        <v>7003</v>
      </c>
      <c r="M254" s="11" t="s">
        <v>9831</v>
      </c>
      <c r="N254" s="11" t="s">
        <v>9832</v>
      </c>
      <c r="O254" s="11">
        <v>85.0</v>
      </c>
      <c r="P254" s="11" t="s">
        <v>9833</v>
      </c>
      <c r="Q254" s="11">
        <v>85.0</v>
      </c>
      <c r="R254" s="11" t="s">
        <v>9834</v>
      </c>
      <c r="S254" s="11">
        <v>75.0</v>
      </c>
      <c r="T254" s="11" t="s">
        <v>9835</v>
      </c>
      <c r="U254" s="11" t="s">
        <v>9836</v>
      </c>
      <c r="V254" s="11">
        <v>90.0</v>
      </c>
      <c r="W254" s="11" t="s">
        <v>9837</v>
      </c>
      <c r="X254" s="11">
        <v>90.0</v>
      </c>
      <c r="Y254" s="11" t="s">
        <v>7027</v>
      </c>
      <c r="Z254" s="11">
        <v>50.0</v>
      </c>
      <c r="AA254" s="13" t="s">
        <v>9838</v>
      </c>
      <c r="AB254" s="11">
        <v>90.0</v>
      </c>
      <c r="AC254" s="11" t="s">
        <v>9839</v>
      </c>
      <c r="AD254" s="13" t="s">
        <v>6994</v>
      </c>
      <c r="AE254" s="11">
        <v>0.0</v>
      </c>
      <c r="AF254" s="11">
        <f t="shared" ref="AF254:AF256" si="45">O254+Q254+S254+V254+X254+Z254+AB254+AE254</f>
        <v>565</v>
      </c>
      <c r="AG254" s="11" t="s">
        <v>9840</v>
      </c>
      <c r="AH254" s="11"/>
    </row>
    <row r="255" ht="15.75" customHeight="1">
      <c r="A255" s="11">
        <v>203.0</v>
      </c>
      <c r="B255" s="12" t="s">
        <v>9841</v>
      </c>
      <c r="C255" s="11" t="s">
        <v>4344</v>
      </c>
      <c r="D255" s="11" t="s">
        <v>9842</v>
      </c>
      <c r="E255" s="31" t="s">
        <v>4359</v>
      </c>
      <c r="F255" s="31" t="s">
        <v>5202</v>
      </c>
      <c r="G255" s="31" t="s">
        <v>5203</v>
      </c>
      <c r="H255" s="31" t="s">
        <v>56</v>
      </c>
      <c r="I255" s="31" t="s">
        <v>5204</v>
      </c>
      <c r="J255" s="31">
        <v>9.881451921E9</v>
      </c>
      <c r="K255" s="11" t="s">
        <v>6982</v>
      </c>
      <c r="L255" s="11" t="s">
        <v>6983</v>
      </c>
      <c r="M255" s="11" t="s">
        <v>9843</v>
      </c>
      <c r="N255" s="11" t="s">
        <v>9844</v>
      </c>
      <c r="O255" s="11">
        <v>70.0</v>
      </c>
      <c r="P255" s="11" t="s">
        <v>9845</v>
      </c>
      <c r="Q255" s="11">
        <v>40.0</v>
      </c>
      <c r="R255" s="11" t="s">
        <v>9846</v>
      </c>
      <c r="S255" s="11">
        <v>25.0</v>
      </c>
      <c r="T255" s="11" t="s">
        <v>9847</v>
      </c>
      <c r="U255" s="11" t="s">
        <v>9848</v>
      </c>
      <c r="V255" s="11">
        <v>50.0</v>
      </c>
      <c r="W255" s="11" t="s">
        <v>9849</v>
      </c>
      <c r="X255" s="11">
        <v>40.0</v>
      </c>
      <c r="Y255" s="11" t="s">
        <v>6991</v>
      </c>
      <c r="Z255" s="11">
        <v>25.0</v>
      </c>
      <c r="AA255" s="11" t="s">
        <v>7078</v>
      </c>
      <c r="AB255" s="11">
        <v>0.0</v>
      </c>
      <c r="AC255" s="11" t="s">
        <v>9850</v>
      </c>
      <c r="AD255" s="13" t="s">
        <v>6994</v>
      </c>
      <c r="AE255" s="11">
        <v>0.0</v>
      </c>
      <c r="AF255" s="11">
        <f t="shared" si="45"/>
        <v>250</v>
      </c>
      <c r="AG255" s="11" t="s">
        <v>9851</v>
      </c>
      <c r="AH255" s="11"/>
    </row>
    <row r="256" ht="15.75" customHeight="1">
      <c r="A256" s="11">
        <v>399.0</v>
      </c>
      <c r="B256" s="12" t="s">
        <v>9852</v>
      </c>
      <c r="C256" s="11" t="s">
        <v>1531</v>
      </c>
      <c r="D256" s="11" t="s">
        <v>9853</v>
      </c>
      <c r="E256" s="21" t="s">
        <v>6409</v>
      </c>
      <c r="F256" s="21" t="s">
        <v>3352</v>
      </c>
      <c r="G256" s="21" t="s">
        <v>6410</v>
      </c>
      <c r="H256" s="21" t="s">
        <v>44</v>
      </c>
      <c r="I256" s="21" t="s">
        <v>4416</v>
      </c>
      <c r="J256" s="31">
        <v>9.149254626E9</v>
      </c>
      <c r="K256" s="11" t="s">
        <v>6982</v>
      </c>
      <c r="L256" s="11" t="s">
        <v>6983</v>
      </c>
      <c r="M256" s="11" t="s">
        <v>9854</v>
      </c>
      <c r="N256" s="11" t="s">
        <v>9855</v>
      </c>
      <c r="O256" s="11">
        <v>20.0</v>
      </c>
      <c r="P256" s="11" t="s">
        <v>9856</v>
      </c>
      <c r="Q256" s="11">
        <v>0.0</v>
      </c>
      <c r="R256" s="11" t="s">
        <v>9857</v>
      </c>
      <c r="S256" s="11">
        <v>0.0</v>
      </c>
      <c r="T256" s="11" t="s">
        <v>9858</v>
      </c>
      <c r="U256" s="11" t="s">
        <v>9859</v>
      </c>
      <c r="V256" s="11">
        <v>10.0</v>
      </c>
      <c r="W256" s="11" t="s">
        <v>9860</v>
      </c>
      <c r="X256" s="11">
        <v>10.0</v>
      </c>
      <c r="Y256" s="11" t="s">
        <v>7027</v>
      </c>
      <c r="Z256" s="11">
        <v>10.0</v>
      </c>
      <c r="AA256" s="13" t="s">
        <v>9861</v>
      </c>
      <c r="AB256" s="11">
        <v>20.0</v>
      </c>
      <c r="AC256" s="11" t="s">
        <v>9862</v>
      </c>
      <c r="AD256" s="13" t="s">
        <v>6994</v>
      </c>
      <c r="AE256" s="11"/>
      <c r="AF256" s="11">
        <f t="shared" si="45"/>
        <v>70</v>
      </c>
      <c r="AG256" s="11"/>
      <c r="AH256" s="11"/>
    </row>
    <row r="257" ht="15.75" customHeight="1">
      <c r="A257" s="11">
        <v>191.0</v>
      </c>
      <c r="B257" s="12" t="s">
        <v>9863</v>
      </c>
      <c r="C257" s="11" t="s">
        <v>2140</v>
      </c>
      <c r="D257" s="11" t="s">
        <v>9864</v>
      </c>
      <c r="E257" s="21" t="s">
        <v>511</v>
      </c>
      <c r="F257" s="21" t="s">
        <v>3140</v>
      </c>
      <c r="G257" s="21" t="s">
        <v>3141</v>
      </c>
      <c r="H257" s="21" t="s">
        <v>56</v>
      </c>
      <c r="I257" s="21" t="s">
        <v>434</v>
      </c>
      <c r="J257" s="31">
        <v>8.108056403E9</v>
      </c>
      <c r="K257" s="11" t="s">
        <v>7086</v>
      </c>
      <c r="L257" s="11" t="s">
        <v>7003</v>
      </c>
      <c r="M257" s="11" t="s">
        <v>9865</v>
      </c>
      <c r="N257" s="11" t="s">
        <v>9866</v>
      </c>
      <c r="O257" s="11">
        <v>45.0</v>
      </c>
      <c r="P257" s="11" t="s">
        <v>9867</v>
      </c>
      <c r="Q257" s="11">
        <v>35.0</v>
      </c>
      <c r="R257" s="11" t="s">
        <v>9868</v>
      </c>
      <c r="S257" s="11">
        <v>40.0</v>
      </c>
      <c r="T257" s="11" t="s">
        <v>9869</v>
      </c>
      <c r="U257" s="11" t="s">
        <v>9870</v>
      </c>
      <c r="V257" s="11">
        <v>50.0</v>
      </c>
      <c r="W257" s="11" t="s">
        <v>9871</v>
      </c>
      <c r="X257" s="11">
        <v>40.0</v>
      </c>
      <c r="Y257" s="11" t="s">
        <v>6991</v>
      </c>
      <c r="Z257" s="11">
        <v>30.0</v>
      </c>
      <c r="AA257" s="13" t="s">
        <v>9872</v>
      </c>
      <c r="AB257" s="11">
        <v>30.0</v>
      </c>
      <c r="AC257" s="11" t="s">
        <v>9873</v>
      </c>
      <c r="AD257" s="13" t="s">
        <v>6994</v>
      </c>
      <c r="AE257" s="11"/>
      <c r="AF257" s="11">
        <f>O257+Q257+S257+V257+X257+Z257+AB257</f>
        <v>270</v>
      </c>
      <c r="AG257" s="11"/>
      <c r="AH257" s="11"/>
    </row>
    <row r="258" ht="15.75" customHeight="1">
      <c r="A258" s="11">
        <v>40.0</v>
      </c>
      <c r="B258" s="12" t="s">
        <v>9874</v>
      </c>
      <c r="C258" s="11" t="s">
        <v>7081</v>
      </c>
      <c r="D258" s="11" t="s">
        <v>9875</v>
      </c>
      <c r="E258" s="11" t="s">
        <v>4502</v>
      </c>
      <c r="F258" s="11" t="s">
        <v>112</v>
      </c>
      <c r="G258" s="11" t="s">
        <v>83</v>
      </c>
      <c r="H258" s="11"/>
      <c r="I258" s="11"/>
      <c r="J258" s="11">
        <v>8.745951248E9</v>
      </c>
      <c r="K258" s="11"/>
      <c r="L258" s="11" t="s">
        <v>7003</v>
      </c>
      <c r="M258" s="11" t="s">
        <v>9876</v>
      </c>
      <c r="N258" s="11" t="s">
        <v>7819</v>
      </c>
      <c r="O258" s="11">
        <v>70.0</v>
      </c>
      <c r="P258" s="11" t="s">
        <v>7820</v>
      </c>
      <c r="Q258" s="11">
        <v>25.0</v>
      </c>
      <c r="R258" s="11" t="s">
        <v>7821</v>
      </c>
      <c r="S258" s="11">
        <v>75.0</v>
      </c>
      <c r="T258" s="11" t="s">
        <v>7822</v>
      </c>
      <c r="U258" s="11" t="s">
        <v>7823</v>
      </c>
      <c r="V258" s="11">
        <v>75.0</v>
      </c>
      <c r="W258" s="11" t="s">
        <v>9877</v>
      </c>
      <c r="X258" s="11">
        <v>100.0</v>
      </c>
      <c r="Y258" s="11" t="s">
        <v>6991</v>
      </c>
      <c r="Z258" s="13">
        <v>50.0</v>
      </c>
      <c r="AA258" s="13" t="s">
        <v>9878</v>
      </c>
      <c r="AB258" s="11">
        <v>50.0</v>
      </c>
      <c r="AC258" s="11" t="s">
        <v>9879</v>
      </c>
      <c r="AD258" s="13" t="s">
        <v>6994</v>
      </c>
      <c r="AE258" s="11"/>
      <c r="AF258" s="11">
        <f>AE258+AB258+Z258+X258+V258+S258+Q258+O258</f>
        <v>445</v>
      </c>
      <c r="AG258" s="11"/>
      <c r="AH258" s="11"/>
    </row>
    <row r="259" ht="15.75" customHeight="1">
      <c r="A259" s="11">
        <v>127.0</v>
      </c>
      <c r="B259" s="12" t="s">
        <v>9880</v>
      </c>
      <c r="C259" s="11"/>
      <c r="D259" s="11" t="s">
        <v>9881</v>
      </c>
      <c r="E259" s="31" t="s">
        <v>5094</v>
      </c>
      <c r="F259" s="31" t="s">
        <v>5095</v>
      </c>
      <c r="G259" s="31" t="s">
        <v>5096</v>
      </c>
      <c r="H259" s="31" t="s">
        <v>14</v>
      </c>
      <c r="I259" s="31" t="s">
        <v>4015</v>
      </c>
      <c r="J259" s="31">
        <v>9.873579346E9</v>
      </c>
      <c r="K259" s="11" t="s">
        <v>6982</v>
      </c>
      <c r="L259" s="11" t="s">
        <v>6983</v>
      </c>
      <c r="M259" s="11" t="s">
        <v>9882</v>
      </c>
      <c r="N259" s="11" t="s">
        <v>9883</v>
      </c>
      <c r="O259" s="11">
        <v>40.0</v>
      </c>
      <c r="P259" s="11" t="s">
        <v>9884</v>
      </c>
      <c r="Q259" s="11">
        <v>40.0</v>
      </c>
      <c r="R259" s="11" t="s">
        <v>9885</v>
      </c>
      <c r="S259" s="11">
        <v>70.0</v>
      </c>
      <c r="T259" s="11" t="s">
        <v>9886</v>
      </c>
      <c r="U259" s="11" t="s">
        <v>9887</v>
      </c>
      <c r="V259" s="11">
        <v>60.0</v>
      </c>
      <c r="W259" s="11" t="s">
        <v>9888</v>
      </c>
      <c r="X259" s="11">
        <v>75.0</v>
      </c>
      <c r="Y259" s="11" t="s">
        <v>6991</v>
      </c>
      <c r="Z259" s="11">
        <v>25.0</v>
      </c>
      <c r="AA259" s="13" t="s">
        <v>9889</v>
      </c>
      <c r="AB259" s="11">
        <v>25.0</v>
      </c>
      <c r="AC259" s="11" t="s">
        <v>9890</v>
      </c>
      <c r="AD259" s="13" t="s">
        <v>6994</v>
      </c>
      <c r="AE259" s="11"/>
      <c r="AF259" s="11">
        <f>AB259+Z259+X259+V259+S259+Q259+O259</f>
        <v>335</v>
      </c>
      <c r="AG259" s="11"/>
      <c r="AH259" s="11"/>
    </row>
    <row r="260" ht="15.75" customHeight="1">
      <c r="A260" s="11">
        <v>153.0</v>
      </c>
      <c r="B260" s="11" t="s">
        <v>9891</v>
      </c>
      <c r="C260" s="11" t="s">
        <v>4344</v>
      </c>
      <c r="D260" s="11" t="s">
        <v>9892</v>
      </c>
      <c r="E260" s="11" t="s">
        <v>9893</v>
      </c>
      <c r="F260" s="11" t="s">
        <v>1672</v>
      </c>
      <c r="G260" s="11" t="s">
        <v>4700</v>
      </c>
      <c r="H260" s="11" t="s">
        <v>6981</v>
      </c>
      <c r="I260" s="11" t="s">
        <v>4015</v>
      </c>
      <c r="J260" s="11">
        <v>9.867527147E9</v>
      </c>
      <c r="K260" s="11"/>
      <c r="L260" s="11" t="s">
        <v>6983</v>
      </c>
      <c r="M260" s="11" t="s">
        <v>9894</v>
      </c>
      <c r="N260" s="11" t="s">
        <v>9895</v>
      </c>
      <c r="O260" s="11">
        <v>70.0</v>
      </c>
      <c r="P260" s="11" t="s">
        <v>9896</v>
      </c>
      <c r="Q260" s="11">
        <v>50.0</v>
      </c>
      <c r="R260" s="11" t="s">
        <v>7629</v>
      </c>
      <c r="S260" s="11">
        <v>75.0</v>
      </c>
      <c r="T260" s="11" t="s">
        <v>7628</v>
      </c>
      <c r="U260" s="11" t="s">
        <v>7629</v>
      </c>
      <c r="V260" s="11">
        <v>25.0</v>
      </c>
      <c r="W260" s="11" t="s">
        <v>7630</v>
      </c>
      <c r="X260" s="11">
        <v>50.0</v>
      </c>
      <c r="Y260" s="11" t="s">
        <v>7055</v>
      </c>
      <c r="Z260" s="11">
        <v>25.0</v>
      </c>
      <c r="AA260" s="13" t="s">
        <v>9897</v>
      </c>
      <c r="AB260" s="11">
        <v>0.0</v>
      </c>
      <c r="AC260" s="11" t="s">
        <v>9898</v>
      </c>
      <c r="AD260" s="13" t="s">
        <v>6994</v>
      </c>
      <c r="AE260" s="11"/>
      <c r="AF260" s="11">
        <f t="shared" ref="AF260:AF261" si="46">O260+Q260+S260+V260+X260+Z260+AB260+AE260</f>
        <v>295</v>
      </c>
      <c r="AG260" s="11" t="s">
        <v>9899</v>
      </c>
      <c r="AH260" s="11"/>
    </row>
    <row r="261" ht="15.75" customHeight="1">
      <c r="A261" s="11">
        <v>302.0</v>
      </c>
      <c r="B261" s="12" t="s">
        <v>9900</v>
      </c>
      <c r="C261" s="11"/>
      <c r="D261" s="11" t="s">
        <v>9901</v>
      </c>
      <c r="E261" s="11" t="s">
        <v>1846</v>
      </c>
      <c r="F261" s="11" t="s">
        <v>603</v>
      </c>
      <c r="G261" s="11" t="s">
        <v>5623</v>
      </c>
      <c r="H261" s="11"/>
      <c r="I261" s="11" t="s">
        <v>9902</v>
      </c>
      <c r="J261" s="23">
        <v>8.597424729E9</v>
      </c>
      <c r="K261" s="11"/>
      <c r="L261" s="11" t="s">
        <v>7003</v>
      </c>
      <c r="M261" s="11" t="s">
        <v>9903</v>
      </c>
      <c r="N261" s="11" t="s">
        <v>9904</v>
      </c>
      <c r="O261" s="11">
        <v>50.0</v>
      </c>
      <c r="P261" s="11" t="s">
        <v>9905</v>
      </c>
      <c r="Q261" s="11">
        <v>25.0</v>
      </c>
      <c r="R261" s="11" t="s">
        <v>9906</v>
      </c>
      <c r="S261" s="11">
        <v>25.0</v>
      </c>
      <c r="T261" s="11" t="s">
        <v>9907</v>
      </c>
      <c r="U261" s="11" t="s">
        <v>9908</v>
      </c>
      <c r="V261" s="11">
        <v>30.0</v>
      </c>
      <c r="W261" s="11" t="s">
        <v>9909</v>
      </c>
      <c r="X261" s="11">
        <v>25.0</v>
      </c>
      <c r="Y261" s="11" t="s">
        <v>6991</v>
      </c>
      <c r="Z261" s="11">
        <v>25.0</v>
      </c>
      <c r="AA261" s="11" t="s">
        <v>7078</v>
      </c>
      <c r="AB261" s="11">
        <v>0.0</v>
      </c>
      <c r="AC261" s="11" t="s">
        <v>9910</v>
      </c>
      <c r="AD261" s="13" t="s">
        <v>6994</v>
      </c>
      <c r="AE261" s="11">
        <v>0.0</v>
      </c>
      <c r="AF261" s="11">
        <f t="shared" si="46"/>
        <v>180</v>
      </c>
      <c r="AG261" s="11" t="s">
        <v>9911</v>
      </c>
      <c r="AH261" s="11"/>
    </row>
    <row r="262" ht="15.75" customHeight="1">
      <c r="A262" s="11">
        <v>320.0</v>
      </c>
      <c r="B262" s="12" t="s">
        <v>9912</v>
      </c>
      <c r="C262" s="11"/>
      <c r="D262" s="38" t="s">
        <v>9913</v>
      </c>
      <c r="E262" s="11" t="s">
        <v>9914</v>
      </c>
      <c r="F262" s="11" t="s">
        <v>112</v>
      </c>
      <c r="G262" s="11" t="s">
        <v>4449</v>
      </c>
      <c r="H262" s="11" t="s">
        <v>7019</v>
      </c>
      <c r="I262" s="11" t="s">
        <v>4381</v>
      </c>
      <c r="J262" s="18">
        <v>8.972264398E9</v>
      </c>
      <c r="K262" s="11" t="s">
        <v>7086</v>
      </c>
      <c r="L262" s="11" t="s">
        <v>7003</v>
      </c>
      <c r="M262" s="11" t="s">
        <v>9915</v>
      </c>
      <c r="N262" s="11" t="s">
        <v>9916</v>
      </c>
      <c r="O262" s="11">
        <v>25.0</v>
      </c>
      <c r="P262" s="11" t="s">
        <v>9917</v>
      </c>
      <c r="Q262" s="11">
        <v>25.0</v>
      </c>
      <c r="R262" s="11" t="s">
        <v>9918</v>
      </c>
      <c r="S262" s="11">
        <v>25.0</v>
      </c>
      <c r="T262" s="11" t="s">
        <v>9919</v>
      </c>
      <c r="U262" s="11" t="s">
        <v>9920</v>
      </c>
      <c r="V262" s="11">
        <v>25.0</v>
      </c>
      <c r="W262" s="11" t="s">
        <v>9921</v>
      </c>
      <c r="X262" s="11">
        <v>25.0</v>
      </c>
      <c r="Y262" s="11" t="s">
        <v>6991</v>
      </c>
      <c r="Z262" s="11">
        <v>25.0</v>
      </c>
      <c r="AA262" s="11" t="s">
        <v>7078</v>
      </c>
      <c r="AB262" s="11">
        <v>0.0</v>
      </c>
      <c r="AC262" s="11" t="s">
        <v>9922</v>
      </c>
      <c r="AD262" s="13" t="s">
        <v>6994</v>
      </c>
      <c r="AE262" s="11"/>
      <c r="AF262" s="11">
        <f t="shared" ref="AF262:AF267" si="47">AE262+AB262+Z262+X262+V262+S262+Q262+O262</f>
        <v>150</v>
      </c>
      <c r="AG262" s="11"/>
      <c r="AH262" s="11" t="str">
        <f>AE262+AB262+AA263+Y263+W263+T263+R263+P263</f>
        <v>#VALUE!</v>
      </c>
    </row>
    <row r="263" ht="15.75" customHeight="1">
      <c r="A263" s="11">
        <v>192.0</v>
      </c>
      <c r="B263" s="12" t="s">
        <v>9923</v>
      </c>
      <c r="C263" s="11" t="s">
        <v>7043</v>
      </c>
      <c r="D263" s="11" t="s">
        <v>9924</v>
      </c>
      <c r="E263" s="31" t="s">
        <v>4723</v>
      </c>
      <c r="F263" s="31" t="s">
        <v>3126</v>
      </c>
      <c r="G263" s="31" t="s">
        <v>4635</v>
      </c>
      <c r="H263" s="31" t="s">
        <v>44</v>
      </c>
      <c r="I263" s="31" t="s">
        <v>4636</v>
      </c>
      <c r="J263" s="31">
        <v>7.008662241E9</v>
      </c>
      <c r="K263" s="11" t="s">
        <v>6982</v>
      </c>
      <c r="L263" s="11" t="s">
        <v>6983</v>
      </c>
      <c r="M263" s="11" t="s">
        <v>9925</v>
      </c>
      <c r="N263" s="11" t="s">
        <v>9926</v>
      </c>
      <c r="O263" s="11">
        <v>60.0</v>
      </c>
      <c r="P263" s="11" t="s">
        <v>9927</v>
      </c>
      <c r="Q263" s="11">
        <v>50.0</v>
      </c>
      <c r="R263" s="11" t="s">
        <v>9928</v>
      </c>
      <c r="S263" s="11">
        <v>25.0</v>
      </c>
      <c r="T263" s="11" t="s">
        <v>9929</v>
      </c>
      <c r="U263" s="11" t="s">
        <v>9930</v>
      </c>
      <c r="V263" s="11">
        <v>25.0</v>
      </c>
      <c r="W263" s="11" t="s">
        <v>9931</v>
      </c>
      <c r="X263" s="11">
        <v>30.0</v>
      </c>
      <c r="Y263" s="11" t="s">
        <v>6991</v>
      </c>
      <c r="Z263" s="11">
        <v>25.0</v>
      </c>
      <c r="AA263" s="13" t="s">
        <v>9932</v>
      </c>
      <c r="AB263" s="11">
        <v>50.0</v>
      </c>
      <c r="AC263" s="11" t="s">
        <v>9933</v>
      </c>
      <c r="AD263" s="13" t="s">
        <v>6994</v>
      </c>
      <c r="AE263" s="11"/>
      <c r="AF263" s="11">
        <f t="shared" si="47"/>
        <v>265</v>
      </c>
      <c r="AG263" s="11"/>
      <c r="AH263" s="11"/>
    </row>
    <row r="264" ht="15.75" customHeight="1">
      <c r="A264" s="11">
        <v>242.0</v>
      </c>
      <c r="B264" s="12" t="s">
        <v>9934</v>
      </c>
      <c r="C264" s="11" t="s">
        <v>7168</v>
      </c>
      <c r="D264" s="11" t="s">
        <v>9935</v>
      </c>
      <c r="E264" s="31" t="s">
        <v>163</v>
      </c>
      <c r="F264" s="31" t="s">
        <v>525</v>
      </c>
      <c r="G264" s="31" t="s">
        <v>4360</v>
      </c>
      <c r="H264" s="31" t="s">
        <v>9</v>
      </c>
      <c r="I264" s="31" t="s">
        <v>4212</v>
      </c>
      <c r="J264" s="31">
        <v>9.821581486E9</v>
      </c>
      <c r="K264" s="11" t="s">
        <v>6982</v>
      </c>
      <c r="L264" s="11" t="s">
        <v>7003</v>
      </c>
      <c r="M264" s="11" t="s">
        <v>9831</v>
      </c>
      <c r="N264" s="11" t="s">
        <v>9832</v>
      </c>
      <c r="O264" s="11">
        <v>50.0</v>
      </c>
      <c r="P264" s="11">
        <v>50.0</v>
      </c>
      <c r="Q264" s="11"/>
      <c r="R264" s="11" t="s">
        <v>9834</v>
      </c>
      <c r="S264" s="11">
        <v>50.0</v>
      </c>
      <c r="T264" s="11" t="s">
        <v>9835</v>
      </c>
      <c r="U264" s="11" t="s">
        <v>9836</v>
      </c>
      <c r="V264" s="11">
        <v>50.0</v>
      </c>
      <c r="W264" s="11" t="s">
        <v>9837</v>
      </c>
      <c r="X264" s="11">
        <v>75.0</v>
      </c>
      <c r="Y264" s="11" t="s">
        <v>7027</v>
      </c>
      <c r="Z264" s="11"/>
      <c r="AA264" s="11" t="s">
        <v>9936</v>
      </c>
      <c r="AB264" s="11"/>
      <c r="AC264" s="11" t="s">
        <v>9937</v>
      </c>
      <c r="AD264" s="13" t="s">
        <v>6994</v>
      </c>
      <c r="AE264" s="11"/>
      <c r="AF264" s="11">
        <f t="shared" si="47"/>
        <v>225</v>
      </c>
      <c r="AG264" s="11"/>
      <c r="AH264" s="11"/>
    </row>
    <row r="265" ht="15.75" customHeight="1">
      <c r="A265" s="11">
        <v>377.0</v>
      </c>
      <c r="B265" s="12" t="s">
        <v>9938</v>
      </c>
      <c r="C265" s="11"/>
      <c r="D265" s="11" t="s">
        <v>9939</v>
      </c>
      <c r="E265" s="31" t="s">
        <v>4601</v>
      </c>
      <c r="F265" s="31" t="s">
        <v>225</v>
      </c>
      <c r="G265" s="31" t="s">
        <v>4477</v>
      </c>
      <c r="H265" s="31" t="s">
        <v>29</v>
      </c>
      <c r="I265" s="31" t="s">
        <v>494</v>
      </c>
      <c r="J265" s="31">
        <v>7.982621722E9</v>
      </c>
      <c r="K265" s="11"/>
      <c r="L265" s="11" t="s">
        <v>7003</v>
      </c>
      <c r="M265" s="11" t="s">
        <v>9940</v>
      </c>
      <c r="N265" s="11" t="s">
        <v>9941</v>
      </c>
      <c r="O265" s="11"/>
      <c r="P265" s="11" t="s">
        <v>9942</v>
      </c>
      <c r="Q265" s="11"/>
      <c r="R265" s="11" t="s">
        <v>9943</v>
      </c>
      <c r="S265" s="11"/>
      <c r="T265" s="11" t="s">
        <v>9944</v>
      </c>
      <c r="U265" s="11" t="s">
        <v>9944</v>
      </c>
      <c r="V265" s="11"/>
      <c r="W265" s="11" t="s">
        <v>9945</v>
      </c>
      <c r="X265" s="11"/>
      <c r="Y265" s="11" t="s">
        <v>6991</v>
      </c>
      <c r="Z265" s="11"/>
      <c r="AA265" s="11" t="s">
        <v>7078</v>
      </c>
      <c r="AB265" s="11"/>
      <c r="AC265" s="11" t="s">
        <v>9946</v>
      </c>
      <c r="AD265" s="13" t="s">
        <v>6994</v>
      </c>
      <c r="AE265" s="11"/>
      <c r="AF265" s="11">
        <f t="shared" si="47"/>
        <v>0</v>
      </c>
      <c r="AG265" s="11" t="s">
        <v>9947</v>
      </c>
      <c r="AH265" s="11"/>
    </row>
    <row r="266" ht="15.75" customHeight="1">
      <c r="A266" s="11">
        <v>57.0</v>
      </c>
      <c r="B266" s="12" t="s">
        <v>9948</v>
      </c>
      <c r="C266" s="11" t="s">
        <v>7081</v>
      </c>
      <c r="D266" s="11" t="s">
        <v>9949</v>
      </c>
      <c r="E266" s="11" t="s">
        <v>4427</v>
      </c>
      <c r="F266" s="11" t="s">
        <v>125</v>
      </c>
      <c r="G266" s="11" t="s">
        <v>4006</v>
      </c>
      <c r="H266" s="11" t="s">
        <v>7047</v>
      </c>
      <c r="I266" s="11"/>
      <c r="J266" s="11"/>
      <c r="K266" s="11" t="s">
        <v>6982</v>
      </c>
      <c r="L266" s="11" t="s">
        <v>6983</v>
      </c>
      <c r="M266" s="11" t="s">
        <v>9950</v>
      </c>
      <c r="N266" s="11" t="s">
        <v>9951</v>
      </c>
      <c r="O266" s="11">
        <v>50.0</v>
      </c>
      <c r="P266" s="11" t="s">
        <v>9952</v>
      </c>
      <c r="Q266" s="11">
        <v>50.0</v>
      </c>
      <c r="R266" s="11" t="s">
        <v>9953</v>
      </c>
      <c r="S266" s="11">
        <v>75.0</v>
      </c>
      <c r="T266" s="11" t="s">
        <v>9954</v>
      </c>
      <c r="U266" s="11" t="s">
        <v>9955</v>
      </c>
      <c r="V266" s="11">
        <v>75.0</v>
      </c>
      <c r="W266" s="11" t="s">
        <v>9956</v>
      </c>
      <c r="X266" s="11">
        <v>75.0</v>
      </c>
      <c r="Y266" s="11" t="s">
        <v>7027</v>
      </c>
      <c r="Z266" s="11">
        <v>50.0</v>
      </c>
      <c r="AA266" s="11" t="s">
        <v>9957</v>
      </c>
      <c r="AB266" s="11">
        <v>50.0</v>
      </c>
      <c r="AC266" s="11" t="s">
        <v>9958</v>
      </c>
      <c r="AD266" s="13" t="s">
        <v>6994</v>
      </c>
      <c r="AE266" s="11"/>
      <c r="AF266" s="11">
        <f t="shared" si="47"/>
        <v>425</v>
      </c>
      <c r="AG266" s="11"/>
      <c r="AH266" s="11"/>
    </row>
    <row r="267" ht="15.75" customHeight="1">
      <c r="A267" s="11">
        <v>83.0</v>
      </c>
      <c r="B267" s="12" t="s">
        <v>9959</v>
      </c>
      <c r="C267" s="11" t="s">
        <v>7043</v>
      </c>
      <c r="D267" s="38" t="s">
        <v>9960</v>
      </c>
      <c r="E267" s="11" t="s">
        <v>4427</v>
      </c>
      <c r="F267" s="11" t="s">
        <v>125</v>
      </c>
      <c r="G267" s="11" t="s">
        <v>9961</v>
      </c>
      <c r="H267" s="11" t="s">
        <v>7001</v>
      </c>
      <c r="I267" s="11" t="s">
        <v>2025</v>
      </c>
      <c r="J267" s="11"/>
      <c r="K267" s="11"/>
      <c r="L267" s="11" t="s">
        <v>7003</v>
      </c>
      <c r="M267" s="11" t="s">
        <v>9962</v>
      </c>
      <c r="N267" s="11" t="s">
        <v>9963</v>
      </c>
      <c r="O267" s="11">
        <v>12.5</v>
      </c>
      <c r="P267" s="11" t="s">
        <v>9964</v>
      </c>
      <c r="Q267" s="11">
        <v>50.0</v>
      </c>
      <c r="R267" s="11" t="s">
        <v>9965</v>
      </c>
      <c r="S267" s="11">
        <v>25.0</v>
      </c>
      <c r="T267" s="11" t="s">
        <v>9966</v>
      </c>
      <c r="U267" s="11" t="s">
        <v>9967</v>
      </c>
      <c r="V267" s="11">
        <v>75.0</v>
      </c>
      <c r="W267" s="11" t="s">
        <v>9968</v>
      </c>
      <c r="X267" s="11">
        <v>75.0</v>
      </c>
      <c r="Y267" s="11" t="s">
        <v>7193</v>
      </c>
      <c r="Z267" s="11">
        <v>80.0</v>
      </c>
      <c r="AA267" s="13" t="s">
        <v>9969</v>
      </c>
      <c r="AB267" s="11">
        <v>75.0</v>
      </c>
      <c r="AC267" s="11" t="s">
        <v>9970</v>
      </c>
      <c r="AD267" s="13" t="s">
        <v>6994</v>
      </c>
      <c r="AE267" s="11"/>
      <c r="AF267" s="11">
        <f t="shared" si="47"/>
        <v>392.5</v>
      </c>
      <c r="AG267" s="11"/>
      <c r="AH267" s="11"/>
    </row>
    <row r="268" ht="15.75" customHeight="1">
      <c r="A268" s="11">
        <v>230.0</v>
      </c>
      <c r="B268" s="12" t="s">
        <v>9971</v>
      </c>
      <c r="C268" s="12" t="s">
        <v>2140</v>
      </c>
      <c r="D268" s="11" t="s">
        <v>9972</v>
      </c>
      <c r="E268" s="31" t="s">
        <v>5471</v>
      </c>
      <c r="F268" s="31" t="s">
        <v>50</v>
      </c>
      <c r="G268" s="31" t="s">
        <v>2708</v>
      </c>
      <c r="H268" s="31" t="s">
        <v>56</v>
      </c>
      <c r="I268" s="31" t="s">
        <v>434</v>
      </c>
      <c r="J268" s="31">
        <v>9.930836903E9</v>
      </c>
      <c r="K268" s="40" t="s">
        <v>9973</v>
      </c>
      <c r="L268" s="11" t="s">
        <v>7003</v>
      </c>
      <c r="M268" s="11" t="s">
        <v>9974</v>
      </c>
      <c r="N268" s="11" t="s">
        <v>9975</v>
      </c>
      <c r="O268" s="11">
        <v>50.0</v>
      </c>
      <c r="P268" s="11" t="s">
        <v>9976</v>
      </c>
      <c r="Q268" s="11">
        <v>30.0</v>
      </c>
      <c r="R268" s="11" t="s">
        <v>9977</v>
      </c>
      <c r="S268" s="11">
        <v>30.0</v>
      </c>
      <c r="T268" s="11" t="s">
        <v>9978</v>
      </c>
      <c r="U268" s="11" t="s">
        <v>9979</v>
      </c>
      <c r="V268" s="11">
        <v>50.0</v>
      </c>
      <c r="W268" s="11" t="s">
        <v>9980</v>
      </c>
      <c r="X268" s="11">
        <v>40.0</v>
      </c>
      <c r="Y268" s="11" t="s">
        <v>6991</v>
      </c>
      <c r="Z268" s="11">
        <v>30.0</v>
      </c>
      <c r="AA268" s="11" t="s">
        <v>7078</v>
      </c>
      <c r="AB268" s="11">
        <v>0.0</v>
      </c>
      <c r="AC268" s="11" t="s">
        <v>9981</v>
      </c>
      <c r="AD268" s="13" t="s">
        <v>6994</v>
      </c>
      <c r="AE268" s="11"/>
      <c r="AF268" s="11">
        <f t="shared" ref="AF268:AF269" si="48">O268+Q268+S268+V268+X268+Z268+AB268</f>
        <v>230</v>
      </c>
      <c r="AG268" s="11"/>
      <c r="AH268" s="11"/>
    </row>
    <row r="269" ht="15.75" customHeight="1">
      <c r="A269" s="11">
        <v>264.0</v>
      </c>
      <c r="B269" s="12" t="s">
        <v>9982</v>
      </c>
      <c r="C269" s="12" t="s">
        <v>2140</v>
      </c>
      <c r="D269" s="11" t="s">
        <v>9983</v>
      </c>
      <c r="E269" s="21" t="s">
        <v>5294</v>
      </c>
      <c r="F269" s="21" t="s">
        <v>5295</v>
      </c>
      <c r="G269" s="21" t="s">
        <v>5296</v>
      </c>
      <c r="H269" s="21" t="s">
        <v>44</v>
      </c>
      <c r="I269" s="21" t="s">
        <v>5297</v>
      </c>
      <c r="J269" s="31">
        <v>9.650521766E9</v>
      </c>
      <c r="K269" s="11" t="s">
        <v>6982</v>
      </c>
      <c r="L269" s="11" t="s">
        <v>6983</v>
      </c>
      <c r="M269" s="11" t="s">
        <v>9984</v>
      </c>
      <c r="N269" s="11" t="s">
        <v>9985</v>
      </c>
      <c r="O269" s="11">
        <v>40.0</v>
      </c>
      <c r="P269" s="11" t="s">
        <v>9986</v>
      </c>
      <c r="Q269" s="11">
        <v>40.0</v>
      </c>
      <c r="R269" s="11" t="s">
        <v>8869</v>
      </c>
      <c r="S269" s="11">
        <v>30.0</v>
      </c>
      <c r="T269" s="11" t="s">
        <v>9987</v>
      </c>
      <c r="U269" s="11" t="s">
        <v>8871</v>
      </c>
      <c r="V269" s="11">
        <v>50.0</v>
      </c>
      <c r="W269" s="11" t="s">
        <v>9988</v>
      </c>
      <c r="X269" s="11">
        <v>20.0</v>
      </c>
      <c r="Y269" s="11" t="s">
        <v>6991</v>
      </c>
      <c r="Z269" s="11">
        <v>20.0</v>
      </c>
      <c r="AA269" s="13" t="s">
        <v>9989</v>
      </c>
      <c r="AB269" s="11">
        <v>10.0</v>
      </c>
      <c r="AC269" s="11" t="s">
        <v>9990</v>
      </c>
      <c r="AD269" s="13" t="s">
        <v>6994</v>
      </c>
      <c r="AE269" s="11"/>
      <c r="AF269" s="11">
        <f t="shared" si="48"/>
        <v>210</v>
      </c>
      <c r="AG269" s="11"/>
      <c r="AH269" s="11"/>
    </row>
    <row r="270" ht="15.75" customHeight="1">
      <c r="A270" s="11">
        <v>161.0</v>
      </c>
      <c r="B270" s="12" t="s">
        <v>9991</v>
      </c>
      <c r="C270" s="11"/>
      <c r="D270" s="11" t="s">
        <v>9992</v>
      </c>
      <c r="E270" s="31" t="s">
        <v>1838</v>
      </c>
      <c r="F270" s="31" t="s">
        <v>5142</v>
      </c>
      <c r="G270" s="31" t="s">
        <v>3322</v>
      </c>
      <c r="H270" s="31" t="s">
        <v>44</v>
      </c>
      <c r="I270" s="31" t="s">
        <v>434</v>
      </c>
      <c r="J270" s="31">
        <v>7.718810816E9</v>
      </c>
      <c r="K270" s="11" t="s">
        <v>9973</v>
      </c>
      <c r="L270" s="11" t="s">
        <v>7003</v>
      </c>
      <c r="M270" s="11" t="s">
        <v>9993</v>
      </c>
      <c r="N270" s="11" t="s">
        <v>9994</v>
      </c>
      <c r="O270" s="11">
        <v>60.0</v>
      </c>
      <c r="P270" s="11" t="s">
        <v>9995</v>
      </c>
      <c r="Q270" s="11">
        <v>50.0</v>
      </c>
      <c r="R270" s="11" t="s">
        <v>9996</v>
      </c>
      <c r="S270" s="11">
        <v>80.0</v>
      </c>
      <c r="T270" s="11" t="s">
        <v>9997</v>
      </c>
      <c r="U270" s="11" t="s">
        <v>9998</v>
      </c>
      <c r="V270" s="11">
        <v>50.0</v>
      </c>
      <c r="W270" s="11" t="s">
        <v>9999</v>
      </c>
      <c r="X270" s="11">
        <v>25.0</v>
      </c>
      <c r="Y270" s="11" t="s">
        <v>6991</v>
      </c>
      <c r="Z270" s="11">
        <v>25.0</v>
      </c>
      <c r="AA270" s="13" t="s">
        <v>10000</v>
      </c>
      <c r="AB270" s="11">
        <v>0.0</v>
      </c>
      <c r="AC270" s="11" t="s">
        <v>10001</v>
      </c>
      <c r="AD270" s="13" t="s">
        <v>6994</v>
      </c>
      <c r="AE270" s="11"/>
      <c r="AF270" s="11">
        <f t="shared" ref="AF270:AF273" si="49">AE270+AB270+Z270+X270+V270+S270+Q270+O270</f>
        <v>290</v>
      </c>
      <c r="AG270" s="11" t="s">
        <v>10002</v>
      </c>
      <c r="AH270" s="11"/>
    </row>
    <row r="271" ht="15.75" customHeight="1">
      <c r="A271" s="11">
        <v>56.0</v>
      </c>
      <c r="B271" s="12" t="s">
        <v>10003</v>
      </c>
      <c r="C271" s="11" t="s">
        <v>7081</v>
      </c>
      <c r="D271" s="11" t="s">
        <v>10004</v>
      </c>
      <c r="E271" s="11" t="s">
        <v>174</v>
      </c>
      <c r="F271" s="11" t="s">
        <v>4008</v>
      </c>
      <c r="G271" s="31" t="s">
        <v>3322</v>
      </c>
      <c r="H271" s="11" t="s">
        <v>7019</v>
      </c>
      <c r="I271" s="11" t="s">
        <v>434</v>
      </c>
      <c r="J271" s="11">
        <v>7.021247178E9</v>
      </c>
      <c r="K271" s="11"/>
      <c r="L271" s="11" t="s">
        <v>7003</v>
      </c>
      <c r="M271" s="11" t="s">
        <v>10005</v>
      </c>
      <c r="N271" s="11" t="s">
        <v>10006</v>
      </c>
      <c r="O271" s="11">
        <v>100.0</v>
      </c>
      <c r="P271" s="11" t="s">
        <v>10007</v>
      </c>
      <c r="Q271" s="11">
        <v>75.0</v>
      </c>
      <c r="R271" s="11" t="s">
        <v>10008</v>
      </c>
      <c r="S271" s="11">
        <v>75.0</v>
      </c>
      <c r="T271" s="11" t="s">
        <v>10009</v>
      </c>
      <c r="U271" s="11" t="s">
        <v>10010</v>
      </c>
      <c r="V271" s="11">
        <v>75.0</v>
      </c>
      <c r="W271" s="11" t="s">
        <v>10011</v>
      </c>
      <c r="X271" s="11">
        <v>75.0</v>
      </c>
      <c r="Y271" s="11" t="s">
        <v>7055</v>
      </c>
      <c r="Z271" s="11">
        <v>25.0</v>
      </c>
      <c r="AA271" s="11" t="s">
        <v>10012</v>
      </c>
      <c r="AB271" s="11">
        <v>0.0</v>
      </c>
      <c r="AC271" s="11" t="s">
        <v>10013</v>
      </c>
      <c r="AD271" s="13" t="s">
        <v>6994</v>
      </c>
      <c r="AE271" s="11"/>
      <c r="AF271" s="11">
        <f t="shared" si="49"/>
        <v>425</v>
      </c>
      <c r="AG271" s="11"/>
      <c r="AH271" s="11"/>
    </row>
    <row r="272" ht="15.75" customHeight="1">
      <c r="A272" s="11">
        <v>383.0</v>
      </c>
      <c r="B272" s="12" t="s">
        <v>10014</v>
      </c>
      <c r="C272" s="11" t="s">
        <v>7081</v>
      </c>
      <c r="D272" s="11" t="s">
        <v>10015</v>
      </c>
      <c r="E272" s="31" t="s">
        <v>4822</v>
      </c>
      <c r="F272" s="31" t="s">
        <v>4823</v>
      </c>
      <c r="G272" s="31" t="s">
        <v>4824</v>
      </c>
      <c r="H272" s="31" t="s">
        <v>44</v>
      </c>
      <c r="I272" s="31" t="s">
        <v>4136</v>
      </c>
      <c r="J272" s="31">
        <v>5.46233092E8</v>
      </c>
      <c r="K272" s="11"/>
      <c r="L272" s="11" t="s">
        <v>7003</v>
      </c>
      <c r="M272" s="11" t="s">
        <v>10016</v>
      </c>
      <c r="N272" s="11" t="s">
        <v>10017</v>
      </c>
      <c r="O272" s="11"/>
      <c r="P272" s="11" t="s">
        <v>10018</v>
      </c>
      <c r="Q272" s="11"/>
      <c r="R272" s="11" t="s">
        <v>10019</v>
      </c>
      <c r="S272" s="11"/>
      <c r="T272" s="11" t="s">
        <v>10020</v>
      </c>
      <c r="U272" s="11" t="s">
        <v>10021</v>
      </c>
      <c r="V272" s="11"/>
      <c r="W272" s="11" t="s">
        <v>10022</v>
      </c>
      <c r="X272" s="11"/>
      <c r="Y272" s="11" t="s">
        <v>6991</v>
      </c>
      <c r="Z272" s="11"/>
      <c r="AA272" s="13" t="s">
        <v>10023</v>
      </c>
      <c r="AB272" s="11"/>
      <c r="AC272" s="11" t="s">
        <v>10024</v>
      </c>
      <c r="AD272" s="13" t="s">
        <v>6994</v>
      </c>
      <c r="AE272" s="11"/>
      <c r="AF272" s="11">
        <f t="shared" si="49"/>
        <v>0</v>
      </c>
      <c r="AG272" s="11" t="s">
        <v>10025</v>
      </c>
      <c r="AH272" s="11"/>
    </row>
    <row r="273" ht="15.75" customHeight="1">
      <c r="A273" s="11">
        <v>80.0</v>
      </c>
      <c r="B273" s="12" t="s">
        <v>10026</v>
      </c>
      <c r="C273" s="11" t="s">
        <v>7043</v>
      </c>
      <c r="D273" s="11" t="s">
        <v>10027</v>
      </c>
      <c r="E273" s="21" t="s">
        <v>5858</v>
      </c>
      <c r="F273" s="21" t="s">
        <v>5859</v>
      </c>
      <c r="G273" s="21" t="s">
        <v>5808</v>
      </c>
      <c r="H273" s="21" t="s">
        <v>26</v>
      </c>
      <c r="I273" s="21" t="s">
        <v>5860</v>
      </c>
      <c r="J273" s="31">
        <v>9.944295884E9</v>
      </c>
      <c r="K273" s="11" t="s">
        <v>6982</v>
      </c>
      <c r="L273" s="11" t="s">
        <v>6983</v>
      </c>
      <c r="M273" s="11" t="s">
        <v>10028</v>
      </c>
      <c r="N273" s="11" t="s">
        <v>10029</v>
      </c>
      <c r="O273" s="11">
        <v>60.0</v>
      </c>
      <c r="P273" s="11" t="s">
        <v>10030</v>
      </c>
      <c r="Q273" s="11">
        <v>50.0</v>
      </c>
      <c r="R273" s="11" t="s">
        <v>10031</v>
      </c>
      <c r="S273" s="11">
        <v>25.0</v>
      </c>
      <c r="T273" s="11" t="s">
        <v>10032</v>
      </c>
      <c r="U273" s="11" t="s">
        <v>10033</v>
      </c>
      <c r="V273" s="11">
        <v>80.0</v>
      </c>
      <c r="W273" s="11" t="s">
        <v>10034</v>
      </c>
      <c r="X273" s="11">
        <v>75.0</v>
      </c>
      <c r="Y273" s="11" t="s">
        <v>7027</v>
      </c>
      <c r="Z273" s="11">
        <v>50.0</v>
      </c>
      <c r="AA273" s="13" t="s">
        <v>10035</v>
      </c>
      <c r="AB273" s="11">
        <v>60.0</v>
      </c>
      <c r="AC273" s="11" t="s">
        <v>10036</v>
      </c>
      <c r="AD273" s="13" t="s">
        <v>6994</v>
      </c>
      <c r="AE273" s="11"/>
      <c r="AF273" s="11">
        <f t="shared" si="49"/>
        <v>400</v>
      </c>
      <c r="AG273" s="11"/>
      <c r="AH273" s="11"/>
    </row>
    <row r="274" ht="15.75" customHeight="1">
      <c r="A274" s="11">
        <v>336.0</v>
      </c>
      <c r="B274" s="12" t="s">
        <v>10037</v>
      </c>
      <c r="C274" s="11"/>
      <c r="D274" s="11" t="s">
        <v>10038</v>
      </c>
      <c r="E274" s="11" t="s">
        <v>1215</v>
      </c>
      <c r="F274" s="11" t="s">
        <v>2612</v>
      </c>
      <c r="G274" s="11" t="s">
        <v>4132</v>
      </c>
      <c r="H274" s="11" t="s">
        <v>10039</v>
      </c>
      <c r="I274" s="11"/>
      <c r="J274" s="11"/>
      <c r="K274" s="11" t="s">
        <v>7086</v>
      </c>
      <c r="L274" s="11" t="s">
        <v>7003</v>
      </c>
      <c r="M274" s="11" t="s">
        <v>10040</v>
      </c>
      <c r="N274" s="11" t="s">
        <v>10041</v>
      </c>
      <c r="O274" s="11">
        <v>60.0</v>
      </c>
      <c r="P274" s="11" t="s">
        <v>10042</v>
      </c>
      <c r="Q274" s="11">
        <v>50.0</v>
      </c>
      <c r="R274" s="11" t="s">
        <v>10043</v>
      </c>
      <c r="S274" s="11">
        <v>25.0</v>
      </c>
      <c r="T274" s="11" t="s">
        <v>10044</v>
      </c>
      <c r="U274" s="11" t="s">
        <v>10045</v>
      </c>
      <c r="V274" s="11">
        <v>25.0</v>
      </c>
      <c r="W274" s="11" t="s">
        <v>10046</v>
      </c>
      <c r="X274" s="11">
        <v>50.0</v>
      </c>
      <c r="Y274" s="11" t="s">
        <v>7027</v>
      </c>
      <c r="Z274" s="11">
        <v>10.0</v>
      </c>
      <c r="AA274" s="13" t="s">
        <v>10047</v>
      </c>
      <c r="AB274" s="11">
        <v>20.0</v>
      </c>
      <c r="AC274" s="11" t="s">
        <v>10048</v>
      </c>
      <c r="AD274" s="13" t="s">
        <v>6994</v>
      </c>
      <c r="AE274" s="11"/>
      <c r="AF274" s="11" t="str">
        <f>AE274+AB274+#REF!+#REF!+#REF!+#REF!+#REF!+#REF!</f>
        <v>#REF!</v>
      </c>
      <c r="AG274" s="11"/>
      <c r="AH274" s="11"/>
    </row>
    <row r="275" ht="15.75" customHeight="1">
      <c r="A275" s="11">
        <v>50.0</v>
      </c>
      <c r="B275" s="12" t="s">
        <v>10049</v>
      </c>
      <c r="C275" s="12" t="s">
        <v>2140</v>
      </c>
      <c r="D275" s="11" t="s">
        <v>10050</v>
      </c>
      <c r="E275" s="31" t="s">
        <v>5141</v>
      </c>
      <c r="F275" s="31" t="s">
        <v>5142</v>
      </c>
      <c r="G275" s="31" t="s">
        <v>4700</v>
      </c>
      <c r="H275" s="31" t="s">
        <v>56</v>
      </c>
      <c r="I275" s="31" t="s">
        <v>4015</v>
      </c>
      <c r="J275" s="31">
        <v>9.717173304E9</v>
      </c>
      <c r="K275" s="11" t="s">
        <v>6982</v>
      </c>
      <c r="L275" s="11" t="s">
        <v>6983</v>
      </c>
      <c r="M275" s="11" t="s">
        <v>10051</v>
      </c>
      <c r="N275" s="11" t="s">
        <v>10052</v>
      </c>
      <c r="O275" s="11">
        <v>60.0</v>
      </c>
      <c r="P275" s="11" t="s">
        <v>10053</v>
      </c>
      <c r="Q275" s="11">
        <v>50.0</v>
      </c>
      <c r="R275" s="11" t="s">
        <v>10054</v>
      </c>
      <c r="S275" s="11">
        <v>50.0</v>
      </c>
      <c r="T275" s="11" t="s">
        <v>10055</v>
      </c>
      <c r="U275" s="11" t="s">
        <v>10056</v>
      </c>
      <c r="V275" s="11">
        <v>70.0</v>
      </c>
      <c r="W275" s="11" t="s">
        <v>10057</v>
      </c>
      <c r="X275" s="11">
        <v>60.0</v>
      </c>
      <c r="Y275" s="11" t="s">
        <v>7027</v>
      </c>
      <c r="Z275" s="11">
        <v>70.0</v>
      </c>
      <c r="AA275" s="13" t="s">
        <v>10058</v>
      </c>
      <c r="AB275" s="11">
        <v>70.0</v>
      </c>
      <c r="AC275" s="11" t="s">
        <v>10059</v>
      </c>
      <c r="AD275" s="13" t="s">
        <v>7802</v>
      </c>
      <c r="AE275" s="11"/>
      <c r="AF275" s="11">
        <f t="shared" ref="AF275:AF276" si="50">O275+Q275+S275+V275+X275+Z275+AB275</f>
        <v>430</v>
      </c>
      <c r="AG275" s="11"/>
      <c r="AH275" s="11"/>
    </row>
    <row r="276" ht="15.75" customHeight="1">
      <c r="A276" s="11">
        <v>352.0</v>
      </c>
      <c r="B276" s="12" t="s">
        <v>10060</v>
      </c>
      <c r="C276" s="11" t="s">
        <v>2140</v>
      </c>
      <c r="D276" s="11" t="s">
        <v>10061</v>
      </c>
      <c r="E276" s="21" t="s">
        <v>2894</v>
      </c>
      <c r="F276" s="21" t="s">
        <v>6781</v>
      </c>
      <c r="G276" s="21" t="s">
        <v>6782</v>
      </c>
      <c r="H276" s="21" t="s">
        <v>56</v>
      </c>
      <c r="I276" s="21" t="s">
        <v>4583</v>
      </c>
      <c r="J276" s="31">
        <v>7.008116489E9</v>
      </c>
      <c r="K276" s="11" t="s">
        <v>6982</v>
      </c>
      <c r="L276" s="11" t="s">
        <v>6983</v>
      </c>
      <c r="M276" s="11" t="s">
        <v>10062</v>
      </c>
      <c r="N276" s="11" t="s">
        <v>10063</v>
      </c>
      <c r="O276" s="11">
        <v>30.0</v>
      </c>
      <c r="P276" s="11" t="s">
        <v>10064</v>
      </c>
      <c r="Q276" s="11">
        <v>20.0</v>
      </c>
      <c r="R276" s="11" t="s">
        <v>10065</v>
      </c>
      <c r="S276" s="11">
        <v>20.0</v>
      </c>
      <c r="T276" s="11" t="s">
        <v>10066</v>
      </c>
      <c r="U276" s="11" t="s">
        <v>10067</v>
      </c>
      <c r="V276" s="11">
        <v>20.0</v>
      </c>
      <c r="W276" s="11" t="s">
        <v>10068</v>
      </c>
      <c r="X276" s="11">
        <v>5.0</v>
      </c>
      <c r="Y276" s="11" t="s">
        <v>6991</v>
      </c>
      <c r="Z276" s="11">
        <v>5.0</v>
      </c>
      <c r="AA276" s="11" t="s">
        <v>7078</v>
      </c>
      <c r="AB276" s="11">
        <v>0.0</v>
      </c>
      <c r="AC276" s="11" t="s">
        <v>10069</v>
      </c>
      <c r="AD276" s="13" t="s">
        <v>6994</v>
      </c>
      <c r="AE276" s="11"/>
      <c r="AF276" s="11">
        <f t="shared" si="50"/>
        <v>100</v>
      </c>
      <c r="AG276" s="11"/>
      <c r="AH276" s="11"/>
    </row>
    <row r="277" ht="15.75" customHeight="1">
      <c r="A277" s="11">
        <v>290.0</v>
      </c>
      <c r="B277" s="12" t="s">
        <v>10070</v>
      </c>
      <c r="C277" s="11" t="s">
        <v>1531</v>
      </c>
      <c r="D277" s="11" t="s">
        <v>10071</v>
      </c>
      <c r="E277" s="11" t="s">
        <v>6952</v>
      </c>
      <c r="F277" s="11" t="s">
        <v>75</v>
      </c>
      <c r="G277" s="11" t="s">
        <v>10072</v>
      </c>
      <c r="H277" s="11" t="s">
        <v>7019</v>
      </c>
      <c r="I277" s="11" t="s">
        <v>5230</v>
      </c>
      <c r="J277" s="11">
        <v>7.598867269E9</v>
      </c>
      <c r="K277" s="11"/>
      <c r="L277" s="11" t="s">
        <v>7003</v>
      </c>
      <c r="M277" s="11" t="s">
        <v>10073</v>
      </c>
      <c r="N277" s="11" t="s">
        <v>10074</v>
      </c>
      <c r="O277" s="11">
        <v>40.0</v>
      </c>
      <c r="P277" s="11" t="s">
        <v>10075</v>
      </c>
      <c r="Q277" s="11">
        <v>40.0</v>
      </c>
      <c r="R277" s="11" t="s">
        <v>10076</v>
      </c>
      <c r="S277" s="11">
        <v>40.0</v>
      </c>
      <c r="T277" s="11" t="s">
        <v>10077</v>
      </c>
      <c r="U277" s="11" t="s">
        <v>10078</v>
      </c>
      <c r="V277" s="11">
        <v>40.0</v>
      </c>
      <c r="W277" s="11" t="s">
        <v>10079</v>
      </c>
      <c r="X277" s="11">
        <v>30.0</v>
      </c>
      <c r="Y277" s="11" t="s">
        <v>7193</v>
      </c>
      <c r="Z277" s="11"/>
      <c r="AA277" s="11" t="s">
        <v>7078</v>
      </c>
      <c r="AB277" s="11">
        <v>0.0</v>
      </c>
      <c r="AC277" s="11" t="s">
        <v>10080</v>
      </c>
      <c r="AD277" s="13" t="s">
        <v>6994</v>
      </c>
      <c r="AE277" s="11"/>
      <c r="AF277" s="11">
        <f>O277+Q277+S277+V277+X277+Z277+AB277+AE277</f>
        <v>190</v>
      </c>
      <c r="AG277" s="11"/>
      <c r="AH277" s="11"/>
    </row>
    <row r="278" ht="15.75" customHeight="1">
      <c r="A278" s="11">
        <v>315.0</v>
      </c>
      <c r="B278" s="12" t="s">
        <v>10081</v>
      </c>
      <c r="C278" s="11" t="s">
        <v>2140</v>
      </c>
      <c r="D278" s="38" t="s">
        <v>10082</v>
      </c>
      <c r="E278" s="11" t="s">
        <v>10083</v>
      </c>
      <c r="F278" s="11" t="s">
        <v>10084</v>
      </c>
      <c r="G278" s="11" t="s">
        <v>10085</v>
      </c>
      <c r="H278" s="11" t="s">
        <v>7019</v>
      </c>
      <c r="I278" s="11" t="s">
        <v>4796</v>
      </c>
      <c r="J278" s="11">
        <v>8.073530795E9</v>
      </c>
      <c r="K278" s="11"/>
      <c r="L278" s="11" t="s">
        <v>7003</v>
      </c>
      <c r="M278" s="11" t="s">
        <v>10086</v>
      </c>
      <c r="N278" s="11" t="s">
        <v>10087</v>
      </c>
      <c r="O278" s="11">
        <v>40.0</v>
      </c>
      <c r="P278" s="11" t="s">
        <v>10088</v>
      </c>
      <c r="Q278" s="11">
        <v>30.0</v>
      </c>
      <c r="R278" s="11" t="s">
        <v>10089</v>
      </c>
      <c r="S278" s="11">
        <v>35.0</v>
      </c>
      <c r="T278" s="11" t="s">
        <v>10090</v>
      </c>
      <c r="U278" s="11" t="s">
        <v>10091</v>
      </c>
      <c r="V278" s="11">
        <v>30.0</v>
      </c>
      <c r="W278" s="11" t="s">
        <v>10092</v>
      </c>
      <c r="X278" s="11">
        <v>10.0</v>
      </c>
      <c r="Y278" s="11" t="s">
        <v>6991</v>
      </c>
      <c r="Z278" s="11">
        <v>10.0</v>
      </c>
      <c r="AA278" s="11" t="s">
        <v>7078</v>
      </c>
      <c r="AB278" s="11">
        <v>0.0</v>
      </c>
      <c r="AC278" s="11" t="s">
        <v>10093</v>
      </c>
      <c r="AD278" s="13" t="s">
        <v>6994</v>
      </c>
      <c r="AE278" s="11"/>
      <c r="AF278" s="11">
        <f>O278+Q278+S278+V278+X278+Z278+AB278</f>
        <v>155</v>
      </c>
      <c r="AG278" s="11"/>
      <c r="AH278" s="11"/>
    </row>
    <row r="279" ht="15.75" customHeight="1">
      <c r="A279" s="11">
        <v>246.0</v>
      </c>
      <c r="B279" s="12" t="s">
        <v>10094</v>
      </c>
      <c r="C279" s="11" t="s">
        <v>7168</v>
      </c>
      <c r="D279" s="11" t="s">
        <v>10095</v>
      </c>
      <c r="E279" s="11" t="s">
        <v>10083</v>
      </c>
      <c r="F279" s="11" t="s">
        <v>10096</v>
      </c>
      <c r="G279" s="11" t="s">
        <v>10097</v>
      </c>
      <c r="H279" s="11" t="s">
        <v>7047</v>
      </c>
      <c r="I279" s="11" t="s">
        <v>4385</v>
      </c>
      <c r="J279" s="18">
        <v>8.088002645E9</v>
      </c>
      <c r="K279" s="11"/>
      <c r="L279" s="11" t="s">
        <v>7003</v>
      </c>
      <c r="M279" s="11" t="s">
        <v>10098</v>
      </c>
      <c r="N279" s="11" t="s">
        <v>10099</v>
      </c>
      <c r="O279" s="11">
        <v>50.0</v>
      </c>
      <c r="P279" s="11" t="s">
        <v>10100</v>
      </c>
      <c r="Q279" s="11">
        <v>25.0</v>
      </c>
      <c r="R279" s="11" t="s">
        <v>10101</v>
      </c>
      <c r="S279" s="11">
        <v>50.0</v>
      </c>
      <c r="T279" s="11" t="s">
        <v>10102</v>
      </c>
      <c r="U279" s="11" t="s">
        <v>10103</v>
      </c>
      <c r="V279" s="11">
        <v>50.0</v>
      </c>
      <c r="W279" s="11" t="s">
        <v>10104</v>
      </c>
      <c r="X279" s="11">
        <v>25.0</v>
      </c>
      <c r="Y279" s="11" t="s">
        <v>6991</v>
      </c>
      <c r="Z279" s="11">
        <v>25.0</v>
      </c>
      <c r="AA279" s="11" t="s">
        <v>7078</v>
      </c>
      <c r="AB279" s="11">
        <v>0.0</v>
      </c>
      <c r="AC279" s="11" t="s">
        <v>10105</v>
      </c>
      <c r="AD279" s="13" t="s">
        <v>6994</v>
      </c>
      <c r="AE279" s="11"/>
      <c r="AF279" s="11">
        <f>AE279+AB279+Z279+X279+V279+S279+Q279+O279</f>
        <v>225</v>
      </c>
      <c r="AG279" s="11"/>
      <c r="AH279" s="11"/>
    </row>
    <row r="280" ht="15.75" customHeight="1">
      <c r="A280" s="11">
        <v>75.0</v>
      </c>
      <c r="B280" s="12" t="s">
        <v>10106</v>
      </c>
      <c r="C280" s="11" t="s">
        <v>4344</v>
      </c>
      <c r="D280" s="11" t="s">
        <v>10107</v>
      </c>
      <c r="E280" s="11" t="s">
        <v>1273</v>
      </c>
      <c r="F280" s="11" t="s">
        <v>2643</v>
      </c>
      <c r="G280" s="11" t="s">
        <v>4830</v>
      </c>
      <c r="H280" s="11" t="s">
        <v>7097</v>
      </c>
      <c r="I280" s="11"/>
      <c r="J280" s="11"/>
      <c r="K280" s="11" t="s">
        <v>7086</v>
      </c>
      <c r="L280" s="11" t="s">
        <v>7003</v>
      </c>
      <c r="M280" s="11" t="s">
        <v>10108</v>
      </c>
      <c r="N280" s="11" t="s">
        <v>10109</v>
      </c>
      <c r="O280" s="11">
        <v>80.0</v>
      </c>
      <c r="P280" s="11" t="s">
        <v>10110</v>
      </c>
      <c r="Q280" s="11">
        <v>50.0</v>
      </c>
      <c r="R280" s="11" t="s">
        <v>10111</v>
      </c>
      <c r="S280" s="11">
        <v>25.0</v>
      </c>
      <c r="T280" s="11" t="s">
        <v>10112</v>
      </c>
      <c r="U280" s="11" t="s">
        <v>10113</v>
      </c>
      <c r="V280" s="11">
        <v>85.0</v>
      </c>
      <c r="W280" s="11" t="s">
        <v>10114</v>
      </c>
      <c r="X280" s="11">
        <v>60.0</v>
      </c>
      <c r="Y280" s="11" t="s">
        <v>6991</v>
      </c>
      <c r="Z280" s="11">
        <v>25.0</v>
      </c>
      <c r="AA280" s="13" t="s">
        <v>10115</v>
      </c>
      <c r="AB280" s="11">
        <v>80.0</v>
      </c>
      <c r="AC280" s="11" t="s">
        <v>10116</v>
      </c>
      <c r="AD280" s="13" t="s">
        <v>6994</v>
      </c>
      <c r="AE280" s="11">
        <v>0.0</v>
      </c>
      <c r="AF280" s="11">
        <f>O280+Q280+S280+V280+X280+Z280+AB280+AE280</f>
        <v>405</v>
      </c>
      <c r="AG280" s="11" t="s">
        <v>10117</v>
      </c>
      <c r="AH280" s="11"/>
    </row>
    <row r="281" ht="15.75" customHeight="1">
      <c r="A281" s="11">
        <v>226.0</v>
      </c>
      <c r="B281" s="12" t="s">
        <v>10118</v>
      </c>
      <c r="C281" s="11" t="s">
        <v>2140</v>
      </c>
      <c r="D281" s="11" t="s">
        <v>10119</v>
      </c>
      <c r="E281" s="21" t="s">
        <v>1914</v>
      </c>
      <c r="F281" s="21" t="s">
        <v>1999</v>
      </c>
      <c r="G281" s="21" t="s">
        <v>4989</v>
      </c>
      <c r="H281" s="21" t="s">
        <v>9</v>
      </c>
      <c r="I281" s="21" t="s">
        <v>4990</v>
      </c>
      <c r="J281" s="31">
        <v>7.2259554E9</v>
      </c>
      <c r="K281" s="11" t="s">
        <v>6982</v>
      </c>
      <c r="L281" s="11" t="s">
        <v>6983</v>
      </c>
      <c r="M281" s="11" t="s">
        <v>10120</v>
      </c>
      <c r="N281" s="11" t="s">
        <v>10121</v>
      </c>
      <c r="O281" s="11">
        <v>40.0</v>
      </c>
      <c r="P281" s="11" t="s">
        <v>10122</v>
      </c>
      <c r="Q281" s="11">
        <v>50.0</v>
      </c>
      <c r="R281" s="11" t="s">
        <v>10123</v>
      </c>
      <c r="S281" s="11">
        <v>40.0</v>
      </c>
      <c r="T281" s="11" t="s">
        <v>10124</v>
      </c>
      <c r="U281" s="11" t="s">
        <v>10125</v>
      </c>
      <c r="V281" s="11">
        <v>50.0</v>
      </c>
      <c r="W281" s="11" t="s">
        <v>10126</v>
      </c>
      <c r="X281" s="11">
        <v>40.0</v>
      </c>
      <c r="Y281" s="11" t="s">
        <v>6991</v>
      </c>
      <c r="Z281" s="11">
        <v>20.0</v>
      </c>
      <c r="AA281" s="11" t="s">
        <v>7078</v>
      </c>
      <c r="AB281" s="11">
        <v>0.0</v>
      </c>
      <c r="AC281" s="11" t="s">
        <v>10127</v>
      </c>
      <c r="AD281" s="13" t="s">
        <v>6994</v>
      </c>
      <c r="AE281" s="11"/>
      <c r="AF281" s="11">
        <f>O281+Q281+S281+V281+X281+Z281+AB281</f>
        <v>240</v>
      </c>
      <c r="AG281" s="11"/>
      <c r="AH281" s="11"/>
    </row>
    <row r="282" ht="15.75" customHeight="1">
      <c r="A282" s="11">
        <v>109.0</v>
      </c>
      <c r="B282" s="12" t="s">
        <v>10128</v>
      </c>
      <c r="C282" s="11"/>
      <c r="D282" s="11" t="s">
        <v>10129</v>
      </c>
      <c r="E282" s="31" t="s">
        <v>5162</v>
      </c>
      <c r="F282" s="31" t="s">
        <v>5163</v>
      </c>
      <c r="G282" s="31" t="s">
        <v>3790</v>
      </c>
      <c r="H282" s="31" t="s">
        <v>14</v>
      </c>
      <c r="I282" s="31" t="s">
        <v>4015</v>
      </c>
      <c r="J282" s="31">
        <v>9.911596677E9</v>
      </c>
      <c r="K282" s="11" t="s">
        <v>6982</v>
      </c>
      <c r="L282" s="11" t="s">
        <v>6983</v>
      </c>
      <c r="M282" s="11" t="s">
        <v>10130</v>
      </c>
      <c r="N282" s="11" t="s">
        <v>10131</v>
      </c>
      <c r="O282" s="11">
        <v>60.0</v>
      </c>
      <c r="P282" s="11" t="s">
        <v>10132</v>
      </c>
      <c r="Q282" s="11">
        <v>70.0</v>
      </c>
      <c r="R282" s="11" t="s">
        <v>10133</v>
      </c>
      <c r="S282" s="11">
        <v>25.0</v>
      </c>
      <c r="T282" s="11" t="s">
        <v>10134</v>
      </c>
      <c r="U282" s="11" t="s">
        <v>10135</v>
      </c>
      <c r="V282" s="11">
        <v>75.0</v>
      </c>
      <c r="W282" s="11" t="s">
        <v>10136</v>
      </c>
      <c r="X282" s="11">
        <v>80.0</v>
      </c>
      <c r="Y282" s="11" t="s">
        <v>7027</v>
      </c>
      <c r="Z282" s="11">
        <v>25.0</v>
      </c>
      <c r="AA282" s="13" t="s">
        <v>10137</v>
      </c>
      <c r="AB282" s="11">
        <v>25.0</v>
      </c>
      <c r="AC282" s="11" t="s">
        <v>10138</v>
      </c>
      <c r="AD282" s="13" t="s">
        <v>6994</v>
      </c>
      <c r="AE282" s="11"/>
      <c r="AF282" s="11">
        <f t="shared" ref="AF282:AF283" si="51">AE282+AB282+Z282+X282+V282+S282+Q282+O282</f>
        <v>360</v>
      </c>
      <c r="AG282" s="11"/>
      <c r="AH282" s="11"/>
    </row>
    <row r="283" ht="15.75" customHeight="1">
      <c r="A283" s="11">
        <v>139.0</v>
      </c>
      <c r="B283" s="12" t="s">
        <v>10139</v>
      </c>
      <c r="C283" s="11" t="s">
        <v>7081</v>
      </c>
      <c r="D283" s="11" t="s">
        <v>10140</v>
      </c>
      <c r="E283" s="11" t="s">
        <v>146</v>
      </c>
      <c r="F283" s="11" t="s">
        <v>4999</v>
      </c>
      <c r="G283" s="11" t="s">
        <v>10141</v>
      </c>
      <c r="H283" s="11" t="s">
        <v>8086</v>
      </c>
      <c r="I283" s="11" t="s">
        <v>1102</v>
      </c>
      <c r="J283" s="18">
        <v>9.953036442E9</v>
      </c>
      <c r="K283" s="11" t="s">
        <v>6982</v>
      </c>
      <c r="L283" s="11" t="s">
        <v>7003</v>
      </c>
      <c r="M283" s="11" t="s">
        <v>10142</v>
      </c>
      <c r="N283" s="11" t="s">
        <v>10143</v>
      </c>
      <c r="O283" s="11">
        <v>50.0</v>
      </c>
      <c r="P283" s="11" t="s">
        <v>10144</v>
      </c>
      <c r="Q283" s="11">
        <v>50.0</v>
      </c>
      <c r="R283" s="11" t="s">
        <v>10145</v>
      </c>
      <c r="S283" s="11">
        <v>50.0</v>
      </c>
      <c r="T283" s="11" t="s">
        <v>10146</v>
      </c>
      <c r="U283" s="11" t="s">
        <v>10147</v>
      </c>
      <c r="V283" s="11">
        <v>50.0</v>
      </c>
      <c r="W283" s="11" t="s">
        <v>10148</v>
      </c>
      <c r="X283" s="11">
        <v>100.0</v>
      </c>
      <c r="Y283" s="11" t="s">
        <v>6991</v>
      </c>
      <c r="Z283" s="11">
        <v>25.0</v>
      </c>
      <c r="AA283" s="11" t="s">
        <v>7078</v>
      </c>
      <c r="AB283" s="11">
        <v>0.0</v>
      </c>
      <c r="AC283" s="11" t="s">
        <v>10149</v>
      </c>
      <c r="AD283" s="13" t="s">
        <v>6994</v>
      </c>
      <c r="AE283" s="11"/>
      <c r="AF283" s="11">
        <f t="shared" si="51"/>
        <v>325</v>
      </c>
      <c r="AG283" s="11"/>
      <c r="AH283" s="11"/>
    </row>
    <row r="284" ht="15.75" customHeight="1">
      <c r="A284" s="11">
        <v>36.0</v>
      </c>
      <c r="B284" s="12" t="s">
        <v>10150</v>
      </c>
      <c r="C284" s="11"/>
      <c r="D284" s="11" t="s">
        <v>10151</v>
      </c>
      <c r="E284" s="31" t="s">
        <v>146</v>
      </c>
      <c r="F284" s="31" t="s">
        <v>1090</v>
      </c>
      <c r="G284" s="31" t="s">
        <v>4905</v>
      </c>
      <c r="H284" s="31" t="s">
        <v>29</v>
      </c>
      <c r="I284" s="31" t="s">
        <v>494</v>
      </c>
      <c r="J284" s="31">
        <v>9.205060281E9</v>
      </c>
      <c r="K284" s="11" t="s">
        <v>6982</v>
      </c>
      <c r="L284" s="11" t="s">
        <v>7003</v>
      </c>
      <c r="M284" s="11" t="s">
        <v>10152</v>
      </c>
      <c r="N284" s="11" t="s">
        <v>10153</v>
      </c>
      <c r="O284" s="11">
        <v>80.0</v>
      </c>
      <c r="P284" s="11" t="s">
        <v>10154</v>
      </c>
      <c r="Q284" s="11">
        <v>70.0</v>
      </c>
      <c r="R284" s="11" t="s">
        <v>10155</v>
      </c>
      <c r="S284" s="11">
        <v>90.0</v>
      </c>
      <c r="T284" s="11" t="s">
        <v>10156</v>
      </c>
      <c r="U284" s="11" t="s">
        <v>10157</v>
      </c>
      <c r="V284" s="11">
        <v>80.0</v>
      </c>
      <c r="W284" s="11" t="s">
        <v>10158</v>
      </c>
      <c r="X284" s="11">
        <v>90.0</v>
      </c>
      <c r="Y284" s="11" t="s">
        <v>6991</v>
      </c>
      <c r="Z284" s="11">
        <v>40.0</v>
      </c>
      <c r="AA284" s="11" t="s">
        <v>7078</v>
      </c>
      <c r="AB284" s="11">
        <v>0.0</v>
      </c>
      <c r="AC284" s="11" t="s">
        <v>10159</v>
      </c>
      <c r="AD284" s="13" t="s">
        <v>6994</v>
      </c>
      <c r="AE284" s="11"/>
      <c r="AF284" s="11">
        <f>O284+Q284+S284+V284+X284+Z284+AB284+AE284</f>
        <v>450</v>
      </c>
      <c r="AG284" s="11"/>
      <c r="AH284" s="11"/>
    </row>
    <row r="285" ht="15.75" customHeight="1">
      <c r="A285" s="11">
        <v>202.0</v>
      </c>
      <c r="B285" s="12" t="s">
        <v>10160</v>
      </c>
      <c r="C285" s="12" t="s">
        <v>7168</v>
      </c>
      <c r="D285" s="11" t="s">
        <v>10161</v>
      </c>
      <c r="E285" s="31" t="s">
        <v>463</v>
      </c>
      <c r="F285" s="31" t="s">
        <v>91</v>
      </c>
      <c r="G285" s="31" t="s">
        <v>5364</v>
      </c>
      <c r="H285" s="31" t="s">
        <v>44</v>
      </c>
      <c r="I285" s="31" t="s">
        <v>5365</v>
      </c>
      <c r="J285" s="31">
        <v>9.002576217E9</v>
      </c>
      <c r="K285" s="11" t="s">
        <v>6982</v>
      </c>
      <c r="L285" s="11" t="s">
        <v>6983</v>
      </c>
      <c r="M285" s="11" t="s">
        <v>10162</v>
      </c>
      <c r="N285" s="11" t="s">
        <v>10163</v>
      </c>
      <c r="O285" s="11">
        <v>50.0</v>
      </c>
      <c r="P285" s="11" t="s">
        <v>10164</v>
      </c>
      <c r="Q285" s="11">
        <v>50.0</v>
      </c>
      <c r="R285" s="11" t="s">
        <v>10165</v>
      </c>
      <c r="S285" s="11">
        <v>50.0</v>
      </c>
      <c r="T285" s="11" t="s">
        <v>10166</v>
      </c>
      <c r="U285" s="11" t="s">
        <v>10167</v>
      </c>
      <c r="V285" s="11">
        <v>25.0</v>
      </c>
      <c r="W285" s="11" t="s">
        <v>10168</v>
      </c>
      <c r="X285" s="11">
        <v>25.0</v>
      </c>
      <c r="Y285" s="11" t="s">
        <v>7027</v>
      </c>
      <c r="Z285" s="11">
        <v>25.0</v>
      </c>
      <c r="AA285" s="13" t="s">
        <v>10169</v>
      </c>
      <c r="AB285" s="11">
        <v>25.0</v>
      </c>
      <c r="AC285" s="11" t="s">
        <v>10170</v>
      </c>
      <c r="AD285" s="13" t="s">
        <v>6994</v>
      </c>
      <c r="AE285" s="11"/>
      <c r="AF285" s="11">
        <f>AB285+Z285+X285+V285+S285+Q285+O285</f>
        <v>250</v>
      </c>
      <c r="AG285" s="11"/>
      <c r="AH285" s="11"/>
    </row>
    <row r="286" ht="15.75" customHeight="1">
      <c r="A286" s="11">
        <v>195.0</v>
      </c>
      <c r="B286" s="12" t="s">
        <v>10171</v>
      </c>
      <c r="C286" s="11" t="s">
        <v>2140</v>
      </c>
      <c r="D286" s="11" t="s">
        <v>10172</v>
      </c>
      <c r="E286" s="21" t="s">
        <v>4756</v>
      </c>
      <c r="F286" s="21" t="s">
        <v>3352</v>
      </c>
      <c r="G286" s="21" t="s">
        <v>4757</v>
      </c>
      <c r="H286" s="21" t="s">
        <v>56</v>
      </c>
      <c r="I286" s="21" t="s">
        <v>1102</v>
      </c>
      <c r="J286" s="31">
        <v>9.818478583E9</v>
      </c>
      <c r="K286" s="11" t="s">
        <v>6982</v>
      </c>
      <c r="L286" s="11" t="s">
        <v>6983</v>
      </c>
      <c r="M286" s="11" t="s">
        <v>10173</v>
      </c>
      <c r="N286" s="11" t="s">
        <v>10174</v>
      </c>
      <c r="O286" s="11">
        <v>60.0</v>
      </c>
      <c r="P286" s="11" t="s">
        <v>10175</v>
      </c>
      <c r="Q286" s="11">
        <v>40.0</v>
      </c>
      <c r="R286" s="11" t="s">
        <v>10176</v>
      </c>
      <c r="S286" s="11">
        <v>50.0</v>
      </c>
      <c r="T286" s="11" t="s">
        <v>10177</v>
      </c>
      <c r="U286" s="11" t="s">
        <v>10178</v>
      </c>
      <c r="V286" s="11">
        <v>40.0</v>
      </c>
      <c r="W286" s="11" t="s">
        <v>10179</v>
      </c>
      <c r="X286" s="11">
        <v>50.0</v>
      </c>
      <c r="Y286" s="11" t="s">
        <v>7027</v>
      </c>
      <c r="Z286" s="11">
        <v>20.0</v>
      </c>
      <c r="AA286" s="11" t="s">
        <v>7078</v>
      </c>
      <c r="AB286" s="11">
        <v>0.0</v>
      </c>
      <c r="AC286" s="11" t="s">
        <v>10180</v>
      </c>
      <c r="AD286" s="13" t="s">
        <v>6994</v>
      </c>
      <c r="AE286" s="11"/>
      <c r="AF286" s="11">
        <f>O286+Q286+S286+V286+X286+Z286+AB286</f>
        <v>260</v>
      </c>
      <c r="AG286" s="11"/>
      <c r="AH286" s="11"/>
    </row>
    <row r="287" ht="15.75" customHeight="1">
      <c r="A287" s="11">
        <v>235.0</v>
      </c>
      <c r="B287" s="12" t="s">
        <v>10181</v>
      </c>
      <c r="C287" s="11" t="s">
        <v>4344</v>
      </c>
      <c r="D287" s="38" t="s">
        <v>10182</v>
      </c>
      <c r="E287" s="11" t="s">
        <v>10183</v>
      </c>
      <c r="F287" s="11" t="s">
        <v>10184</v>
      </c>
      <c r="G287" s="11" t="s">
        <v>10185</v>
      </c>
      <c r="H287" s="11" t="s">
        <v>7097</v>
      </c>
      <c r="I287" s="11" t="s">
        <v>4276</v>
      </c>
      <c r="J287" s="11">
        <v>9.885660067E9</v>
      </c>
      <c r="K287" s="11"/>
      <c r="L287" s="11" t="s">
        <v>7003</v>
      </c>
      <c r="M287" s="11" t="s">
        <v>10186</v>
      </c>
      <c r="N287" s="11" t="s">
        <v>10187</v>
      </c>
      <c r="O287" s="11">
        <v>50.0</v>
      </c>
      <c r="P287" s="11" t="s">
        <v>10188</v>
      </c>
      <c r="Q287" s="11">
        <v>25.0</v>
      </c>
      <c r="R287" s="11" t="s">
        <v>10189</v>
      </c>
      <c r="S287" s="11">
        <v>25.0</v>
      </c>
      <c r="T287" s="11" t="s">
        <v>10190</v>
      </c>
      <c r="U287" s="11" t="s">
        <v>10191</v>
      </c>
      <c r="V287" s="11">
        <v>40.0</v>
      </c>
      <c r="W287" s="11" t="s">
        <v>10192</v>
      </c>
      <c r="X287" s="11">
        <v>40.0</v>
      </c>
      <c r="Y287" s="11" t="s">
        <v>6991</v>
      </c>
      <c r="Z287" s="11">
        <v>25.0</v>
      </c>
      <c r="AA287" s="13" t="s">
        <v>10193</v>
      </c>
      <c r="AB287" s="11">
        <v>25.0</v>
      </c>
      <c r="AC287" s="11" t="s">
        <v>10194</v>
      </c>
      <c r="AD287" s="13" t="s">
        <v>6994</v>
      </c>
      <c r="AE287" s="11">
        <v>0.0</v>
      </c>
      <c r="AF287" s="11">
        <f>O287+Q287+S287+V287+X287+Z287+AB287+AE287</f>
        <v>230</v>
      </c>
      <c r="AG287" s="11" t="s">
        <v>10195</v>
      </c>
      <c r="AH287" s="11"/>
    </row>
    <row r="288" ht="15.75" customHeight="1">
      <c r="A288" s="11">
        <v>185.0</v>
      </c>
      <c r="B288" s="12" t="s">
        <v>10196</v>
      </c>
      <c r="C288" s="11" t="s">
        <v>7043</v>
      </c>
      <c r="D288" s="11" t="s">
        <v>10197</v>
      </c>
      <c r="E288" s="11" t="s">
        <v>10198</v>
      </c>
      <c r="F288" s="11" t="s">
        <v>125</v>
      </c>
      <c r="G288" s="11" t="s">
        <v>7447</v>
      </c>
      <c r="H288" s="11" t="s">
        <v>7019</v>
      </c>
      <c r="I288" s="11" t="s">
        <v>1095</v>
      </c>
      <c r="J288" s="23">
        <v>7.827207959E9</v>
      </c>
      <c r="K288" s="11"/>
      <c r="L288" s="11" t="s">
        <v>7003</v>
      </c>
      <c r="M288" s="11" t="s">
        <v>10199</v>
      </c>
      <c r="N288" s="11" t="s">
        <v>10200</v>
      </c>
      <c r="O288" s="11">
        <v>50.0</v>
      </c>
      <c r="P288" s="11" t="s">
        <v>10201</v>
      </c>
      <c r="Q288" s="11">
        <v>25.0</v>
      </c>
      <c r="R288" s="11" t="s">
        <v>10202</v>
      </c>
      <c r="S288" s="11">
        <v>25.0</v>
      </c>
      <c r="T288" s="11" t="s">
        <v>10203</v>
      </c>
      <c r="U288" s="11" t="s">
        <v>10204</v>
      </c>
      <c r="V288" s="11">
        <v>60.0</v>
      </c>
      <c r="W288" s="11" t="s">
        <v>10205</v>
      </c>
      <c r="X288" s="11">
        <v>50.0</v>
      </c>
      <c r="Y288" s="11" t="s">
        <v>6991</v>
      </c>
      <c r="Z288" s="11">
        <v>25.0</v>
      </c>
      <c r="AA288" s="13" t="s">
        <v>10206</v>
      </c>
      <c r="AB288" s="11">
        <v>40.0</v>
      </c>
      <c r="AC288" s="11" t="s">
        <v>10207</v>
      </c>
      <c r="AD288" s="13" t="s">
        <v>6994</v>
      </c>
      <c r="AE288" s="11"/>
      <c r="AF288" s="11">
        <f>AE288+AB288+Z288+X288+V288+S288+Q288+O288</f>
        <v>275</v>
      </c>
      <c r="AG288" s="11"/>
      <c r="AH288" s="11"/>
    </row>
    <row r="289" ht="15.75" customHeight="1">
      <c r="A289" s="11">
        <v>117.0</v>
      </c>
      <c r="B289" s="12" t="s">
        <v>10208</v>
      </c>
      <c r="C289" s="12" t="s">
        <v>4344</v>
      </c>
      <c r="D289" s="11" t="s">
        <v>10209</v>
      </c>
      <c r="E289" s="31" t="s">
        <v>5155</v>
      </c>
      <c r="F289" s="31" t="s">
        <v>4670</v>
      </c>
      <c r="G289" s="31" t="s">
        <v>5179</v>
      </c>
      <c r="H289" s="31" t="s">
        <v>26</v>
      </c>
      <c r="I289" s="31" t="s">
        <v>19</v>
      </c>
      <c r="J289" s="31">
        <v>8.43417753E9</v>
      </c>
      <c r="K289" s="11" t="s">
        <v>7376</v>
      </c>
      <c r="L289" s="11" t="s">
        <v>7003</v>
      </c>
      <c r="M289" s="11" t="s">
        <v>10210</v>
      </c>
      <c r="N289" s="11" t="s">
        <v>10211</v>
      </c>
      <c r="O289" s="11">
        <v>80.0</v>
      </c>
      <c r="P289" s="11" t="s">
        <v>10212</v>
      </c>
      <c r="Q289" s="11">
        <v>50.0</v>
      </c>
      <c r="R289" s="11" t="s">
        <v>10213</v>
      </c>
      <c r="S289" s="11">
        <v>25.0</v>
      </c>
      <c r="T289" s="11" t="s">
        <v>10214</v>
      </c>
      <c r="U289" s="11" t="s">
        <v>10215</v>
      </c>
      <c r="V289" s="11">
        <v>80.0</v>
      </c>
      <c r="W289" s="11" t="s">
        <v>10216</v>
      </c>
      <c r="X289" s="11">
        <v>60.0</v>
      </c>
      <c r="Y289" s="11" t="s">
        <v>6991</v>
      </c>
      <c r="Z289" s="11">
        <v>25.0</v>
      </c>
      <c r="AA289" s="13" t="s">
        <v>10217</v>
      </c>
      <c r="AB289" s="11">
        <v>25.0</v>
      </c>
      <c r="AC289" s="11" t="s">
        <v>10218</v>
      </c>
      <c r="AD289" s="13" t="s">
        <v>6994</v>
      </c>
      <c r="AE289" s="11">
        <v>0.0</v>
      </c>
      <c r="AF289" s="11">
        <f t="shared" ref="AF289:AF290" si="52">O289+Q289+S289+V289+X289+Z289+AB289+AE289</f>
        <v>345</v>
      </c>
      <c r="AG289" s="11" t="s">
        <v>10219</v>
      </c>
      <c r="AH289" s="11"/>
    </row>
    <row r="290" ht="15.75" customHeight="1">
      <c r="A290" s="11">
        <v>11.0</v>
      </c>
      <c r="B290" s="12" t="s">
        <v>10220</v>
      </c>
      <c r="C290" s="12" t="s">
        <v>4344</v>
      </c>
      <c r="D290" s="11" t="s">
        <v>10221</v>
      </c>
      <c r="E290" s="31" t="s">
        <v>4956</v>
      </c>
      <c r="F290" s="31" t="s">
        <v>4957</v>
      </c>
      <c r="G290" s="31" t="s">
        <v>4958</v>
      </c>
      <c r="H290" s="31" t="s">
        <v>9</v>
      </c>
      <c r="I290" s="31" t="s">
        <v>4212</v>
      </c>
      <c r="J290" s="31">
        <v>9.911212889E9</v>
      </c>
      <c r="K290" s="11" t="s">
        <v>6982</v>
      </c>
      <c r="L290" s="11" t="s">
        <v>6983</v>
      </c>
      <c r="M290" s="11" t="s">
        <v>10222</v>
      </c>
      <c r="N290" s="11" t="s">
        <v>10223</v>
      </c>
      <c r="O290" s="11">
        <v>80.0</v>
      </c>
      <c r="P290" s="11" t="s">
        <v>10224</v>
      </c>
      <c r="Q290" s="11">
        <v>50.0</v>
      </c>
      <c r="R290" s="11" t="s">
        <v>10225</v>
      </c>
      <c r="S290" s="11">
        <v>70.0</v>
      </c>
      <c r="T290" s="11" t="s">
        <v>10226</v>
      </c>
      <c r="U290" s="11" t="s">
        <v>10227</v>
      </c>
      <c r="V290" s="11">
        <v>85.0</v>
      </c>
      <c r="W290" s="11" t="s">
        <v>10228</v>
      </c>
      <c r="X290" s="11">
        <v>80.0</v>
      </c>
      <c r="Y290" s="11" t="s">
        <v>7027</v>
      </c>
      <c r="Z290" s="11">
        <v>80.0</v>
      </c>
      <c r="AA290" s="13" t="s">
        <v>10229</v>
      </c>
      <c r="AB290" s="11">
        <v>90.0</v>
      </c>
      <c r="AC290" s="11" t="s">
        <v>10230</v>
      </c>
      <c r="AD290" s="13" t="s">
        <v>6994</v>
      </c>
      <c r="AE290" s="11"/>
      <c r="AF290" s="11">
        <f t="shared" si="52"/>
        <v>535</v>
      </c>
      <c r="AG290" s="11" t="s">
        <v>10231</v>
      </c>
      <c r="AH290" s="11"/>
    </row>
    <row r="291" ht="15.75" customHeight="1">
      <c r="A291" s="11">
        <v>307.0</v>
      </c>
      <c r="B291" s="12" t="s">
        <v>10232</v>
      </c>
      <c r="C291" s="11"/>
      <c r="D291" s="11" t="s">
        <v>10233</v>
      </c>
      <c r="E291" s="11" t="s">
        <v>10234</v>
      </c>
      <c r="F291" s="11" t="s">
        <v>108</v>
      </c>
      <c r="G291" s="18" t="s">
        <v>5272</v>
      </c>
      <c r="H291" s="18" t="s">
        <v>7097</v>
      </c>
      <c r="I291" s="11" t="s">
        <v>494</v>
      </c>
      <c r="J291" s="18">
        <v>9.717760072E9</v>
      </c>
      <c r="K291" s="11"/>
      <c r="L291" s="11" t="s">
        <v>7003</v>
      </c>
      <c r="M291" s="11" t="s">
        <v>10235</v>
      </c>
      <c r="N291" s="11" t="s">
        <v>10236</v>
      </c>
      <c r="O291" s="11">
        <v>60.0</v>
      </c>
      <c r="P291" s="11" t="s">
        <v>10237</v>
      </c>
      <c r="Q291" s="11">
        <v>50.0</v>
      </c>
      <c r="R291" s="11" t="s">
        <v>10238</v>
      </c>
      <c r="S291" s="11">
        <v>25.0</v>
      </c>
      <c r="T291" s="11" t="s">
        <v>10239</v>
      </c>
      <c r="U291" s="11" t="s">
        <v>10240</v>
      </c>
      <c r="V291" s="11">
        <v>25.0</v>
      </c>
      <c r="W291" s="11" t="s">
        <v>10241</v>
      </c>
      <c r="X291" s="11">
        <v>0.0</v>
      </c>
      <c r="Y291" s="11" t="s">
        <v>7193</v>
      </c>
      <c r="Z291" s="11">
        <v>10.0</v>
      </c>
      <c r="AA291" s="11" t="s">
        <v>7078</v>
      </c>
      <c r="AB291" s="11">
        <v>0.0</v>
      </c>
      <c r="AC291" s="11" t="s">
        <v>10242</v>
      </c>
      <c r="AD291" s="13" t="s">
        <v>6994</v>
      </c>
      <c r="AE291" s="11"/>
      <c r="AF291" s="11">
        <f>AE291+AB291+Z291+X291+V291+S291+Q291+O291</f>
        <v>170</v>
      </c>
      <c r="AG291" s="11"/>
      <c r="AH291" s="11"/>
    </row>
    <row r="292" ht="15.75" customHeight="1">
      <c r="A292" s="11">
        <v>105.0</v>
      </c>
      <c r="B292" s="12" t="s">
        <v>10243</v>
      </c>
      <c r="C292" s="11" t="s">
        <v>4344</v>
      </c>
      <c r="D292" s="38" t="s">
        <v>10244</v>
      </c>
      <c r="E292" s="11" t="s">
        <v>920</v>
      </c>
      <c r="F292" s="11" t="s">
        <v>251</v>
      </c>
      <c r="G292" s="11" t="s">
        <v>4006</v>
      </c>
      <c r="H292" s="11" t="s">
        <v>6981</v>
      </c>
      <c r="I292" s="11" t="s">
        <v>2025</v>
      </c>
      <c r="J292" s="11">
        <v>7.303621124E9</v>
      </c>
      <c r="K292" s="11"/>
      <c r="L292" s="11" t="s">
        <v>7003</v>
      </c>
      <c r="M292" s="11" t="s">
        <v>10245</v>
      </c>
      <c r="N292" s="11" t="s">
        <v>9320</v>
      </c>
      <c r="O292" s="11">
        <v>75.0</v>
      </c>
      <c r="P292" s="11" t="s">
        <v>9321</v>
      </c>
      <c r="Q292" s="11">
        <v>70.0</v>
      </c>
      <c r="R292" s="11" t="s">
        <v>9322</v>
      </c>
      <c r="S292" s="11">
        <v>50.0</v>
      </c>
      <c r="T292" s="11" t="s">
        <v>10246</v>
      </c>
      <c r="U292" s="11" t="s">
        <v>10247</v>
      </c>
      <c r="V292" s="11">
        <v>70.0</v>
      </c>
      <c r="W292" s="11" t="s">
        <v>9325</v>
      </c>
      <c r="X292" s="11">
        <v>50.0</v>
      </c>
      <c r="Y292" s="11" t="s">
        <v>7193</v>
      </c>
      <c r="Z292" s="11">
        <v>25.0</v>
      </c>
      <c r="AA292" s="13" t="s">
        <v>10248</v>
      </c>
      <c r="AB292" s="11">
        <v>25.0</v>
      </c>
      <c r="AC292" s="11" t="s">
        <v>10249</v>
      </c>
      <c r="AD292" s="13" t="s">
        <v>6994</v>
      </c>
      <c r="AE292" s="11">
        <v>0.0</v>
      </c>
      <c r="AF292" s="11">
        <f>O292+Q292+S292+V292+X292+Z292+AB292+AE292</f>
        <v>365</v>
      </c>
      <c r="AG292" s="11" t="s">
        <v>9328</v>
      </c>
      <c r="AH292" s="11"/>
    </row>
    <row r="293" ht="15.75" customHeight="1">
      <c r="A293" s="11">
        <v>218.0</v>
      </c>
      <c r="B293" s="12" t="s">
        <v>10250</v>
      </c>
      <c r="C293" s="12" t="s">
        <v>2140</v>
      </c>
      <c r="D293" s="11" t="s">
        <v>10251</v>
      </c>
      <c r="E293" s="31" t="s">
        <v>5728</v>
      </c>
      <c r="F293" s="31" t="s">
        <v>63</v>
      </c>
      <c r="G293" s="31" t="s">
        <v>5729</v>
      </c>
      <c r="H293" s="31" t="s">
        <v>9</v>
      </c>
      <c r="I293" s="31" t="s">
        <v>5452</v>
      </c>
      <c r="J293" s="31">
        <v>8.360983545E9</v>
      </c>
      <c r="K293" s="11" t="s">
        <v>6982</v>
      </c>
      <c r="L293" s="11" t="s">
        <v>6983</v>
      </c>
      <c r="M293" s="11" t="s">
        <v>10252</v>
      </c>
      <c r="N293" s="11" t="s">
        <v>10253</v>
      </c>
      <c r="O293" s="11">
        <v>30.0</v>
      </c>
      <c r="P293" s="11" t="s">
        <v>10254</v>
      </c>
      <c r="Q293" s="11">
        <v>60.0</v>
      </c>
      <c r="R293" s="11" t="s">
        <v>10255</v>
      </c>
      <c r="S293" s="11">
        <v>70.0</v>
      </c>
      <c r="T293" s="11" t="s">
        <v>10256</v>
      </c>
      <c r="U293" s="11" t="s">
        <v>10257</v>
      </c>
      <c r="V293" s="11">
        <v>50.0</v>
      </c>
      <c r="W293" s="11" t="s">
        <v>10258</v>
      </c>
      <c r="X293" s="11">
        <v>20.0</v>
      </c>
      <c r="Y293" s="11" t="s">
        <v>6991</v>
      </c>
      <c r="Z293" s="11">
        <v>20.0</v>
      </c>
      <c r="AA293" s="19" t="s">
        <v>7078</v>
      </c>
      <c r="AB293" s="11"/>
      <c r="AC293" s="11" t="s">
        <v>10259</v>
      </c>
      <c r="AD293" s="13" t="s">
        <v>6994</v>
      </c>
      <c r="AE293" s="11"/>
      <c r="AF293" s="11">
        <f>O293+Q293+S293+V293+X293+Z293+AB293</f>
        <v>250</v>
      </c>
      <c r="AG293" s="11"/>
      <c r="AH293" s="11"/>
    </row>
    <row r="294" ht="15.75" customHeight="1">
      <c r="A294" s="11">
        <v>46.0</v>
      </c>
      <c r="B294" s="12" t="s">
        <v>10260</v>
      </c>
      <c r="C294" s="11"/>
      <c r="D294" s="11" t="s">
        <v>10261</v>
      </c>
      <c r="E294" s="31" t="s">
        <v>5131</v>
      </c>
      <c r="F294" s="31" t="s">
        <v>3804</v>
      </c>
      <c r="G294" s="31" t="s">
        <v>4976</v>
      </c>
      <c r="H294" s="31" t="s">
        <v>56</v>
      </c>
      <c r="I294" s="31" t="s">
        <v>4015</v>
      </c>
      <c r="J294" s="31">
        <v>7.703977646E9</v>
      </c>
      <c r="K294" s="11" t="s">
        <v>6982</v>
      </c>
      <c r="L294" s="11" t="s">
        <v>6983</v>
      </c>
      <c r="M294" s="11" t="s">
        <v>10051</v>
      </c>
      <c r="N294" s="11" t="s">
        <v>10052</v>
      </c>
      <c r="O294" s="11">
        <v>75.0</v>
      </c>
      <c r="P294" s="11" t="s">
        <v>10053</v>
      </c>
      <c r="Q294" s="11">
        <v>70.0</v>
      </c>
      <c r="R294" s="11" t="s">
        <v>10054</v>
      </c>
      <c r="S294" s="11">
        <v>60.0</v>
      </c>
      <c r="T294" s="11" t="s">
        <v>10055</v>
      </c>
      <c r="U294" s="11" t="s">
        <v>10056</v>
      </c>
      <c r="V294" s="11">
        <v>80.0</v>
      </c>
      <c r="W294" s="11" t="s">
        <v>10057</v>
      </c>
      <c r="X294" s="11">
        <v>70.0</v>
      </c>
      <c r="Y294" s="11" t="s">
        <v>7193</v>
      </c>
      <c r="Z294" s="11">
        <v>80.0</v>
      </c>
      <c r="AA294" s="13" t="s">
        <v>10262</v>
      </c>
      <c r="AB294" s="11"/>
      <c r="AC294" s="11" t="s">
        <v>10263</v>
      </c>
      <c r="AD294" s="13" t="s">
        <v>6994</v>
      </c>
      <c r="AE294" s="11"/>
      <c r="AF294" s="11">
        <f>AE294+AB294+Z294+X294+V294+S294+Q294+O294</f>
        <v>435</v>
      </c>
      <c r="AG294" s="11"/>
      <c r="AH294" s="11"/>
    </row>
    <row r="295" ht="15.75" customHeight="1">
      <c r="A295" s="11">
        <v>90.0</v>
      </c>
      <c r="B295" s="11" t="s">
        <v>10264</v>
      </c>
      <c r="C295" s="11"/>
      <c r="D295" s="11" t="s">
        <v>10265</v>
      </c>
      <c r="E295" s="31" t="s">
        <v>871</v>
      </c>
      <c r="F295" s="31" t="s">
        <v>1791</v>
      </c>
      <c r="G295" s="31" t="s">
        <v>3322</v>
      </c>
      <c r="H295" s="31" t="s">
        <v>56</v>
      </c>
      <c r="I295" s="31" t="s">
        <v>434</v>
      </c>
      <c r="J295" s="31">
        <v>8.291365536E9</v>
      </c>
      <c r="K295" s="40" t="s">
        <v>7086</v>
      </c>
      <c r="L295" s="11" t="s">
        <v>7003</v>
      </c>
      <c r="M295" s="11" t="s">
        <v>10266</v>
      </c>
      <c r="N295" s="11" t="s">
        <v>10267</v>
      </c>
      <c r="O295" s="11">
        <v>70.0</v>
      </c>
      <c r="P295" s="11" t="s">
        <v>10268</v>
      </c>
      <c r="Q295" s="11">
        <v>50.0</v>
      </c>
      <c r="R295" s="11" t="s">
        <v>10269</v>
      </c>
      <c r="S295" s="11">
        <v>80.0</v>
      </c>
      <c r="T295" s="11" t="s">
        <v>10270</v>
      </c>
      <c r="U295" s="11" t="s">
        <v>10271</v>
      </c>
      <c r="V295" s="11">
        <v>80.0</v>
      </c>
      <c r="W295" s="11" t="s">
        <v>10272</v>
      </c>
      <c r="X295" s="11">
        <v>80.0</v>
      </c>
      <c r="Y295" s="11" t="s">
        <v>6991</v>
      </c>
      <c r="Z295" s="11">
        <v>25.0</v>
      </c>
      <c r="AA295" s="13" t="s">
        <v>10273</v>
      </c>
      <c r="AB295" s="11"/>
      <c r="AC295" s="11" t="s">
        <v>10274</v>
      </c>
      <c r="AD295" s="13" t="s">
        <v>6994</v>
      </c>
      <c r="AE295" s="11"/>
      <c r="AF295" s="11">
        <f>AB295+Z295+X295+V295+S295+Q295+O295</f>
        <v>385</v>
      </c>
      <c r="AG295" s="11"/>
      <c r="AH295" s="11"/>
    </row>
    <row r="296" ht="15.75" customHeight="1">
      <c r="A296" s="11">
        <v>291.0</v>
      </c>
      <c r="B296" s="12" t="s">
        <v>10275</v>
      </c>
      <c r="C296" s="11"/>
      <c r="D296" s="11" t="s">
        <v>10276</v>
      </c>
      <c r="E296" s="21" t="s">
        <v>6837</v>
      </c>
      <c r="F296" s="21" t="s">
        <v>4840</v>
      </c>
      <c r="G296" s="21" t="s">
        <v>6838</v>
      </c>
      <c r="H296" s="21" t="s">
        <v>44</v>
      </c>
      <c r="I296" s="21" t="s">
        <v>2025</v>
      </c>
      <c r="J296" s="21">
        <v>9.311069258E9</v>
      </c>
      <c r="K296" s="11" t="s">
        <v>6982</v>
      </c>
      <c r="L296" s="11" t="s">
        <v>6983</v>
      </c>
      <c r="M296" s="11" t="s">
        <v>10277</v>
      </c>
      <c r="N296" s="11" t="s">
        <v>10278</v>
      </c>
      <c r="O296" s="11">
        <v>40.0</v>
      </c>
      <c r="P296" s="11" t="s">
        <v>10279</v>
      </c>
      <c r="Q296" s="11">
        <v>25.0</v>
      </c>
      <c r="R296" s="11" t="s">
        <v>10280</v>
      </c>
      <c r="S296" s="11">
        <v>25.0</v>
      </c>
      <c r="T296" s="11" t="s">
        <v>10281</v>
      </c>
      <c r="U296" s="11" t="s">
        <v>10282</v>
      </c>
      <c r="V296" s="11">
        <v>50.0</v>
      </c>
      <c r="W296" s="11" t="s">
        <v>10283</v>
      </c>
      <c r="X296" s="11">
        <v>25.0</v>
      </c>
      <c r="Y296" s="11" t="s">
        <v>6991</v>
      </c>
      <c r="Z296" s="11">
        <v>25.0</v>
      </c>
      <c r="AA296" s="11" t="s">
        <v>7078</v>
      </c>
      <c r="AB296" s="11">
        <v>0.0</v>
      </c>
      <c r="AC296" s="11" t="s">
        <v>10284</v>
      </c>
      <c r="AD296" s="13" t="s">
        <v>6994</v>
      </c>
      <c r="AE296" s="11">
        <v>0.0</v>
      </c>
      <c r="AF296" s="11">
        <f>O296+Q296+S296+V296+X296+Z296+AB296+AE296</f>
        <v>190</v>
      </c>
      <c r="AG296" s="11" t="s">
        <v>10285</v>
      </c>
      <c r="AH296" s="11"/>
    </row>
    <row r="297" ht="15.75" customHeight="1">
      <c r="A297" s="12">
        <v>400.0</v>
      </c>
      <c r="B297" s="12" t="s">
        <v>10286</v>
      </c>
      <c r="C297" s="11" t="s">
        <v>7081</v>
      </c>
      <c r="D297" s="11" t="s">
        <v>10287</v>
      </c>
      <c r="E297" s="31" t="s">
        <v>1889</v>
      </c>
      <c r="F297" s="31" t="s">
        <v>1407</v>
      </c>
      <c r="G297" s="31" t="s">
        <v>5480</v>
      </c>
      <c r="H297" s="31" t="s">
        <v>9</v>
      </c>
      <c r="I297" s="31" t="s">
        <v>5242</v>
      </c>
      <c r="J297" s="31">
        <v>7.017920223E9</v>
      </c>
      <c r="K297" s="11" t="s">
        <v>6982</v>
      </c>
      <c r="L297" s="11" t="s">
        <v>6983</v>
      </c>
      <c r="M297" s="11" t="s">
        <v>10288</v>
      </c>
      <c r="N297" s="11" t="s">
        <v>10289</v>
      </c>
      <c r="O297" s="11">
        <v>100.0</v>
      </c>
      <c r="P297" s="11" t="s">
        <v>10290</v>
      </c>
      <c r="Q297" s="11">
        <v>100.0</v>
      </c>
      <c r="R297" s="11" t="s">
        <v>10291</v>
      </c>
      <c r="S297" s="11">
        <v>100.0</v>
      </c>
      <c r="T297" s="11" t="s">
        <v>10292</v>
      </c>
      <c r="U297" s="11" t="s">
        <v>10293</v>
      </c>
      <c r="V297" s="11">
        <v>70.0</v>
      </c>
      <c r="W297" s="11" t="s">
        <v>10294</v>
      </c>
      <c r="X297" s="11">
        <v>100.0</v>
      </c>
      <c r="Y297" s="11" t="s">
        <v>7027</v>
      </c>
      <c r="Z297" s="11">
        <v>50.0</v>
      </c>
      <c r="AA297" s="13" t="s">
        <v>10295</v>
      </c>
      <c r="AB297" s="11">
        <v>75.0</v>
      </c>
      <c r="AC297" s="11" t="s">
        <v>10296</v>
      </c>
      <c r="AD297" s="13" t="s">
        <v>6994</v>
      </c>
      <c r="AE297" s="11"/>
      <c r="AF297" s="11">
        <f>AE297+AB297+Z297+X297+V297+S297+Q297+O297</f>
        <v>595</v>
      </c>
      <c r="AG297" s="11" t="s">
        <v>10297</v>
      </c>
      <c r="AH297" s="11"/>
    </row>
    <row r="298" ht="15.75" customHeight="1">
      <c r="A298" s="11">
        <v>368.0</v>
      </c>
      <c r="B298" s="12" t="s">
        <v>10298</v>
      </c>
      <c r="C298" s="11"/>
      <c r="D298" s="11" t="s">
        <v>10299</v>
      </c>
      <c r="E298" s="31" t="s">
        <v>146</v>
      </c>
      <c r="F298" s="31" t="s">
        <v>4887</v>
      </c>
      <c r="G298" s="31" t="s">
        <v>4586</v>
      </c>
      <c r="H298" s="31" t="s">
        <v>1108</v>
      </c>
      <c r="I298" s="31" t="s">
        <v>4587</v>
      </c>
      <c r="J298" s="31">
        <v>9.329833517E9</v>
      </c>
      <c r="K298" s="11" t="s">
        <v>6982</v>
      </c>
      <c r="L298" s="11" t="s">
        <v>6983</v>
      </c>
      <c r="M298" s="11" t="s">
        <v>10300</v>
      </c>
      <c r="N298" s="11" t="s">
        <v>10301</v>
      </c>
      <c r="O298" s="11">
        <v>0.0</v>
      </c>
      <c r="P298" s="11" t="s">
        <v>10302</v>
      </c>
      <c r="Q298" s="11">
        <v>0.0</v>
      </c>
      <c r="R298" s="11" t="s">
        <v>10303</v>
      </c>
      <c r="S298" s="11">
        <v>0.0</v>
      </c>
      <c r="T298" s="11" t="s">
        <v>10304</v>
      </c>
      <c r="U298" s="11" t="s">
        <v>10305</v>
      </c>
      <c r="V298" s="11">
        <v>0.0</v>
      </c>
      <c r="W298" s="11" t="s">
        <v>10306</v>
      </c>
      <c r="X298" s="11">
        <v>0.0</v>
      </c>
      <c r="Y298" s="11" t="s">
        <v>6991</v>
      </c>
      <c r="Z298" s="11">
        <v>0.0</v>
      </c>
      <c r="AA298" s="11" t="s">
        <v>7078</v>
      </c>
      <c r="AB298" s="11">
        <v>0.0</v>
      </c>
      <c r="AC298" s="11" t="s">
        <v>10307</v>
      </c>
      <c r="AD298" s="13" t="s">
        <v>6994</v>
      </c>
      <c r="AE298" s="11"/>
      <c r="AF298" s="11">
        <f>O298+Q298+S298+V298+X298+Z298+AB298</f>
        <v>0</v>
      </c>
      <c r="AG298" s="11"/>
      <c r="AH298" s="11"/>
    </row>
    <row r="299" ht="15.75" customHeight="1">
      <c r="A299" s="11">
        <v>48.0</v>
      </c>
      <c r="B299" s="12" t="s">
        <v>10308</v>
      </c>
      <c r="C299" s="12" t="s">
        <v>4344</v>
      </c>
      <c r="D299" s="11" t="s">
        <v>10309</v>
      </c>
      <c r="E299" s="31" t="s">
        <v>5248</v>
      </c>
      <c r="F299" s="31" t="s">
        <v>5249</v>
      </c>
      <c r="G299" s="31" t="s">
        <v>5250</v>
      </c>
      <c r="H299" s="31" t="s">
        <v>56</v>
      </c>
      <c r="I299" s="31" t="s">
        <v>4276</v>
      </c>
      <c r="J299" s="31">
        <v>8.0083133E9</v>
      </c>
      <c r="K299" s="11" t="s">
        <v>7086</v>
      </c>
      <c r="L299" s="11" t="s">
        <v>7003</v>
      </c>
      <c r="M299" s="11" t="s">
        <v>10310</v>
      </c>
      <c r="N299" s="11" t="s">
        <v>10311</v>
      </c>
      <c r="O299" s="11">
        <v>70.0</v>
      </c>
      <c r="P299" s="11" t="s">
        <v>10312</v>
      </c>
      <c r="Q299" s="11">
        <v>80.0</v>
      </c>
      <c r="R299" s="11" t="s">
        <v>10313</v>
      </c>
      <c r="S299" s="11">
        <v>90.0</v>
      </c>
      <c r="T299" s="11" t="s">
        <v>10314</v>
      </c>
      <c r="U299" s="11" t="s">
        <v>10315</v>
      </c>
      <c r="V299" s="11">
        <v>75.0</v>
      </c>
      <c r="W299" s="11" t="s">
        <v>10316</v>
      </c>
      <c r="X299" s="11">
        <v>90.0</v>
      </c>
      <c r="Y299" s="11" t="s">
        <v>7027</v>
      </c>
      <c r="Z299" s="11">
        <v>25.0</v>
      </c>
      <c r="AA299" s="11" t="s">
        <v>7078</v>
      </c>
      <c r="AB299" s="11">
        <v>0.0</v>
      </c>
      <c r="AC299" s="11" t="s">
        <v>10317</v>
      </c>
      <c r="AD299" s="13" t="s">
        <v>6994</v>
      </c>
      <c r="AE299" s="11">
        <v>0.0</v>
      </c>
      <c r="AF299" s="11">
        <f>O299+Q299+S299+V299+X299+Z299+AB299+AE299</f>
        <v>430</v>
      </c>
      <c r="AG299" s="11" t="s">
        <v>10318</v>
      </c>
      <c r="AH299" s="11"/>
    </row>
    <row r="300" ht="15.75" customHeight="1">
      <c r="A300" s="11">
        <v>215.0</v>
      </c>
      <c r="B300" s="12" t="s">
        <v>10319</v>
      </c>
      <c r="C300" s="11" t="s">
        <v>7168</v>
      </c>
      <c r="D300" s="11" t="s">
        <v>10320</v>
      </c>
      <c r="E300" s="21" t="s">
        <v>4459</v>
      </c>
      <c r="F300" s="21" t="s">
        <v>4988</v>
      </c>
      <c r="G300" s="21" t="s">
        <v>4483</v>
      </c>
      <c r="H300" s="21" t="s">
        <v>29</v>
      </c>
      <c r="I300" s="21" t="s">
        <v>494</v>
      </c>
      <c r="J300" s="31">
        <v>9.213516143E9</v>
      </c>
      <c r="K300" s="11" t="s">
        <v>6982</v>
      </c>
      <c r="L300" s="11" t="s">
        <v>6983</v>
      </c>
      <c r="M300" s="11" t="s">
        <v>10321</v>
      </c>
      <c r="N300" s="11" t="s">
        <v>10322</v>
      </c>
      <c r="O300" s="11">
        <v>50.0</v>
      </c>
      <c r="P300" s="11" t="s">
        <v>10323</v>
      </c>
      <c r="Q300" s="11">
        <v>25.0</v>
      </c>
      <c r="R300" s="11" t="s">
        <v>10324</v>
      </c>
      <c r="S300" s="11">
        <v>25.0</v>
      </c>
      <c r="T300" s="11" t="s">
        <v>10325</v>
      </c>
      <c r="U300" s="11" t="s">
        <v>10326</v>
      </c>
      <c r="V300" s="11">
        <v>50.0</v>
      </c>
      <c r="W300" s="11" t="s">
        <v>10327</v>
      </c>
      <c r="X300" s="11">
        <v>75.0</v>
      </c>
      <c r="Y300" s="11" t="s">
        <v>6991</v>
      </c>
      <c r="Z300" s="11">
        <v>25.0</v>
      </c>
      <c r="AA300" s="11" t="s">
        <v>7078</v>
      </c>
      <c r="AB300" s="11"/>
      <c r="AC300" s="11" t="s">
        <v>10328</v>
      </c>
      <c r="AD300" s="13" t="s">
        <v>10329</v>
      </c>
      <c r="AE300" s="11"/>
      <c r="AF300" s="11">
        <f>AB300+Z300+X300+V300+S300+Q300+O300</f>
        <v>250</v>
      </c>
      <c r="AG300" s="11" t="s">
        <v>10330</v>
      </c>
      <c r="AH300" s="11"/>
    </row>
    <row r="301" ht="15.75" customHeight="1">
      <c r="A301" s="11">
        <v>4.0</v>
      </c>
      <c r="B301" s="12" t="s">
        <v>10331</v>
      </c>
      <c r="C301" s="11"/>
      <c r="D301" s="21" t="s">
        <v>10332</v>
      </c>
      <c r="E301" s="21" t="s">
        <v>5962</v>
      </c>
      <c r="F301" s="21" t="s">
        <v>10333</v>
      </c>
      <c r="G301" s="21" t="s">
        <v>10334</v>
      </c>
      <c r="H301" s="21" t="s">
        <v>7184</v>
      </c>
      <c r="I301" s="21" t="s">
        <v>1102</v>
      </c>
      <c r="J301" s="18">
        <v>9.811256232E9</v>
      </c>
      <c r="K301" s="21"/>
      <c r="L301" s="11" t="s">
        <v>7003</v>
      </c>
      <c r="M301" s="11" t="s">
        <v>10335</v>
      </c>
      <c r="N301" s="11" t="s">
        <v>10336</v>
      </c>
      <c r="O301" s="11">
        <v>75.0</v>
      </c>
      <c r="P301" s="11" t="s">
        <v>10337</v>
      </c>
      <c r="Q301" s="11">
        <v>100.0</v>
      </c>
      <c r="R301" s="11" t="s">
        <v>10338</v>
      </c>
      <c r="S301" s="11">
        <v>90.0</v>
      </c>
      <c r="T301" s="11" t="s">
        <v>10339</v>
      </c>
      <c r="U301" s="11" t="s">
        <v>10340</v>
      </c>
      <c r="V301" s="11">
        <v>90.0</v>
      </c>
      <c r="W301" s="11" t="s">
        <v>10341</v>
      </c>
      <c r="X301" s="11">
        <v>50.0</v>
      </c>
      <c r="Y301" s="11" t="s">
        <v>7055</v>
      </c>
      <c r="Z301" s="11">
        <v>80.0</v>
      </c>
      <c r="AA301" s="13" t="s">
        <v>10342</v>
      </c>
      <c r="AB301" s="11">
        <v>95.0</v>
      </c>
      <c r="AC301" s="11" t="s">
        <v>10343</v>
      </c>
      <c r="AD301" s="13" t="s">
        <v>6994</v>
      </c>
      <c r="AE301" s="11"/>
      <c r="AF301" s="11">
        <f t="shared" ref="AF301:AF309" si="53">AE301+AB301+Z301+X301+V301+S301+Q301+O301</f>
        <v>580</v>
      </c>
      <c r="AG301" s="11"/>
      <c r="AH301" s="11"/>
    </row>
    <row r="302" ht="15.75" customHeight="1">
      <c r="A302" s="11">
        <v>5.0</v>
      </c>
      <c r="B302" s="12" t="s">
        <v>10344</v>
      </c>
      <c r="C302" s="11"/>
      <c r="D302" s="21" t="s">
        <v>10345</v>
      </c>
      <c r="E302" s="31" t="s">
        <v>6135</v>
      </c>
      <c r="F302" s="31" t="s">
        <v>4054</v>
      </c>
      <c r="G302" s="31" t="s">
        <v>6136</v>
      </c>
      <c r="H302" s="31" t="s">
        <v>9</v>
      </c>
      <c r="I302" s="31" t="s">
        <v>2025</v>
      </c>
      <c r="J302" s="31">
        <v>8.595532249E9</v>
      </c>
      <c r="K302" s="11" t="s">
        <v>6982</v>
      </c>
      <c r="L302" s="11" t="s">
        <v>7003</v>
      </c>
      <c r="M302" s="11" t="s">
        <v>10346</v>
      </c>
      <c r="N302" s="11" t="s">
        <v>10347</v>
      </c>
      <c r="O302" s="11">
        <v>75.0</v>
      </c>
      <c r="P302" s="11" t="s">
        <v>10348</v>
      </c>
      <c r="Q302" s="11">
        <v>50.0</v>
      </c>
      <c r="R302" s="11" t="s">
        <v>10349</v>
      </c>
      <c r="S302" s="11">
        <v>80.0</v>
      </c>
      <c r="T302" s="11" t="s">
        <v>10350</v>
      </c>
      <c r="U302" s="11" t="s">
        <v>10351</v>
      </c>
      <c r="V302" s="11">
        <v>90.0</v>
      </c>
      <c r="W302" s="11" t="s">
        <v>10352</v>
      </c>
      <c r="X302" s="11">
        <v>90.0</v>
      </c>
      <c r="Y302" s="11" t="s">
        <v>7193</v>
      </c>
      <c r="Z302" s="11">
        <v>90.0</v>
      </c>
      <c r="AA302" s="13" t="s">
        <v>10353</v>
      </c>
      <c r="AB302" s="11">
        <v>90.0</v>
      </c>
      <c r="AC302" s="11" t="s">
        <v>10354</v>
      </c>
      <c r="AD302" s="13" t="s">
        <v>6994</v>
      </c>
      <c r="AE302" s="11"/>
      <c r="AF302" s="11">
        <f t="shared" si="53"/>
        <v>565</v>
      </c>
      <c r="AG302" s="11"/>
      <c r="AH302" s="11"/>
    </row>
    <row r="303" ht="15.75" customHeight="1">
      <c r="A303" s="11">
        <v>23.0</v>
      </c>
      <c r="B303" s="12" t="s">
        <v>10355</v>
      </c>
      <c r="C303" s="11"/>
      <c r="D303" s="21" t="s">
        <v>10356</v>
      </c>
      <c r="E303" s="21" t="s">
        <v>400</v>
      </c>
      <c r="F303" s="21" t="s">
        <v>1466</v>
      </c>
      <c r="G303" s="21" t="s">
        <v>5030</v>
      </c>
      <c r="H303" s="21" t="s">
        <v>9</v>
      </c>
      <c r="I303" s="21" t="s">
        <v>4007</v>
      </c>
      <c r="J303" s="21">
        <v>8.375991928E9</v>
      </c>
      <c r="K303" s="11" t="s">
        <v>6982</v>
      </c>
      <c r="L303" s="11" t="s">
        <v>6983</v>
      </c>
      <c r="M303" s="11" t="s">
        <v>7850</v>
      </c>
      <c r="N303" s="11" t="s">
        <v>10357</v>
      </c>
      <c r="O303" s="11">
        <v>75.0</v>
      </c>
      <c r="P303" s="11" t="s">
        <v>7852</v>
      </c>
      <c r="Q303" s="11">
        <v>50.0</v>
      </c>
      <c r="R303" s="11" t="s">
        <v>7853</v>
      </c>
      <c r="S303" s="11">
        <v>75.0</v>
      </c>
      <c r="T303" s="11" t="s">
        <v>10358</v>
      </c>
      <c r="U303" s="11" t="s">
        <v>7855</v>
      </c>
      <c r="V303" s="11">
        <v>80.0</v>
      </c>
      <c r="W303" s="11" t="s">
        <v>10359</v>
      </c>
      <c r="X303" s="11">
        <v>50.0</v>
      </c>
      <c r="Y303" s="11" t="s">
        <v>7027</v>
      </c>
      <c r="Z303" s="11">
        <v>50.0</v>
      </c>
      <c r="AA303" s="13" t="s">
        <v>10360</v>
      </c>
      <c r="AB303" s="11">
        <v>95.0</v>
      </c>
      <c r="AC303" s="11" t="s">
        <v>10361</v>
      </c>
      <c r="AD303" s="13" t="s">
        <v>6994</v>
      </c>
      <c r="AE303" s="11"/>
      <c r="AF303" s="11">
        <f t="shared" si="53"/>
        <v>475</v>
      </c>
      <c r="AG303" s="11"/>
      <c r="AH303" s="11"/>
    </row>
    <row r="304" ht="15.75" customHeight="1">
      <c r="A304" s="11">
        <v>37.0</v>
      </c>
      <c r="B304" s="12" t="s">
        <v>10362</v>
      </c>
      <c r="C304" s="11"/>
      <c r="D304" s="21" t="s">
        <v>10363</v>
      </c>
      <c r="E304" s="31" t="s">
        <v>3653</v>
      </c>
      <c r="F304" s="31" t="s">
        <v>4661</v>
      </c>
      <c r="G304" s="31" t="s">
        <v>5083</v>
      </c>
      <c r="H304" s="31" t="s">
        <v>9</v>
      </c>
      <c r="I304" s="31" t="s">
        <v>3399</v>
      </c>
      <c r="J304" s="31">
        <v>8.92939096E9</v>
      </c>
      <c r="K304" s="11" t="s">
        <v>6982</v>
      </c>
      <c r="L304" s="11" t="s">
        <v>7003</v>
      </c>
      <c r="M304" s="11" t="s">
        <v>10364</v>
      </c>
      <c r="N304" s="11" t="s">
        <v>10365</v>
      </c>
      <c r="O304" s="11">
        <v>60.0</v>
      </c>
      <c r="P304" s="11" t="s">
        <v>10366</v>
      </c>
      <c r="Q304" s="11">
        <v>75.0</v>
      </c>
      <c r="R304" s="11" t="s">
        <v>10367</v>
      </c>
      <c r="S304" s="11">
        <v>75.0</v>
      </c>
      <c r="T304" s="11" t="s">
        <v>10368</v>
      </c>
      <c r="U304" s="11" t="s">
        <v>10369</v>
      </c>
      <c r="V304" s="11">
        <v>75.0</v>
      </c>
      <c r="W304" s="11" t="s">
        <v>10370</v>
      </c>
      <c r="X304" s="11">
        <v>50.0</v>
      </c>
      <c r="Y304" s="11" t="s">
        <v>6991</v>
      </c>
      <c r="Z304" s="11">
        <v>25.0</v>
      </c>
      <c r="AA304" s="13" t="s">
        <v>10371</v>
      </c>
      <c r="AB304" s="11">
        <v>90.0</v>
      </c>
      <c r="AC304" s="11" t="s">
        <v>10372</v>
      </c>
      <c r="AD304" s="13" t="s">
        <v>6994</v>
      </c>
      <c r="AE304" s="11"/>
      <c r="AF304" s="11">
        <f t="shared" si="53"/>
        <v>450</v>
      </c>
      <c r="AG304" s="11"/>
      <c r="AH304" s="11"/>
    </row>
    <row r="305" ht="15.75" customHeight="1">
      <c r="A305" s="11">
        <v>53.0</v>
      </c>
      <c r="B305" s="12" t="s">
        <v>10373</v>
      </c>
      <c r="C305" s="11"/>
      <c r="D305" s="21" t="s">
        <v>10374</v>
      </c>
      <c r="E305" s="31" t="s">
        <v>5863</v>
      </c>
      <c r="F305" s="31" t="s">
        <v>3872</v>
      </c>
      <c r="G305" s="31" t="s">
        <v>5864</v>
      </c>
      <c r="H305" s="31" t="s">
        <v>44</v>
      </c>
      <c r="I305" s="31" t="s">
        <v>4769</v>
      </c>
      <c r="J305" s="31">
        <v>9.643789248E9</v>
      </c>
      <c r="K305" s="11" t="s">
        <v>6982</v>
      </c>
      <c r="L305" s="11" t="s">
        <v>6983</v>
      </c>
      <c r="M305" s="11" t="s">
        <v>10375</v>
      </c>
      <c r="N305" s="11" t="s">
        <v>10376</v>
      </c>
      <c r="O305" s="11">
        <v>50.0</v>
      </c>
      <c r="P305" s="11" t="s">
        <v>10377</v>
      </c>
      <c r="Q305" s="11">
        <v>75.0</v>
      </c>
      <c r="R305" s="11" t="s">
        <v>10378</v>
      </c>
      <c r="S305" s="11">
        <v>25.0</v>
      </c>
      <c r="T305" s="11" t="s">
        <v>10379</v>
      </c>
      <c r="U305" s="11" t="s">
        <v>10380</v>
      </c>
      <c r="V305" s="11">
        <v>75.0</v>
      </c>
      <c r="W305" s="11" t="s">
        <v>10381</v>
      </c>
      <c r="X305" s="11">
        <v>90.0</v>
      </c>
      <c r="Y305" s="11" t="s">
        <v>7193</v>
      </c>
      <c r="Z305" s="11">
        <v>50.0</v>
      </c>
      <c r="AA305" s="13" t="s">
        <v>10382</v>
      </c>
      <c r="AB305" s="11">
        <v>60.0</v>
      </c>
      <c r="AC305" s="11" t="s">
        <v>10383</v>
      </c>
      <c r="AD305" s="13" t="s">
        <v>6994</v>
      </c>
      <c r="AE305" s="11"/>
      <c r="AF305" s="11">
        <f t="shared" si="53"/>
        <v>425</v>
      </c>
      <c r="AG305" s="11"/>
      <c r="AH305" s="11"/>
    </row>
    <row r="306" ht="15.75" customHeight="1">
      <c r="A306" s="11">
        <v>65.0</v>
      </c>
      <c r="B306" s="12" t="s">
        <v>10384</v>
      </c>
      <c r="C306" s="11"/>
      <c r="D306" s="21" t="s">
        <v>10385</v>
      </c>
      <c r="E306" s="11" t="s">
        <v>6692</v>
      </c>
      <c r="F306" s="11" t="s">
        <v>315</v>
      </c>
      <c r="G306" s="11" t="s">
        <v>10386</v>
      </c>
      <c r="H306" s="11" t="s">
        <v>10387</v>
      </c>
      <c r="I306" s="11"/>
      <c r="J306" s="11"/>
      <c r="K306" s="11" t="s">
        <v>8064</v>
      </c>
      <c r="L306" s="11" t="s">
        <v>6983</v>
      </c>
      <c r="M306" s="11" t="s">
        <v>10388</v>
      </c>
      <c r="N306" s="11" t="s">
        <v>10389</v>
      </c>
      <c r="O306" s="11">
        <v>62.0</v>
      </c>
      <c r="P306" s="11" t="s">
        <v>10390</v>
      </c>
      <c r="Q306" s="11">
        <v>50.0</v>
      </c>
      <c r="R306" s="11" t="s">
        <v>10391</v>
      </c>
      <c r="S306" s="11">
        <v>50.0</v>
      </c>
      <c r="T306" s="11" t="s">
        <v>10392</v>
      </c>
      <c r="U306" s="11" t="s">
        <v>10393</v>
      </c>
      <c r="V306" s="11">
        <v>75.0</v>
      </c>
      <c r="W306" s="11" t="s">
        <v>10394</v>
      </c>
      <c r="X306" s="11">
        <v>50.0</v>
      </c>
      <c r="Y306" s="11" t="s">
        <v>7027</v>
      </c>
      <c r="Z306" s="11">
        <v>50.0</v>
      </c>
      <c r="AA306" s="13" t="s">
        <v>10395</v>
      </c>
      <c r="AB306" s="11">
        <v>80.0</v>
      </c>
      <c r="AC306" s="11" t="s">
        <v>10396</v>
      </c>
      <c r="AD306" s="13" t="s">
        <v>6994</v>
      </c>
      <c r="AE306" s="11"/>
      <c r="AF306" s="11">
        <f t="shared" si="53"/>
        <v>417</v>
      </c>
      <c r="AG306" s="11"/>
      <c r="AH306" s="11"/>
    </row>
    <row r="307" ht="15.75" customHeight="1">
      <c r="A307" s="11">
        <v>74.0</v>
      </c>
      <c r="B307" s="12" t="s">
        <v>10397</v>
      </c>
      <c r="C307" s="11"/>
      <c r="D307" s="41" t="s">
        <v>10398</v>
      </c>
      <c r="E307" s="11" t="s">
        <v>3653</v>
      </c>
      <c r="F307" s="11" t="s">
        <v>10399</v>
      </c>
      <c r="G307" s="11" t="s">
        <v>5623</v>
      </c>
      <c r="H307" s="11" t="s">
        <v>10400</v>
      </c>
      <c r="I307" s="11" t="s">
        <v>4656</v>
      </c>
      <c r="J307" s="18">
        <v>9.800470438E9</v>
      </c>
      <c r="K307" s="11"/>
      <c r="L307" s="11" t="s">
        <v>7003</v>
      </c>
      <c r="M307" s="11" t="s">
        <v>10401</v>
      </c>
      <c r="N307" s="11" t="s">
        <v>10402</v>
      </c>
      <c r="O307" s="11">
        <v>25.0</v>
      </c>
      <c r="P307" s="11" t="s">
        <v>10403</v>
      </c>
      <c r="Q307" s="11">
        <v>50.0</v>
      </c>
      <c r="R307" s="11" t="s">
        <v>10404</v>
      </c>
      <c r="S307" s="11">
        <v>80.0</v>
      </c>
      <c r="T307" s="11" t="s">
        <v>10405</v>
      </c>
      <c r="U307" s="11" t="s">
        <v>10406</v>
      </c>
      <c r="V307" s="11">
        <v>60.0</v>
      </c>
      <c r="W307" s="11" t="s">
        <v>10407</v>
      </c>
      <c r="X307" s="11">
        <v>50.0</v>
      </c>
      <c r="Y307" s="11" t="s">
        <v>7027</v>
      </c>
      <c r="Z307" s="11">
        <v>50.0</v>
      </c>
      <c r="AA307" s="13" t="s">
        <v>10408</v>
      </c>
      <c r="AB307" s="11">
        <v>90.0</v>
      </c>
      <c r="AC307" s="11" t="s">
        <v>10409</v>
      </c>
      <c r="AD307" s="13" t="s">
        <v>6994</v>
      </c>
      <c r="AE307" s="11"/>
      <c r="AF307" s="11">
        <f t="shared" si="53"/>
        <v>405</v>
      </c>
      <c r="AG307" s="11"/>
      <c r="AH307" s="11"/>
    </row>
    <row r="308" ht="15.75" customHeight="1">
      <c r="A308" s="11">
        <v>84.0</v>
      </c>
      <c r="B308" s="12" t="s">
        <v>10410</v>
      </c>
      <c r="C308" s="11"/>
      <c r="D308" s="21" t="s">
        <v>10411</v>
      </c>
      <c r="E308" s="31" t="s">
        <v>5530</v>
      </c>
      <c r="F308" s="31" t="s">
        <v>5531</v>
      </c>
      <c r="G308" s="31" t="s">
        <v>2708</v>
      </c>
      <c r="H308" s="31" t="s">
        <v>9</v>
      </c>
      <c r="I308" s="31" t="s">
        <v>434</v>
      </c>
      <c r="J308" s="31">
        <v>9.98798717E9</v>
      </c>
      <c r="K308" s="11" t="s">
        <v>7086</v>
      </c>
      <c r="L308" s="11" t="s">
        <v>7003</v>
      </c>
      <c r="M308" s="11" t="s">
        <v>10412</v>
      </c>
      <c r="N308" s="11" t="s">
        <v>10413</v>
      </c>
      <c r="O308" s="11">
        <v>85.0</v>
      </c>
      <c r="P308" s="11" t="s">
        <v>10414</v>
      </c>
      <c r="Q308" s="11">
        <v>75.0</v>
      </c>
      <c r="R308" s="11" t="s">
        <v>10415</v>
      </c>
      <c r="S308" s="11">
        <v>70.0</v>
      </c>
      <c r="T308" s="11" t="s">
        <v>10416</v>
      </c>
      <c r="U308" s="11" t="s">
        <v>10417</v>
      </c>
      <c r="V308" s="11">
        <v>62.0</v>
      </c>
      <c r="W308" s="11" t="s">
        <v>10418</v>
      </c>
      <c r="X308" s="11">
        <v>75.0</v>
      </c>
      <c r="Y308" s="11" t="s">
        <v>7027</v>
      </c>
      <c r="Z308" s="11">
        <v>25.0</v>
      </c>
      <c r="AA308" s="11" t="s">
        <v>7078</v>
      </c>
      <c r="AB308" s="11">
        <v>0.0</v>
      </c>
      <c r="AC308" s="11" t="s">
        <v>10419</v>
      </c>
      <c r="AD308" s="13" t="s">
        <v>6994</v>
      </c>
      <c r="AE308" s="11"/>
      <c r="AF308" s="11">
        <f t="shared" si="53"/>
        <v>392</v>
      </c>
      <c r="AG308" s="11"/>
      <c r="AH308" s="11"/>
    </row>
    <row r="309" ht="15.75" customHeight="1">
      <c r="A309" s="11">
        <v>91.0</v>
      </c>
      <c r="B309" s="12" t="s">
        <v>10420</v>
      </c>
      <c r="C309" s="11"/>
      <c r="D309" s="21" t="s">
        <v>10421</v>
      </c>
      <c r="E309" s="11" t="s">
        <v>2747</v>
      </c>
      <c r="F309" s="11" t="s">
        <v>108</v>
      </c>
      <c r="G309" s="18" t="s">
        <v>9719</v>
      </c>
      <c r="H309" s="11" t="s">
        <v>7677</v>
      </c>
      <c r="I309" s="11" t="s">
        <v>10422</v>
      </c>
      <c r="J309" s="18">
        <v>8.195823056E9</v>
      </c>
      <c r="K309" s="11"/>
      <c r="L309" s="11" t="s">
        <v>7003</v>
      </c>
      <c r="M309" s="11" t="s">
        <v>10423</v>
      </c>
      <c r="N309" s="11" t="s">
        <v>10424</v>
      </c>
      <c r="O309" s="11">
        <v>75.0</v>
      </c>
      <c r="P309" s="11" t="s">
        <v>10425</v>
      </c>
      <c r="Q309" s="11">
        <v>25.0</v>
      </c>
      <c r="R309" s="11" t="s">
        <v>10426</v>
      </c>
      <c r="S309" s="11">
        <v>75.0</v>
      </c>
      <c r="T309" s="11" t="s">
        <v>10427</v>
      </c>
      <c r="U309" s="11" t="s">
        <v>10428</v>
      </c>
      <c r="V309" s="11">
        <v>80.0</v>
      </c>
      <c r="W309" s="11" t="s">
        <v>10429</v>
      </c>
      <c r="X309" s="11">
        <v>25.0</v>
      </c>
      <c r="Y309" s="11" t="s">
        <v>6991</v>
      </c>
      <c r="Z309" s="11">
        <v>25.0</v>
      </c>
      <c r="AA309" s="13" t="s">
        <v>10430</v>
      </c>
      <c r="AB309" s="11">
        <v>80.0</v>
      </c>
      <c r="AC309" s="11" t="s">
        <v>10431</v>
      </c>
      <c r="AD309" s="13" t="s">
        <v>6994</v>
      </c>
      <c r="AE309" s="11"/>
      <c r="AF309" s="11">
        <f t="shared" si="53"/>
        <v>385</v>
      </c>
      <c r="AG309" s="11"/>
      <c r="AH309" s="11"/>
    </row>
    <row r="310" ht="15.75" customHeight="1">
      <c r="A310" s="11">
        <v>97.0</v>
      </c>
      <c r="B310" s="12" t="s">
        <v>10432</v>
      </c>
      <c r="C310" s="11"/>
      <c r="D310" s="21" t="s">
        <v>10433</v>
      </c>
      <c r="E310" s="31" t="s">
        <v>4344</v>
      </c>
      <c r="F310" s="31" t="s">
        <v>4345</v>
      </c>
      <c r="G310" s="31" t="s">
        <v>4275</v>
      </c>
      <c r="H310" s="31" t="s">
        <v>9</v>
      </c>
      <c r="I310" s="31" t="s">
        <v>4276</v>
      </c>
      <c r="J310" s="31">
        <v>9.58110101E9</v>
      </c>
      <c r="K310" s="11" t="s">
        <v>7086</v>
      </c>
      <c r="L310" s="11" t="s">
        <v>7003</v>
      </c>
      <c r="M310" s="11" t="s">
        <v>10434</v>
      </c>
      <c r="N310" s="11" t="s">
        <v>10435</v>
      </c>
      <c r="O310" s="11">
        <v>50.0</v>
      </c>
      <c r="P310" s="11" t="s">
        <v>10436</v>
      </c>
      <c r="Q310" s="11">
        <v>25.0</v>
      </c>
      <c r="R310" s="11" t="s">
        <v>10437</v>
      </c>
      <c r="S310" s="11">
        <v>60.0</v>
      </c>
      <c r="T310" s="11" t="s">
        <v>10438</v>
      </c>
      <c r="U310" s="11" t="s">
        <v>10439</v>
      </c>
      <c r="V310" s="11">
        <v>25.0</v>
      </c>
      <c r="W310" s="11" t="s">
        <v>10440</v>
      </c>
      <c r="X310" s="11">
        <v>25.0</v>
      </c>
      <c r="Y310" s="11" t="s">
        <v>6991</v>
      </c>
      <c r="Z310" s="11">
        <v>25.0</v>
      </c>
      <c r="AA310" s="11" t="s">
        <v>7078</v>
      </c>
      <c r="AB310" s="11">
        <v>0.0</v>
      </c>
      <c r="AC310" s="11" t="s">
        <v>10441</v>
      </c>
      <c r="AD310" s="13" t="s">
        <v>6994</v>
      </c>
      <c r="AE310" s="11"/>
      <c r="AF310" s="11">
        <f>AE310+AB310+Z311+X311+V311+S311+Q311+O311</f>
        <v>350</v>
      </c>
      <c r="AG310" s="11"/>
      <c r="AH310" s="11"/>
    </row>
    <row r="311" ht="15.75" customHeight="1">
      <c r="A311" s="11">
        <v>98.0</v>
      </c>
      <c r="B311" s="12" t="s">
        <v>10442</v>
      </c>
      <c r="C311" s="11"/>
      <c r="D311" s="21" t="s">
        <v>10443</v>
      </c>
      <c r="E311" s="31" t="s">
        <v>4930</v>
      </c>
      <c r="F311" s="31" t="s">
        <v>4931</v>
      </c>
      <c r="G311" s="31" t="s">
        <v>4406</v>
      </c>
      <c r="H311" s="31" t="s">
        <v>56</v>
      </c>
      <c r="I311" s="31" t="s">
        <v>4276</v>
      </c>
      <c r="J311" s="31">
        <v>8.287458779E9</v>
      </c>
      <c r="K311" s="11" t="s">
        <v>6982</v>
      </c>
      <c r="L311" s="11" t="s">
        <v>7003</v>
      </c>
      <c r="M311" s="11" t="s">
        <v>10444</v>
      </c>
      <c r="N311" s="11" t="s">
        <v>10445</v>
      </c>
      <c r="O311" s="11">
        <v>75.0</v>
      </c>
      <c r="P311" s="11" t="s">
        <v>10446</v>
      </c>
      <c r="Q311" s="11">
        <v>50.0</v>
      </c>
      <c r="R311" s="11" t="s">
        <v>10447</v>
      </c>
      <c r="S311" s="11">
        <v>50.0</v>
      </c>
      <c r="T311" s="11" t="s">
        <v>10448</v>
      </c>
      <c r="U311" s="11" t="s">
        <v>10449</v>
      </c>
      <c r="V311" s="11">
        <v>75.0</v>
      </c>
      <c r="W311" s="11" t="s">
        <v>10450</v>
      </c>
      <c r="X311" s="11">
        <v>75.0</v>
      </c>
      <c r="Y311" s="11" t="s">
        <v>7027</v>
      </c>
      <c r="Z311" s="11">
        <v>25.0</v>
      </c>
      <c r="AA311" s="13" t="s">
        <v>10451</v>
      </c>
      <c r="AB311" s="11">
        <v>25.0</v>
      </c>
      <c r="AC311" s="11" t="s">
        <v>10452</v>
      </c>
      <c r="AD311" s="13" t="s">
        <v>6994</v>
      </c>
      <c r="AE311" s="11"/>
      <c r="AF311" s="11">
        <f t="shared" ref="AF311:AF326" si="54">AE311+AB311+Z311+X311+V311+S311+Q311+O311</f>
        <v>375</v>
      </c>
      <c r="AG311" s="11"/>
      <c r="AH311" s="11"/>
    </row>
    <row r="312" ht="15.75" customHeight="1">
      <c r="A312" s="11">
        <v>99.0</v>
      </c>
      <c r="B312" s="12" t="s">
        <v>10453</v>
      </c>
      <c r="C312" s="11"/>
      <c r="D312" s="21" t="s">
        <v>10454</v>
      </c>
      <c r="E312" s="31" t="s">
        <v>6397</v>
      </c>
      <c r="F312" s="31" t="s">
        <v>6398</v>
      </c>
      <c r="G312" s="31" t="s">
        <v>6399</v>
      </c>
      <c r="H312" s="31" t="s">
        <v>56</v>
      </c>
      <c r="I312" s="31" t="s">
        <v>6400</v>
      </c>
      <c r="J312" s="31">
        <v>8.657430229E9</v>
      </c>
      <c r="K312" s="11" t="s">
        <v>7086</v>
      </c>
      <c r="L312" s="11" t="s">
        <v>7003</v>
      </c>
      <c r="M312" s="11" t="s">
        <v>10455</v>
      </c>
      <c r="N312" s="11" t="s">
        <v>10456</v>
      </c>
      <c r="O312" s="11">
        <v>75.0</v>
      </c>
      <c r="P312" s="11" t="s">
        <v>10457</v>
      </c>
      <c r="Q312" s="11">
        <v>50.0</v>
      </c>
      <c r="R312" s="11" t="s">
        <v>10458</v>
      </c>
      <c r="S312" s="11">
        <v>25.0</v>
      </c>
      <c r="T312" s="11" t="s">
        <v>10459</v>
      </c>
      <c r="U312" s="11" t="s">
        <v>10460</v>
      </c>
      <c r="V312" s="11">
        <v>60.0</v>
      </c>
      <c r="W312" s="11" t="s">
        <v>10461</v>
      </c>
      <c r="X312" s="11">
        <v>50.0</v>
      </c>
      <c r="Y312" s="11" t="s">
        <v>7027</v>
      </c>
      <c r="Z312" s="11">
        <v>25.0</v>
      </c>
      <c r="AA312" s="13" t="s">
        <v>10462</v>
      </c>
      <c r="AB312" s="11">
        <v>90.0</v>
      </c>
      <c r="AC312" s="11" t="s">
        <v>10463</v>
      </c>
      <c r="AD312" s="13" t="s">
        <v>6994</v>
      </c>
      <c r="AE312" s="11"/>
      <c r="AF312" s="11">
        <f t="shared" si="54"/>
        <v>375</v>
      </c>
      <c r="AG312" s="11"/>
      <c r="AH312" s="11"/>
    </row>
    <row r="313" ht="15.75" customHeight="1">
      <c r="A313" s="11">
        <v>102.0</v>
      </c>
      <c r="B313" s="12" t="s">
        <v>10464</v>
      </c>
      <c r="C313" s="11"/>
      <c r="D313" s="21" t="s">
        <v>10465</v>
      </c>
      <c r="E313" s="21" t="s">
        <v>146</v>
      </c>
      <c r="F313" s="21" t="s">
        <v>108</v>
      </c>
      <c r="G313" s="21" t="s">
        <v>4218</v>
      </c>
      <c r="H313" s="21" t="s">
        <v>9</v>
      </c>
      <c r="I313" s="21" t="s">
        <v>494</v>
      </c>
      <c r="J313" s="31">
        <v>8.447085934E9</v>
      </c>
      <c r="K313" s="11" t="s">
        <v>10466</v>
      </c>
      <c r="L313" s="11" t="s">
        <v>7003</v>
      </c>
      <c r="M313" s="11" t="s">
        <v>10467</v>
      </c>
      <c r="N313" s="11" t="s">
        <v>10468</v>
      </c>
      <c r="O313" s="11">
        <v>60.0</v>
      </c>
      <c r="P313" s="11" t="s">
        <v>10469</v>
      </c>
      <c r="Q313" s="11">
        <v>50.0</v>
      </c>
      <c r="R313" s="11" t="s">
        <v>10470</v>
      </c>
      <c r="S313" s="11">
        <v>80.0</v>
      </c>
      <c r="T313" s="11" t="s">
        <v>10471</v>
      </c>
      <c r="U313" s="11" t="s">
        <v>10472</v>
      </c>
      <c r="V313" s="11">
        <v>85.0</v>
      </c>
      <c r="W313" s="11" t="s">
        <v>10473</v>
      </c>
      <c r="X313" s="11">
        <v>70.0</v>
      </c>
      <c r="Y313" s="11" t="s">
        <v>7027</v>
      </c>
      <c r="Z313" s="11">
        <v>25.0</v>
      </c>
      <c r="AA313" s="11" t="s">
        <v>7078</v>
      </c>
      <c r="AB313" s="11">
        <v>0.0</v>
      </c>
      <c r="AC313" s="11" t="s">
        <v>10474</v>
      </c>
      <c r="AD313" s="13" t="s">
        <v>6994</v>
      </c>
      <c r="AE313" s="11"/>
      <c r="AF313" s="11">
        <f t="shared" si="54"/>
        <v>370</v>
      </c>
      <c r="AG313" s="11"/>
      <c r="AH313" s="11"/>
    </row>
    <row r="314" ht="15.75" customHeight="1">
      <c r="A314" s="11">
        <v>111.0</v>
      </c>
      <c r="B314" s="12" t="s">
        <v>10475</v>
      </c>
      <c r="C314" s="11"/>
      <c r="D314" s="21" t="s">
        <v>10476</v>
      </c>
      <c r="E314" s="31" t="s">
        <v>5119</v>
      </c>
      <c r="F314" s="31" t="s">
        <v>5120</v>
      </c>
      <c r="G314" s="31" t="s">
        <v>4778</v>
      </c>
      <c r="H314" s="31" t="s">
        <v>9</v>
      </c>
      <c r="I314" s="31" t="s">
        <v>4779</v>
      </c>
      <c r="J314" s="31">
        <v>9.63093314E9</v>
      </c>
      <c r="K314" s="11" t="s">
        <v>6982</v>
      </c>
      <c r="L314" s="11" t="s">
        <v>6983</v>
      </c>
      <c r="M314" s="11" t="s">
        <v>10477</v>
      </c>
      <c r="N314" s="11" t="s">
        <v>10478</v>
      </c>
      <c r="O314" s="11">
        <v>50.0</v>
      </c>
      <c r="P314" s="11" t="s">
        <v>10479</v>
      </c>
      <c r="Q314" s="11">
        <v>25.0</v>
      </c>
      <c r="R314" s="11" t="s">
        <v>10480</v>
      </c>
      <c r="S314" s="11">
        <v>50.0</v>
      </c>
      <c r="T314" s="11" t="s">
        <v>10481</v>
      </c>
      <c r="U314" s="11" t="s">
        <v>10482</v>
      </c>
      <c r="V314" s="11">
        <v>75.0</v>
      </c>
      <c r="W314" s="11" t="s">
        <v>10483</v>
      </c>
      <c r="X314" s="11">
        <v>50.0</v>
      </c>
      <c r="Y314" s="11" t="s">
        <v>6991</v>
      </c>
      <c r="Z314" s="11">
        <v>25.0</v>
      </c>
      <c r="AA314" s="13" t="s">
        <v>10484</v>
      </c>
      <c r="AB314" s="11">
        <v>80.0</v>
      </c>
      <c r="AC314" s="11" t="s">
        <v>10485</v>
      </c>
      <c r="AD314" s="13" t="s">
        <v>6994</v>
      </c>
      <c r="AE314" s="11"/>
      <c r="AF314" s="11">
        <f t="shared" si="54"/>
        <v>355</v>
      </c>
      <c r="AG314" s="11"/>
      <c r="AH314" s="11"/>
    </row>
    <row r="315" ht="15.75" customHeight="1">
      <c r="A315" s="11">
        <v>112.0</v>
      </c>
      <c r="B315" s="12" t="s">
        <v>10486</v>
      </c>
      <c r="C315" s="11"/>
      <c r="D315" s="21" t="s">
        <v>10487</v>
      </c>
      <c r="E315" s="31" t="s">
        <v>3404</v>
      </c>
      <c r="F315" s="31" t="s">
        <v>4884</v>
      </c>
      <c r="G315" s="31" t="s">
        <v>4885</v>
      </c>
      <c r="H315" s="31" t="s">
        <v>9</v>
      </c>
      <c r="I315" s="31" t="s">
        <v>4886</v>
      </c>
      <c r="J315" s="31">
        <v>9.654783263E9</v>
      </c>
      <c r="K315" s="11" t="s">
        <v>6982</v>
      </c>
      <c r="L315" s="11" t="s">
        <v>6983</v>
      </c>
      <c r="M315" s="11" t="s">
        <v>10488</v>
      </c>
      <c r="N315" s="11" t="s">
        <v>10489</v>
      </c>
      <c r="O315" s="11">
        <v>75.0</v>
      </c>
      <c r="P315" s="11" t="s">
        <v>10490</v>
      </c>
      <c r="Q315" s="11">
        <v>25.0</v>
      </c>
      <c r="R315" s="11" t="s">
        <v>10491</v>
      </c>
      <c r="S315" s="11">
        <v>75.0</v>
      </c>
      <c r="T315" s="11" t="s">
        <v>10492</v>
      </c>
      <c r="U315" s="11" t="s">
        <v>10493</v>
      </c>
      <c r="V315" s="11">
        <v>40.0</v>
      </c>
      <c r="W315" s="11" t="s">
        <v>10494</v>
      </c>
      <c r="X315" s="11">
        <v>50.0</v>
      </c>
      <c r="Y315" s="11" t="s">
        <v>7027</v>
      </c>
      <c r="Z315" s="11">
        <v>25.0</v>
      </c>
      <c r="AA315" s="13" t="s">
        <v>10495</v>
      </c>
      <c r="AB315" s="11">
        <v>65.0</v>
      </c>
      <c r="AC315" s="11" t="s">
        <v>10496</v>
      </c>
      <c r="AD315" s="13" t="s">
        <v>6994</v>
      </c>
      <c r="AE315" s="11"/>
      <c r="AF315" s="11">
        <f t="shared" si="54"/>
        <v>355</v>
      </c>
      <c r="AG315" s="11"/>
      <c r="AH315" s="11"/>
    </row>
    <row r="316" ht="15.75" customHeight="1">
      <c r="A316" s="11">
        <v>124.0</v>
      </c>
      <c r="B316" s="12" t="s">
        <v>10497</v>
      </c>
      <c r="C316" s="11"/>
      <c r="D316" s="21" t="s">
        <v>10498</v>
      </c>
      <c r="E316" s="11" t="s">
        <v>5138</v>
      </c>
      <c r="F316" s="11" t="s">
        <v>10499</v>
      </c>
      <c r="G316" s="11"/>
      <c r="H316" s="11"/>
      <c r="I316" s="11"/>
      <c r="J316" s="11"/>
      <c r="K316" s="11"/>
      <c r="L316" s="11" t="s">
        <v>7003</v>
      </c>
      <c r="M316" s="11" t="s">
        <v>10500</v>
      </c>
      <c r="N316" s="11" t="s">
        <v>10501</v>
      </c>
      <c r="O316" s="11">
        <v>60.0</v>
      </c>
      <c r="P316" s="11" t="s">
        <v>10502</v>
      </c>
      <c r="Q316" s="11">
        <v>50.0</v>
      </c>
      <c r="R316" s="11" t="s">
        <v>10503</v>
      </c>
      <c r="S316" s="11">
        <v>80.0</v>
      </c>
      <c r="T316" s="11" t="s">
        <v>10504</v>
      </c>
      <c r="U316" s="11" t="s">
        <v>10505</v>
      </c>
      <c r="V316" s="11">
        <v>50.0</v>
      </c>
      <c r="W316" s="11" t="s">
        <v>10506</v>
      </c>
      <c r="X316" s="11">
        <v>50.0</v>
      </c>
      <c r="Y316" s="11" t="s">
        <v>7027</v>
      </c>
      <c r="Z316" s="11">
        <v>25.0</v>
      </c>
      <c r="AA316" s="13" t="s">
        <v>10507</v>
      </c>
      <c r="AB316" s="11">
        <v>25.0</v>
      </c>
      <c r="AC316" s="11" t="s">
        <v>10508</v>
      </c>
      <c r="AD316" s="13" t="s">
        <v>6994</v>
      </c>
      <c r="AE316" s="11"/>
      <c r="AF316" s="11">
        <f t="shared" si="54"/>
        <v>340</v>
      </c>
      <c r="AG316" s="11"/>
      <c r="AH316" s="11"/>
    </row>
    <row r="317" ht="15.75" customHeight="1">
      <c r="A317" s="11">
        <v>129.0</v>
      </c>
      <c r="B317" s="12" t="s">
        <v>10509</v>
      </c>
      <c r="C317" s="11"/>
      <c r="D317" s="21" t="s">
        <v>10510</v>
      </c>
      <c r="E317" s="11" t="s">
        <v>2592</v>
      </c>
      <c r="F317" s="11" t="s">
        <v>5494</v>
      </c>
      <c r="G317" s="11" t="s">
        <v>10511</v>
      </c>
      <c r="H317" s="11" t="s">
        <v>9792</v>
      </c>
      <c r="I317" s="11"/>
      <c r="J317" s="11"/>
      <c r="K317" s="11" t="s">
        <v>7086</v>
      </c>
      <c r="L317" s="11" t="s">
        <v>7003</v>
      </c>
      <c r="M317" s="11" t="s">
        <v>10512</v>
      </c>
      <c r="N317" s="11" t="s">
        <v>10513</v>
      </c>
      <c r="O317" s="11">
        <v>75.0</v>
      </c>
      <c r="P317" s="11" t="s">
        <v>10514</v>
      </c>
      <c r="Q317" s="11">
        <v>70.0</v>
      </c>
      <c r="R317" s="11" t="s">
        <v>10515</v>
      </c>
      <c r="S317" s="11">
        <v>80.0</v>
      </c>
      <c r="T317" s="11" t="s">
        <v>10516</v>
      </c>
      <c r="U317" s="11" t="s">
        <v>10517</v>
      </c>
      <c r="V317" s="11">
        <v>60.0</v>
      </c>
      <c r="W317" s="11" t="s">
        <v>10518</v>
      </c>
      <c r="X317" s="11">
        <v>25.0</v>
      </c>
      <c r="Y317" s="11" t="s">
        <v>6991</v>
      </c>
      <c r="Z317" s="11">
        <v>25.0</v>
      </c>
      <c r="AA317" s="11" t="s">
        <v>7078</v>
      </c>
      <c r="AB317" s="11">
        <v>0.0</v>
      </c>
      <c r="AC317" s="11" t="s">
        <v>10519</v>
      </c>
      <c r="AD317" s="13" t="s">
        <v>9108</v>
      </c>
      <c r="AE317" s="11"/>
      <c r="AF317" s="11">
        <f t="shared" si="54"/>
        <v>335</v>
      </c>
      <c r="AG317" s="11"/>
      <c r="AH317" s="11"/>
    </row>
    <row r="318" ht="15.75" customHeight="1">
      <c r="A318" s="11">
        <v>142.0</v>
      </c>
      <c r="B318" s="12" t="s">
        <v>10520</v>
      </c>
      <c r="C318" s="11"/>
      <c r="D318" s="21" t="s">
        <v>10521</v>
      </c>
      <c r="E318" s="31" t="s">
        <v>4505</v>
      </c>
      <c r="F318" s="31" t="s">
        <v>5020</v>
      </c>
      <c r="G318" s="31" t="s">
        <v>5028</v>
      </c>
      <c r="H318" s="31" t="s">
        <v>26</v>
      </c>
      <c r="I318" s="31" t="s">
        <v>1102</v>
      </c>
      <c r="J318" s="31">
        <v>9.212054234E9</v>
      </c>
      <c r="K318" s="11" t="s">
        <v>6982</v>
      </c>
      <c r="L318" s="11" t="s">
        <v>6983</v>
      </c>
      <c r="M318" s="11" t="s">
        <v>10522</v>
      </c>
      <c r="N318" s="11" t="s">
        <v>10523</v>
      </c>
      <c r="O318" s="11">
        <v>75.0</v>
      </c>
      <c r="P318" s="11" t="s">
        <v>10524</v>
      </c>
      <c r="Q318" s="11">
        <v>25.0</v>
      </c>
      <c r="R318" s="11" t="s">
        <v>10525</v>
      </c>
      <c r="S318" s="11">
        <v>70.0</v>
      </c>
      <c r="T318" s="11" t="s">
        <v>10526</v>
      </c>
      <c r="U318" s="11" t="s">
        <v>10527</v>
      </c>
      <c r="V318" s="11">
        <v>50.0</v>
      </c>
      <c r="W318" s="11" t="s">
        <v>10528</v>
      </c>
      <c r="X318" s="11">
        <v>25.0</v>
      </c>
      <c r="Y318" s="11" t="s">
        <v>6991</v>
      </c>
      <c r="Z318" s="11">
        <v>25.0</v>
      </c>
      <c r="AA318" s="13" t="s">
        <v>10529</v>
      </c>
      <c r="AB318" s="11">
        <v>50.0</v>
      </c>
      <c r="AC318" s="11" t="s">
        <v>10530</v>
      </c>
      <c r="AD318" s="13" t="s">
        <v>6994</v>
      </c>
      <c r="AE318" s="11"/>
      <c r="AF318" s="11">
        <f t="shared" si="54"/>
        <v>320</v>
      </c>
      <c r="AG318" s="11"/>
      <c r="AH318" s="11"/>
    </row>
    <row r="319" ht="15.75" customHeight="1">
      <c r="A319" s="11">
        <v>143.0</v>
      </c>
      <c r="B319" s="12" t="s">
        <v>10531</v>
      </c>
      <c r="C319" s="11"/>
      <c r="D319" s="21" t="s">
        <v>10532</v>
      </c>
      <c r="E319" s="31" t="s">
        <v>430</v>
      </c>
      <c r="F319" s="31" t="s">
        <v>5128</v>
      </c>
      <c r="G319" s="31" t="s">
        <v>5129</v>
      </c>
      <c r="H319" s="31" t="s">
        <v>9</v>
      </c>
      <c r="I319" s="31" t="s">
        <v>4015</v>
      </c>
      <c r="J319" s="31">
        <v>9.881237223E9</v>
      </c>
      <c r="K319" s="11" t="s">
        <v>6982</v>
      </c>
      <c r="L319" s="11" t="s">
        <v>6983</v>
      </c>
      <c r="M319" s="11" t="s">
        <v>10533</v>
      </c>
      <c r="N319" s="11" t="s">
        <v>10534</v>
      </c>
      <c r="O319" s="11">
        <v>60.0</v>
      </c>
      <c r="P319" s="11" t="s">
        <v>10535</v>
      </c>
      <c r="Q319" s="11">
        <v>25.0</v>
      </c>
      <c r="R319" s="11" t="s">
        <v>10536</v>
      </c>
      <c r="S319" s="11">
        <v>25.0</v>
      </c>
      <c r="T319" s="11" t="s">
        <v>10537</v>
      </c>
      <c r="U319" s="11" t="s">
        <v>10538</v>
      </c>
      <c r="V319" s="11">
        <v>60.0</v>
      </c>
      <c r="W319" s="11" t="s">
        <v>10539</v>
      </c>
      <c r="X319" s="11">
        <v>75.0</v>
      </c>
      <c r="Y319" s="11" t="s">
        <v>7027</v>
      </c>
      <c r="Z319" s="11">
        <v>25.0</v>
      </c>
      <c r="AA319" s="13" t="s">
        <v>10540</v>
      </c>
      <c r="AB319" s="11">
        <v>50.0</v>
      </c>
      <c r="AC319" s="11" t="s">
        <v>10541</v>
      </c>
      <c r="AD319" s="13" t="s">
        <v>6994</v>
      </c>
      <c r="AE319" s="11"/>
      <c r="AF319" s="11">
        <f t="shared" si="54"/>
        <v>320</v>
      </c>
      <c r="AG319" s="11"/>
      <c r="AH319" s="11"/>
    </row>
    <row r="320" ht="15.75" customHeight="1">
      <c r="A320" s="11">
        <v>182.0</v>
      </c>
      <c r="B320" s="12" t="s">
        <v>10542</v>
      </c>
      <c r="C320" s="11"/>
      <c r="D320" s="21" t="s">
        <v>10543</v>
      </c>
      <c r="E320" s="31" t="s">
        <v>5104</v>
      </c>
      <c r="F320" s="31" t="s">
        <v>4696</v>
      </c>
      <c r="G320" s="31" t="s">
        <v>995</v>
      </c>
      <c r="H320" s="31" t="s">
        <v>29</v>
      </c>
      <c r="I320" s="31" t="s">
        <v>1102</v>
      </c>
      <c r="J320" s="31">
        <v>9.899423262E9</v>
      </c>
      <c r="K320" s="11" t="s">
        <v>6982</v>
      </c>
      <c r="L320" s="11" t="s">
        <v>6983</v>
      </c>
      <c r="M320" s="11" t="s">
        <v>10544</v>
      </c>
      <c r="N320" s="11" t="s">
        <v>10545</v>
      </c>
      <c r="O320" s="11">
        <v>50.0</v>
      </c>
      <c r="P320" s="11" t="s">
        <v>10546</v>
      </c>
      <c r="Q320" s="11">
        <v>50.0</v>
      </c>
      <c r="R320" s="11" t="s">
        <v>10547</v>
      </c>
      <c r="S320" s="11">
        <v>75.0</v>
      </c>
      <c r="T320" s="11" t="s">
        <v>10548</v>
      </c>
      <c r="U320" s="11" t="s">
        <v>10549</v>
      </c>
      <c r="V320" s="11">
        <v>50.0</v>
      </c>
      <c r="W320" s="11" t="s">
        <v>10550</v>
      </c>
      <c r="X320" s="11">
        <v>25.0</v>
      </c>
      <c r="Y320" s="11" t="s">
        <v>7193</v>
      </c>
      <c r="Z320" s="11">
        <v>25.0</v>
      </c>
      <c r="AA320" s="11" t="s">
        <v>7078</v>
      </c>
      <c r="AB320" s="11">
        <v>0.0</v>
      </c>
      <c r="AC320" s="11" t="s">
        <v>10551</v>
      </c>
      <c r="AD320" s="13" t="s">
        <v>6994</v>
      </c>
      <c r="AE320" s="11"/>
      <c r="AF320" s="11">
        <f t="shared" si="54"/>
        <v>275</v>
      </c>
      <c r="AG320" s="11"/>
      <c r="AH320" s="11"/>
    </row>
    <row r="321" ht="15.75" customHeight="1">
      <c r="A321" s="11">
        <v>188.0</v>
      </c>
      <c r="B321" s="12" t="s">
        <v>10552</v>
      </c>
      <c r="C321" s="11"/>
      <c r="D321" s="21" t="s">
        <v>8026</v>
      </c>
      <c r="E321" s="31" t="s">
        <v>2592</v>
      </c>
      <c r="F321" s="31" t="s">
        <v>4613</v>
      </c>
      <c r="G321" s="31" t="s">
        <v>576</v>
      </c>
      <c r="H321" s="31" t="s">
        <v>14</v>
      </c>
      <c r="I321" s="31" t="s">
        <v>4015</v>
      </c>
      <c r="J321" s="31">
        <v>9.31162679E9</v>
      </c>
      <c r="K321" s="11" t="s">
        <v>6982</v>
      </c>
      <c r="L321" s="11" t="s">
        <v>6983</v>
      </c>
      <c r="M321" s="11" t="s">
        <v>8027</v>
      </c>
      <c r="N321" s="11" t="s">
        <v>10553</v>
      </c>
      <c r="O321" s="11">
        <v>75.0</v>
      </c>
      <c r="P321" s="11" t="s">
        <v>8029</v>
      </c>
      <c r="Q321" s="11">
        <v>25.0</v>
      </c>
      <c r="R321" s="11" t="s">
        <v>10554</v>
      </c>
      <c r="S321" s="11">
        <v>25.0</v>
      </c>
      <c r="T321" s="11" t="s">
        <v>10555</v>
      </c>
      <c r="U321" s="11" t="s">
        <v>10556</v>
      </c>
      <c r="V321" s="11">
        <v>15.0</v>
      </c>
      <c r="W321" s="11" t="s">
        <v>10557</v>
      </c>
      <c r="X321" s="11">
        <v>25.0</v>
      </c>
      <c r="Y321" s="11" t="s">
        <v>6991</v>
      </c>
      <c r="Z321" s="11">
        <v>25.0</v>
      </c>
      <c r="AA321" s="13" t="s">
        <v>10558</v>
      </c>
      <c r="AB321" s="11">
        <v>80.0</v>
      </c>
      <c r="AC321" s="11" t="s">
        <v>10559</v>
      </c>
      <c r="AD321" s="13" t="s">
        <v>6994</v>
      </c>
      <c r="AE321" s="11"/>
      <c r="AF321" s="11">
        <f t="shared" si="54"/>
        <v>270</v>
      </c>
      <c r="AG321" s="11"/>
      <c r="AH321" s="11"/>
    </row>
    <row r="322" ht="15.75" customHeight="1">
      <c r="A322" s="11">
        <v>207.0</v>
      </c>
      <c r="B322" s="12" t="s">
        <v>10560</v>
      </c>
      <c r="C322" s="11"/>
      <c r="D322" s="21" t="s">
        <v>10561</v>
      </c>
      <c r="E322" s="31" t="s">
        <v>4404</v>
      </c>
      <c r="F322" s="31" t="s">
        <v>4405</v>
      </c>
      <c r="G322" s="31" t="s">
        <v>4406</v>
      </c>
      <c r="H322" s="31" t="s">
        <v>44</v>
      </c>
      <c r="I322" s="31" t="s">
        <v>4276</v>
      </c>
      <c r="J322" s="31">
        <v>9.618888463E9</v>
      </c>
      <c r="K322" s="11" t="s">
        <v>7086</v>
      </c>
      <c r="L322" s="11" t="s">
        <v>7003</v>
      </c>
      <c r="M322" s="11" t="s">
        <v>10562</v>
      </c>
      <c r="N322" s="11" t="s">
        <v>10563</v>
      </c>
      <c r="O322" s="11">
        <v>40.0</v>
      </c>
      <c r="P322" s="11" t="s">
        <v>10564</v>
      </c>
      <c r="Q322" s="11">
        <v>25.0</v>
      </c>
      <c r="R322" s="11" t="s">
        <v>10565</v>
      </c>
      <c r="S322" s="11">
        <v>60.0</v>
      </c>
      <c r="T322" s="11" t="s">
        <v>10566</v>
      </c>
      <c r="U322" s="11" t="s">
        <v>10567</v>
      </c>
      <c r="V322" s="11">
        <v>75.0</v>
      </c>
      <c r="W322" s="11" t="s">
        <v>10568</v>
      </c>
      <c r="X322" s="11">
        <v>25.0</v>
      </c>
      <c r="Y322" s="11" t="s">
        <v>6991</v>
      </c>
      <c r="Z322" s="11">
        <v>25.0</v>
      </c>
      <c r="AA322" s="11" t="s">
        <v>7078</v>
      </c>
      <c r="AB322" s="11">
        <v>0.0</v>
      </c>
      <c r="AC322" s="11" t="s">
        <v>10569</v>
      </c>
      <c r="AD322" s="13" t="s">
        <v>6994</v>
      </c>
      <c r="AE322" s="11"/>
      <c r="AF322" s="11">
        <f t="shared" si="54"/>
        <v>250</v>
      </c>
      <c r="AG322" s="11"/>
      <c r="AH322" s="11"/>
    </row>
    <row r="323" ht="15.75" customHeight="1">
      <c r="A323" s="11">
        <v>208.0</v>
      </c>
      <c r="B323" s="12" t="s">
        <v>10570</v>
      </c>
      <c r="C323" s="11"/>
      <c r="D323" s="11" t="s">
        <v>10571</v>
      </c>
      <c r="E323" s="31" t="s">
        <v>4833</v>
      </c>
      <c r="F323" s="31" t="s">
        <v>4650</v>
      </c>
      <c r="G323" s="31" t="s">
        <v>3322</v>
      </c>
      <c r="H323" s="31" t="s">
        <v>44</v>
      </c>
      <c r="I323" s="31" t="s">
        <v>434</v>
      </c>
      <c r="J323" s="31">
        <v>9.987997016E9</v>
      </c>
      <c r="K323" s="11" t="s">
        <v>7086</v>
      </c>
      <c r="L323" s="11" t="s">
        <v>7003</v>
      </c>
      <c r="M323" s="11" t="s">
        <v>10572</v>
      </c>
      <c r="N323" s="11" t="s">
        <v>10573</v>
      </c>
      <c r="O323" s="11">
        <v>50.0</v>
      </c>
      <c r="P323" s="11" t="s">
        <v>10574</v>
      </c>
      <c r="Q323" s="11">
        <v>50.0</v>
      </c>
      <c r="R323" s="11" t="s">
        <v>10575</v>
      </c>
      <c r="S323" s="11">
        <v>50.0</v>
      </c>
      <c r="T323" s="11" t="s">
        <v>10576</v>
      </c>
      <c r="U323" s="11" t="s">
        <v>10577</v>
      </c>
      <c r="V323" s="11">
        <v>50.0</v>
      </c>
      <c r="W323" s="11" t="s">
        <v>10578</v>
      </c>
      <c r="X323" s="11">
        <v>25.0</v>
      </c>
      <c r="Y323" s="11" t="s">
        <v>6991</v>
      </c>
      <c r="Z323" s="11">
        <v>25.0</v>
      </c>
      <c r="AA323" s="11" t="s">
        <v>7078</v>
      </c>
      <c r="AB323" s="11">
        <v>0.0</v>
      </c>
      <c r="AC323" s="11" t="s">
        <v>10579</v>
      </c>
      <c r="AD323" s="13" t="s">
        <v>6994</v>
      </c>
      <c r="AE323" s="11"/>
      <c r="AF323" s="11">
        <f t="shared" si="54"/>
        <v>250</v>
      </c>
      <c r="AG323" s="11"/>
      <c r="AH323" s="11"/>
    </row>
    <row r="324" ht="15.75" customHeight="1">
      <c r="A324" s="11">
        <v>223.0</v>
      </c>
      <c r="B324" s="12" t="s">
        <v>10580</v>
      </c>
      <c r="C324" s="11"/>
      <c r="D324" s="21" t="s">
        <v>10581</v>
      </c>
      <c r="E324" s="31" t="s">
        <v>6469</v>
      </c>
      <c r="F324" s="31" t="s">
        <v>150</v>
      </c>
      <c r="G324" s="31" t="s">
        <v>6470</v>
      </c>
      <c r="H324" s="31" t="s">
        <v>56</v>
      </c>
      <c r="I324" s="31" t="s">
        <v>5281</v>
      </c>
      <c r="J324" s="31">
        <v>8.765380235E9</v>
      </c>
      <c r="K324" s="11" t="s">
        <v>6982</v>
      </c>
      <c r="L324" s="11" t="s">
        <v>6983</v>
      </c>
      <c r="M324" s="11" t="s">
        <v>10582</v>
      </c>
      <c r="N324" s="11" t="s">
        <v>10583</v>
      </c>
      <c r="O324" s="11">
        <v>40.0</v>
      </c>
      <c r="P324" s="11" t="s">
        <v>10584</v>
      </c>
      <c r="Q324" s="11">
        <v>50.0</v>
      </c>
      <c r="R324" s="11" t="s">
        <v>10585</v>
      </c>
      <c r="S324" s="11">
        <v>25.0</v>
      </c>
      <c r="T324" s="11" t="s">
        <v>10586</v>
      </c>
      <c r="U324" s="11" t="s">
        <v>10587</v>
      </c>
      <c r="V324" s="11">
        <v>25.0</v>
      </c>
      <c r="W324" s="11" t="s">
        <v>10588</v>
      </c>
      <c r="X324" s="11">
        <v>50.0</v>
      </c>
      <c r="Y324" s="11" t="s">
        <v>7027</v>
      </c>
      <c r="Z324" s="11">
        <v>25.0</v>
      </c>
      <c r="AA324" s="13" t="s">
        <v>10589</v>
      </c>
      <c r="AB324" s="11">
        <v>25.0</v>
      </c>
      <c r="AC324" s="11" t="s">
        <v>10590</v>
      </c>
      <c r="AD324" s="13" t="s">
        <v>6994</v>
      </c>
      <c r="AE324" s="11"/>
      <c r="AF324" s="11">
        <f t="shared" si="54"/>
        <v>240</v>
      </c>
      <c r="AG324" s="11"/>
      <c r="AH324" s="11"/>
    </row>
    <row r="325" ht="15.75" customHeight="1">
      <c r="A325" s="11">
        <v>224.0</v>
      </c>
      <c r="B325" s="12" t="s">
        <v>10591</v>
      </c>
      <c r="C325" s="11"/>
      <c r="D325" s="21" t="s">
        <v>10592</v>
      </c>
      <c r="E325" s="31" t="s">
        <v>1751</v>
      </c>
      <c r="F325" s="31" t="s">
        <v>4482</v>
      </c>
      <c r="G325" s="31" t="s">
        <v>4483</v>
      </c>
      <c r="H325" s="31" t="s">
        <v>29</v>
      </c>
      <c r="I325" s="31" t="s">
        <v>4484</v>
      </c>
      <c r="J325" s="31" t="s">
        <v>10593</v>
      </c>
      <c r="K325" s="11" t="s">
        <v>6982</v>
      </c>
      <c r="L325" s="11" t="s">
        <v>6983</v>
      </c>
      <c r="M325" s="11" t="s">
        <v>10594</v>
      </c>
      <c r="N325" s="11" t="s">
        <v>10595</v>
      </c>
      <c r="O325" s="11">
        <v>90.0</v>
      </c>
      <c r="P325" s="11" t="s">
        <v>10596</v>
      </c>
      <c r="Q325" s="11">
        <v>50.0</v>
      </c>
      <c r="R325" s="11" t="s">
        <v>10597</v>
      </c>
      <c r="S325" s="11">
        <v>25.0</v>
      </c>
      <c r="T325" s="11" t="s">
        <v>10598</v>
      </c>
      <c r="U325" s="11" t="s">
        <v>10599</v>
      </c>
      <c r="V325" s="11">
        <v>50.0</v>
      </c>
      <c r="W325" s="11" t="s">
        <v>10600</v>
      </c>
      <c r="X325" s="11">
        <v>0.0</v>
      </c>
      <c r="Y325" s="11" t="s">
        <v>6991</v>
      </c>
      <c r="Z325" s="11">
        <v>25.0</v>
      </c>
      <c r="AA325" s="11" t="s">
        <v>7078</v>
      </c>
      <c r="AB325" s="11">
        <v>0.0</v>
      </c>
      <c r="AC325" s="11" t="s">
        <v>10601</v>
      </c>
      <c r="AD325" s="13" t="s">
        <v>6994</v>
      </c>
      <c r="AE325" s="11"/>
      <c r="AF325" s="11">
        <f t="shared" si="54"/>
        <v>240</v>
      </c>
      <c r="AG325" s="11"/>
      <c r="AH325" s="11"/>
    </row>
    <row r="326" ht="15.75" customHeight="1">
      <c r="A326" s="11">
        <v>227.0</v>
      </c>
      <c r="B326" s="12" t="s">
        <v>10602</v>
      </c>
      <c r="C326" s="11"/>
      <c r="D326" s="21" t="s">
        <v>10603</v>
      </c>
      <c r="E326" s="31" t="s">
        <v>2672</v>
      </c>
      <c r="F326" s="31" t="s">
        <v>312</v>
      </c>
      <c r="G326" s="31" t="s">
        <v>5623</v>
      </c>
      <c r="H326" s="31" t="s">
        <v>56</v>
      </c>
      <c r="I326" s="31" t="s">
        <v>5365</v>
      </c>
      <c r="J326" s="31">
        <v>8.972058519E9</v>
      </c>
      <c r="K326" s="11" t="s">
        <v>6982</v>
      </c>
      <c r="L326" s="11" t="s">
        <v>6983</v>
      </c>
      <c r="M326" s="11" t="s">
        <v>10604</v>
      </c>
      <c r="N326" s="11" t="s">
        <v>10605</v>
      </c>
      <c r="O326" s="11">
        <v>75.0</v>
      </c>
      <c r="P326" s="11" t="s">
        <v>10606</v>
      </c>
      <c r="Q326" s="11">
        <v>50.0</v>
      </c>
      <c r="R326" s="11" t="s">
        <v>10607</v>
      </c>
      <c r="S326" s="11">
        <v>50.0</v>
      </c>
      <c r="T326" s="11" t="s">
        <v>10608</v>
      </c>
      <c r="U326" s="11" t="s">
        <v>10609</v>
      </c>
      <c r="V326" s="11">
        <v>25.0</v>
      </c>
      <c r="W326" s="11" t="s">
        <v>10610</v>
      </c>
      <c r="X326" s="11">
        <v>25.0</v>
      </c>
      <c r="Y326" s="11" t="s">
        <v>6991</v>
      </c>
      <c r="Z326" s="11">
        <v>10.0</v>
      </c>
      <c r="AA326" s="13" t="s">
        <v>10611</v>
      </c>
      <c r="AB326" s="11"/>
      <c r="AC326" s="11" t="s">
        <v>10612</v>
      </c>
      <c r="AD326" s="13" t="s">
        <v>6994</v>
      </c>
      <c r="AE326" s="11"/>
      <c r="AF326" s="11">
        <f t="shared" si="54"/>
        <v>235</v>
      </c>
      <c r="AG326" s="11" t="s">
        <v>10613</v>
      </c>
      <c r="AH326" s="11"/>
    </row>
    <row r="327" ht="15.75" customHeight="1">
      <c r="A327" s="11">
        <v>261.0</v>
      </c>
      <c r="B327" s="12" t="s">
        <v>10614</v>
      </c>
      <c r="C327" s="11"/>
      <c r="D327" s="21" t="s">
        <v>10615</v>
      </c>
      <c r="E327" s="31" t="s">
        <v>5358</v>
      </c>
      <c r="F327" s="31" t="s">
        <v>5359</v>
      </c>
      <c r="G327" s="31" t="s">
        <v>5360</v>
      </c>
      <c r="H327" s="31" t="s">
        <v>9</v>
      </c>
      <c r="I327" s="31" t="s">
        <v>1102</v>
      </c>
      <c r="J327" s="31">
        <v>7.042230235E9</v>
      </c>
      <c r="K327" s="11" t="s">
        <v>7086</v>
      </c>
      <c r="L327" s="11" t="s">
        <v>7003</v>
      </c>
      <c r="M327" s="11" t="s">
        <v>10616</v>
      </c>
      <c r="N327" s="11" t="s">
        <v>10617</v>
      </c>
      <c r="O327" s="11"/>
      <c r="P327" s="11" t="s">
        <v>10618</v>
      </c>
      <c r="Q327" s="11"/>
      <c r="R327" s="11" t="s">
        <v>10619</v>
      </c>
      <c r="S327" s="11"/>
      <c r="T327" s="11" t="s">
        <v>10620</v>
      </c>
      <c r="U327" s="11" t="s">
        <v>10621</v>
      </c>
      <c r="V327" s="11"/>
      <c r="W327" s="11" t="s">
        <v>10622</v>
      </c>
      <c r="X327" s="11"/>
      <c r="Y327" s="11" t="s">
        <v>7193</v>
      </c>
      <c r="Z327" s="11"/>
      <c r="AA327" s="13" t="s">
        <v>10623</v>
      </c>
      <c r="AB327" s="11"/>
      <c r="AC327" s="11" t="s">
        <v>10624</v>
      </c>
      <c r="AD327" s="13" t="s">
        <v>6994</v>
      </c>
      <c r="AE327" s="11"/>
      <c r="AF327" s="11">
        <f>AE327+AB327+Z328+X328+V328+S328+Q328+O328</f>
        <v>200</v>
      </c>
      <c r="AG327" s="11" t="s">
        <v>10625</v>
      </c>
      <c r="AH327" s="11"/>
    </row>
    <row r="328" ht="15.75" customHeight="1">
      <c r="A328" s="11">
        <v>273.0</v>
      </c>
      <c r="B328" s="12" t="s">
        <v>10626</v>
      </c>
      <c r="C328" s="11"/>
      <c r="D328" s="41" t="s">
        <v>10627</v>
      </c>
      <c r="E328" s="11" t="s">
        <v>557</v>
      </c>
      <c r="F328" s="11" t="s">
        <v>91</v>
      </c>
      <c r="G328" s="11" t="s">
        <v>4149</v>
      </c>
      <c r="H328" s="11" t="s">
        <v>7184</v>
      </c>
      <c r="I328" s="11" t="s">
        <v>10628</v>
      </c>
      <c r="J328" s="11">
        <v>7.876450959E9</v>
      </c>
      <c r="K328" s="11" t="s">
        <v>7086</v>
      </c>
      <c r="L328" s="11" t="s">
        <v>7003</v>
      </c>
      <c r="M328" s="11" t="s">
        <v>10629</v>
      </c>
      <c r="N328" s="11" t="s">
        <v>10630</v>
      </c>
      <c r="O328" s="11">
        <v>35.0</v>
      </c>
      <c r="P328" s="11" t="s">
        <v>10631</v>
      </c>
      <c r="Q328" s="11">
        <v>25.0</v>
      </c>
      <c r="R328" s="11" t="s">
        <v>10632</v>
      </c>
      <c r="S328" s="11">
        <v>25.0</v>
      </c>
      <c r="T328" s="11" t="s">
        <v>10633</v>
      </c>
      <c r="U328" s="11" t="s">
        <v>10634</v>
      </c>
      <c r="V328" s="11">
        <v>40.0</v>
      </c>
      <c r="W328" s="11" t="s">
        <v>10635</v>
      </c>
      <c r="X328" s="11">
        <v>50.0</v>
      </c>
      <c r="Y328" s="11" t="s">
        <v>6991</v>
      </c>
      <c r="Z328" s="11">
        <v>25.0</v>
      </c>
      <c r="AA328" s="11" t="s">
        <v>7078</v>
      </c>
      <c r="AB328" s="11">
        <v>0.0</v>
      </c>
      <c r="AC328" s="11" t="s">
        <v>10636</v>
      </c>
      <c r="AD328" s="13" t="s">
        <v>7504</v>
      </c>
      <c r="AE328" s="11"/>
      <c r="AF328" s="11">
        <f t="shared" ref="AF328:AF329" si="55">AE328+AB328+Z328+X328+V328+S328+Q328+O328</f>
        <v>200</v>
      </c>
      <c r="AG328" s="11"/>
      <c r="AH328" s="11"/>
    </row>
    <row r="329" ht="15.75" customHeight="1">
      <c r="A329" s="11">
        <v>284.0</v>
      </c>
      <c r="B329" s="12" t="s">
        <v>10637</v>
      </c>
      <c r="C329" s="11"/>
      <c r="D329" s="21" t="s">
        <v>10638</v>
      </c>
      <c r="E329" s="31" t="s">
        <v>4797</v>
      </c>
      <c r="F329" s="31" t="s">
        <v>4798</v>
      </c>
      <c r="G329" s="31" t="s">
        <v>4799</v>
      </c>
      <c r="H329" s="31" t="s">
        <v>44</v>
      </c>
      <c r="I329" s="31" t="s">
        <v>4800</v>
      </c>
      <c r="J329" s="31">
        <v>9.953088881E9</v>
      </c>
      <c r="K329" s="11" t="s">
        <v>6982</v>
      </c>
      <c r="L329" s="11" t="s">
        <v>6983</v>
      </c>
      <c r="M329" s="11" t="s">
        <v>10639</v>
      </c>
      <c r="N329" s="11" t="s">
        <v>10640</v>
      </c>
      <c r="O329" s="11">
        <v>62.0</v>
      </c>
      <c r="P329" s="11" t="s">
        <v>10641</v>
      </c>
      <c r="Q329" s="11">
        <v>50.0</v>
      </c>
      <c r="R329" s="11" t="s">
        <v>10642</v>
      </c>
      <c r="S329" s="11">
        <v>25.0</v>
      </c>
      <c r="T329" s="11" t="s">
        <v>10643</v>
      </c>
      <c r="U329" s="11" t="s">
        <v>10644</v>
      </c>
      <c r="V329" s="11">
        <v>25.0</v>
      </c>
      <c r="W329" s="11" t="s">
        <v>10645</v>
      </c>
      <c r="X329" s="11">
        <v>25.0</v>
      </c>
      <c r="Y329" s="11" t="s">
        <v>7027</v>
      </c>
      <c r="Z329" s="11">
        <v>10.0</v>
      </c>
      <c r="AA329" s="11" t="s">
        <v>7078</v>
      </c>
      <c r="AB329" s="11">
        <v>0.0</v>
      </c>
      <c r="AC329" s="11" t="s">
        <v>10646</v>
      </c>
      <c r="AD329" s="13" t="s">
        <v>6994</v>
      </c>
      <c r="AE329" s="11"/>
      <c r="AF329" s="11">
        <f t="shared" si="55"/>
        <v>197</v>
      </c>
      <c r="AG329" s="11"/>
      <c r="AH329" s="11"/>
    </row>
    <row r="330" ht="15.75" customHeight="1">
      <c r="A330" s="11">
        <v>296.0</v>
      </c>
      <c r="B330" s="12" t="s">
        <v>10647</v>
      </c>
      <c r="C330" s="11" t="s">
        <v>2140</v>
      </c>
      <c r="D330" s="21" t="s">
        <v>10648</v>
      </c>
      <c r="E330" s="31" t="s">
        <v>4637</v>
      </c>
      <c r="F330" s="31" t="s">
        <v>4638</v>
      </c>
      <c r="G330" s="31" t="s">
        <v>4639</v>
      </c>
      <c r="H330" s="31" t="s">
        <v>14</v>
      </c>
      <c r="I330" s="31" t="s">
        <v>193</v>
      </c>
      <c r="J330" s="31">
        <v>8.080236401E9</v>
      </c>
      <c r="K330" s="11"/>
      <c r="L330" s="11" t="s">
        <v>7003</v>
      </c>
      <c r="M330" s="11" t="s">
        <v>10649</v>
      </c>
      <c r="N330" s="11" t="s">
        <v>10650</v>
      </c>
      <c r="O330" s="11">
        <v>40.0</v>
      </c>
      <c r="P330" s="11" t="s">
        <v>10651</v>
      </c>
      <c r="Q330" s="11">
        <v>40.0</v>
      </c>
      <c r="R330" s="11" t="s">
        <v>10652</v>
      </c>
      <c r="S330" s="11">
        <v>20.0</v>
      </c>
      <c r="T330" s="11" t="s">
        <v>10653</v>
      </c>
      <c r="U330" s="11" t="s">
        <v>10654</v>
      </c>
      <c r="V330" s="11">
        <v>30.0</v>
      </c>
      <c r="W330" s="11" t="s">
        <v>10655</v>
      </c>
      <c r="X330" s="11">
        <v>25.0</v>
      </c>
      <c r="Y330" s="11" t="s">
        <v>6991</v>
      </c>
      <c r="Z330" s="11">
        <v>30.0</v>
      </c>
      <c r="AA330" s="11" t="s">
        <v>7078</v>
      </c>
      <c r="AB330" s="11">
        <v>0.0</v>
      </c>
      <c r="AC330" s="11" t="s">
        <v>10656</v>
      </c>
      <c r="AD330" s="13" t="s">
        <v>6994</v>
      </c>
      <c r="AE330" s="11"/>
      <c r="AF330" s="24">
        <f>O330+Q330+S330+V330+X330+Z330+AB330</f>
        <v>185</v>
      </c>
      <c r="AG330" s="11"/>
      <c r="AH330" s="11"/>
    </row>
    <row r="331" ht="15.75" customHeight="1">
      <c r="A331" s="11">
        <v>299.0</v>
      </c>
      <c r="B331" s="12" t="s">
        <v>10657</v>
      </c>
      <c r="C331" s="11"/>
      <c r="D331" s="21" t="s">
        <v>10658</v>
      </c>
      <c r="E331" s="31" t="s">
        <v>4981</v>
      </c>
      <c r="F331" s="31" t="s">
        <v>4982</v>
      </c>
      <c r="G331" s="31" t="s">
        <v>4983</v>
      </c>
      <c r="H331" s="31" t="s">
        <v>14</v>
      </c>
      <c r="I331" s="31" t="s">
        <v>4015</v>
      </c>
      <c r="J331" s="31">
        <v>9.711026777E9</v>
      </c>
      <c r="K331" s="11" t="s">
        <v>6982</v>
      </c>
      <c r="L331" s="11" t="s">
        <v>6983</v>
      </c>
      <c r="M331" s="11" t="s">
        <v>10659</v>
      </c>
      <c r="N331" s="11" t="s">
        <v>10660</v>
      </c>
      <c r="O331" s="11">
        <v>40.0</v>
      </c>
      <c r="P331" s="11" t="s">
        <v>10661</v>
      </c>
      <c r="Q331" s="11">
        <v>25.0</v>
      </c>
      <c r="R331" s="11" t="s">
        <v>10662</v>
      </c>
      <c r="S331" s="11">
        <v>25.0</v>
      </c>
      <c r="T331" s="11" t="s">
        <v>10663</v>
      </c>
      <c r="U331" s="11" t="s">
        <v>10664</v>
      </c>
      <c r="V331" s="11">
        <v>40.0</v>
      </c>
      <c r="W331" s="11" t="s">
        <v>10665</v>
      </c>
      <c r="X331" s="11">
        <v>25.0</v>
      </c>
      <c r="Y331" s="11" t="s">
        <v>6991</v>
      </c>
      <c r="Z331" s="11">
        <v>25.0</v>
      </c>
      <c r="AA331" s="11" t="s">
        <v>7078</v>
      </c>
      <c r="AB331" s="11"/>
      <c r="AC331" s="11" t="s">
        <v>10666</v>
      </c>
      <c r="AD331" s="13" t="s">
        <v>6994</v>
      </c>
      <c r="AE331" s="11"/>
      <c r="AF331" s="11">
        <f>AE331+AB331+Z331+X331+V331+S331+Q331+O331</f>
        <v>180</v>
      </c>
      <c r="AG331" s="11"/>
      <c r="AH331" s="11"/>
    </row>
    <row r="332" ht="15.75" customHeight="1">
      <c r="A332" s="11">
        <v>300.0</v>
      </c>
      <c r="B332" s="12" t="s">
        <v>10667</v>
      </c>
      <c r="C332" s="11" t="s">
        <v>2140</v>
      </c>
      <c r="D332" s="21" t="s">
        <v>10668</v>
      </c>
      <c r="E332" s="31" t="s">
        <v>5534</v>
      </c>
      <c r="F332" s="31" t="s">
        <v>5533</v>
      </c>
      <c r="G332" s="31" t="s">
        <v>5429</v>
      </c>
      <c r="H332" s="31" t="s">
        <v>1108</v>
      </c>
      <c r="I332" s="31" t="s">
        <v>5408</v>
      </c>
      <c r="J332" s="31">
        <v>9.888469658E9</v>
      </c>
      <c r="K332" s="11" t="s">
        <v>6982</v>
      </c>
      <c r="L332" s="11" t="s">
        <v>6983</v>
      </c>
      <c r="M332" s="11" t="s">
        <v>10669</v>
      </c>
      <c r="N332" s="11" t="s">
        <v>10670</v>
      </c>
      <c r="O332" s="11">
        <v>50.0</v>
      </c>
      <c r="P332" s="11" t="s">
        <v>10671</v>
      </c>
      <c r="Q332" s="11">
        <v>20.0</v>
      </c>
      <c r="R332" s="11" t="s">
        <v>10672</v>
      </c>
      <c r="S332" s="11">
        <v>20.0</v>
      </c>
      <c r="T332" s="11" t="s">
        <v>10673</v>
      </c>
      <c r="U332" s="11" t="s">
        <v>10674</v>
      </c>
      <c r="V332" s="11">
        <v>30.0</v>
      </c>
      <c r="W332" s="11" t="s">
        <v>10675</v>
      </c>
      <c r="X332" s="11">
        <v>20.0</v>
      </c>
      <c r="Y332" s="11" t="s">
        <v>6991</v>
      </c>
      <c r="Z332" s="11">
        <v>20.0</v>
      </c>
      <c r="AA332" s="13" t="s">
        <v>10676</v>
      </c>
      <c r="AB332" s="11">
        <v>20.0</v>
      </c>
      <c r="AC332" s="11" t="s">
        <v>10677</v>
      </c>
      <c r="AD332" s="13" t="s">
        <v>6994</v>
      </c>
      <c r="AE332" s="11"/>
      <c r="AF332" s="24">
        <f>O332+Q332+S332+V332+X332+Z332+AB332</f>
        <v>180</v>
      </c>
      <c r="AG332" s="11"/>
      <c r="AH332" s="11"/>
    </row>
    <row r="333" ht="15.75" customHeight="1">
      <c r="A333" s="11">
        <v>303.0</v>
      </c>
      <c r="B333" s="12" t="s">
        <v>10678</v>
      </c>
      <c r="C333" s="11"/>
      <c r="D333" s="21" t="s">
        <v>10679</v>
      </c>
      <c r="E333" s="11" t="s">
        <v>400</v>
      </c>
      <c r="F333" s="11" t="s">
        <v>225</v>
      </c>
      <c r="G333" s="18" t="s">
        <v>4321</v>
      </c>
      <c r="H333" s="11" t="s">
        <v>7047</v>
      </c>
      <c r="I333" s="11" t="s">
        <v>494</v>
      </c>
      <c r="J333" s="18">
        <v>9.818136951E9</v>
      </c>
      <c r="K333" s="11"/>
      <c r="L333" s="11" t="s">
        <v>7003</v>
      </c>
      <c r="M333" s="11" t="s">
        <v>10680</v>
      </c>
      <c r="N333" s="11" t="s">
        <v>10681</v>
      </c>
      <c r="O333" s="11">
        <v>60.0</v>
      </c>
      <c r="P333" s="11" t="s">
        <v>10682</v>
      </c>
      <c r="Q333" s="11">
        <v>25.0</v>
      </c>
      <c r="R333" s="11" t="s">
        <v>10683</v>
      </c>
      <c r="S333" s="11"/>
      <c r="T333" s="11" t="s">
        <v>10684</v>
      </c>
      <c r="U333" s="11" t="s">
        <v>10685</v>
      </c>
      <c r="V333" s="11">
        <v>25.0</v>
      </c>
      <c r="W333" s="11" t="s">
        <v>10686</v>
      </c>
      <c r="X333" s="11">
        <v>40.0</v>
      </c>
      <c r="Y333" s="11" t="s">
        <v>6991</v>
      </c>
      <c r="Z333" s="11">
        <v>25.0</v>
      </c>
      <c r="AA333" s="11" t="s">
        <v>7078</v>
      </c>
      <c r="AB333" s="11">
        <v>0.0</v>
      </c>
      <c r="AC333" s="11" t="s">
        <v>10687</v>
      </c>
      <c r="AD333" s="13" t="s">
        <v>6994</v>
      </c>
      <c r="AE333" s="11"/>
      <c r="AF333" s="11">
        <f>AE333+AB333+Z333+X333+V333+S333+Q333+O333</f>
        <v>175</v>
      </c>
      <c r="AG333" s="11"/>
      <c r="AH333" s="11"/>
    </row>
    <row r="334" ht="15.75" customHeight="1">
      <c r="A334" s="11">
        <v>309.0</v>
      </c>
      <c r="B334" s="12" t="s">
        <v>10688</v>
      </c>
      <c r="C334" s="11" t="s">
        <v>2140</v>
      </c>
      <c r="D334" s="21" t="s">
        <v>10689</v>
      </c>
      <c r="E334" s="11" t="s">
        <v>10690</v>
      </c>
      <c r="F334" s="11" t="s">
        <v>10691</v>
      </c>
      <c r="G334" s="11"/>
      <c r="H334" s="11"/>
      <c r="I334" s="11"/>
      <c r="J334" s="11"/>
      <c r="K334" s="11"/>
      <c r="L334" s="11" t="s">
        <v>7003</v>
      </c>
      <c r="M334" s="11" t="s">
        <v>10692</v>
      </c>
      <c r="N334" s="11" t="s">
        <v>10693</v>
      </c>
      <c r="O334" s="11">
        <v>40.0</v>
      </c>
      <c r="P334" s="11" t="s">
        <v>10694</v>
      </c>
      <c r="Q334" s="11">
        <v>30.0</v>
      </c>
      <c r="R334" s="11" t="s">
        <v>10695</v>
      </c>
      <c r="S334" s="11">
        <v>30.0</v>
      </c>
      <c r="T334" s="11" t="s">
        <v>10696</v>
      </c>
      <c r="U334" s="11" t="s">
        <v>10697</v>
      </c>
      <c r="V334" s="11">
        <v>40.0</v>
      </c>
      <c r="W334" s="11" t="s">
        <v>10698</v>
      </c>
      <c r="X334" s="11">
        <v>10.0</v>
      </c>
      <c r="Y334" s="11" t="s">
        <v>6991</v>
      </c>
      <c r="Z334" s="11">
        <v>10.0</v>
      </c>
      <c r="AA334" s="13" t="s">
        <v>10699</v>
      </c>
      <c r="AB334" s="11">
        <v>0.0</v>
      </c>
      <c r="AC334" s="11" t="s">
        <v>10700</v>
      </c>
      <c r="AD334" s="13" t="s">
        <v>6994</v>
      </c>
      <c r="AE334" s="11"/>
      <c r="AF334" s="24">
        <f t="shared" ref="AF334:AF335" si="56">O334+Q334+S334+V334+X334+Z334+AB334</f>
        <v>160</v>
      </c>
      <c r="AG334" s="11"/>
      <c r="AH334" s="11"/>
    </row>
    <row r="335" ht="15.75" customHeight="1">
      <c r="A335" s="11">
        <v>326.0</v>
      </c>
      <c r="B335" s="12" t="s">
        <v>10701</v>
      </c>
      <c r="C335" s="11" t="s">
        <v>2140</v>
      </c>
      <c r="D335" s="21" t="s">
        <v>10702</v>
      </c>
      <c r="E335" s="31" t="s">
        <v>299</v>
      </c>
      <c r="F335" s="31" t="s">
        <v>5183</v>
      </c>
      <c r="G335" s="31" t="s">
        <v>5184</v>
      </c>
      <c r="H335" s="31" t="s">
        <v>56</v>
      </c>
      <c r="I335" s="31" t="s">
        <v>1102</v>
      </c>
      <c r="J335" s="31" t="str">
        <f>+91 8447-775523</f>
        <v>#ERROR!</v>
      </c>
      <c r="K335" s="11" t="s">
        <v>6982</v>
      </c>
      <c r="L335" s="11" t="s">
        <v>6983</v>
      </c>
      <c r="M335" s="11" t="s">
        <v>10703</v>
      </c>
      <c r="N335" s="11" t="s">
        <v>10704</v>
      </c>
      <c r="O335" s="11">
        <v>40.0</v>
      </c>
      <c r="P335" s="11" t="s">
        <v>10705</v>
      </c>
      <c r="Q335" s="11">
        <v>0.0</v>
      </c>
      <c r="R335" s="11" t="s">
        <v>10706</v>
      </c>
      <c r="S335" s="11">
        <v>10.0</v>
      </c>
      <c r="T335" s="11" t="s">
        <v>10707</v>
      </c>
      <c r="U335" s="11" t="s">
        <v>10708</v>
      </c>
      <c r="V335" s="11">
        <v>10.0</v>
      </c>
      <c r="W335" s="11" t="s">
        <v>10709</v>
      </c>
      <c r="X335" s="11">
        <v>10.0</v>
      </c>
      <c r="Y335" s="11" t="s">
        <v>6991</v>
      </c>
      <c r="Z335" s="11">
        <v>20.0</v>
      </c>
      <c r="AA335" s="13" t="s">
        <v>10710</v>
      </c>
      <c r="AB335" s="11">
        <v>50.0</v>
      </c>
      <c r="AC335" s="11" t="s">
        <v>10711</v>
      </c>
      <c r="AD335" s="13" t="s">
        <v>6994</v>
      </c>
      <c r="AE335" s="11"/>
      <c r="AF335" s="24">
        <f t="shared" si="56"/>
        <v>140</v>
      </c>
      <c r="AG335" s="11"/>
      <c r="AH335" s="11"/>
    </row>
    <row r="336" ht="15.75" customHeight="1">
      <c r="A336" s="11">
        <v>332.0</v>
      </c>
      <c r="B336" s="12" t="s">
        <v>10712</v>
      </c>
      <c r="C336" s="11"/>
      <c r="D336" s="41" t="s">
        <v>10713</v>
      </c>
      <c r="E336" s="11" t="s">
        <v>4801</v>
      </c>
      <c r="F336" s="11" t="s">
        <v>5069</v>
      </c>
      <c r="G336" s="11" t="s">
        <v>4700</v>
      </c>
      <c r="H336" s="11" t="s">
        <v>7097</v>
      </c>
      <c r="I336" s="11" t="s">
        <v>4015</v>
      </c>
      <c r="J336" s="23">
        <v>9.999978036E9</v>
      </c>
      <c r="K336" s="11"/>
      <c r="L336" s="11" t="s">
        <v>7003</v>
      </c>
      <c r="M336" s="11" t="s">
        <v>10714</v>
      </c>
      <c r="N336" s="11" t="s">
        <v>10715</v>
      </c>
      <c r="O336" s="11">
        <v>12.5</v>
      </c>
      <c r="P336" s="11" t="s">
        <v>10716</v>
      </c>
      <c r="Q336" s="11">
        <v>25.0</v>
      </c>
      <c r="R336" s="11" t="s">
        <v>10717</v>
      </c>
      <c r="S336" s="11">
        <v>25.0</v>
      </c>
      <c r="T336" s="11" t="s">
        <v>10718</v>
      </c>
      <c r="U336" s="11" t="s">
        <v>10719</v>
      </c>
      <c r="V336" s="11">
        <v>25.0</v>
      </c>
      <c r="W336" s="11" t="s">
        <v>10720</v>
      </c>
      <c r="X336" s="11">
        <v>25.0</v>
      </c>
      <c r="Y336" s="11" t="s">
        <v>6991</v>
      </c>
      <c r="Z336" s="11">
        <v>25.0</v>
      </c>
      <c r="AA336" s="11" t="s">
        <v>7078</v>
      </c>
      <c r="AB336" s="11"/>
      <c r="AC336" s="11" t="s">
        <v>10721</v>
      </c>
      <c r="AD336" s="13" t="s">
        <v>6994</v>
      </c>
      <c r="AE336" s="11"/>
      <c r="AF336" s="11">
        <f t="shared" ref="AF336:AF337" si="57">AE336+AB336+Z336+X336+V336+S336+Q336+O336</f>
        <v>137.5</v>
      </c>
      <c r="AG336" s="11"/>
      <c r="AH336" s="11"/>
    </row>
    <row r="337" ht="15.75" customHeight="1">
      <c r="A337" s="11">
        <v>333.0</v>
      </c>
      <c r="B337" s="12" t="s">
        <v>10722</v>
      </c>
      <c r="C337" s="11"/>
      <c r="D337" s="21" t="s">
        <v>10723</v>
      </c>
      <c r="E337" s="31" t="s">
        <v>5041</v>
      </c>
      <c r="F337" s="31" t="s">
        <v>5042</v>
      </c>
      <c r="G337" s="31" t="s">
        <v>5043</v>
      </c>
      <c r="H337" s="31" t="s">
        <v>14</v>
      </c>
      <c r="I337" s="31" t="s">
        <v>4963</v>
      </c>
      <c r="J337" s="31" t="s">
        <v>10724</v>
      </c>
      <c r="K337" s="11" t="s">
        <v>6982</v>
      </c>
      <c r="L337" s="11" t="s">
        <v>6983</v>
      </c>
      <c r="M337" s="11" t="s">
        <v>10725</v>
      </c>
      <c r="N337" s="11" t="s">
        <v>10726</v>
      </c>
      <c r="O337" s="11">
        <v>37.0</v>
      </c>
      <c r="P337" s="11" t="s">
        <v>10727</v>
      </c>
      <c r="Q337" s="11">
        <v>25.0</v>
      </c>
      <c r="R337" s="11" t="s">
        <v>10728</v>
      </c>
      <c r="S337" s="11">
        <v>25.0</v>
      </c>
      <c r="T337" s="11" t="s">
        <v>10729</v>
      </c>
      <c r="U337" s="11" t="s">
        <v>10730</v>
      </c>
      <c r="V337" s="11">
        <v>25.0</v>
      </c>
      <c r="W337" s="11" t="s">
        <v>10731</v>
      </c>
      <c r="X337" s="11">
        <v>10.0</v>
      </c>
      <c r="Y337" s="11" t="s">
        <v>6991</v>
      </c>
      <c r="Z337" s="11">
        <v>10.0</v>
      </c>
      <c r="AA337" s="11" t="s">
        <v>7078</v>
      </c>
      <c r="AB337" s="11">
        <v>0.0</v>
      </c>
      <c r="AC337" s="11" t="s">
        <v>10732</v>
      </c>
      <c r="AD337" s="13" t="s">
        <v>6994</v>
      </c>
      <c r="AE337" s="11"/>
      <c r="AF337" s="11">
        <f t="shared" si="57"/>
        <v>132</v>
      </c>
      <c r="AG337" s="11"/>
      <c r="AH337" s="11"/>
    </row>
    <row r="338" ht="15.75" customHeight="1">
      <c r="A338" s="11">
        <v>334.0</v>
      </c>
      <c r="B338" s="12" t="s">
        <v>10733</v>
      </c>
      <c r="C338" s="11" t="s">
        <v>2140</v>
      </c>
      <c r="D338" s="21" t="s">
        <v>10734</v>
      </c>
      <c r="E338" s="11" t="s">
        <v>10735</v>
      </c>
      <c r="F338" s="11" t="s">
        <v>10736</v>
      </c>
      <c r="G338" s="11" t="s">
        <v>4449</v>
      </c>
      <c r="H338" s="11" t="s">
        <v>7019</v>
      </c>
      <c r="I338" s="11" t="s">
        <v>4381</v>
      </c>
      <c r="J338" s="11"/>
      <c r="K338" s="11" t="s">
        <v>7376</v>
      </c>
      <c r="L338" s="11" t="s">
        <v>7003</v>
      </c>
      <c r="M338" s="11" t="s">
        <v>10737</v>
      </c>
      <c r="N338" s="11" t="s">
        <v>10738</v>
      </c>
      <c r="O338" s="11">
        <v>20.0</v>
      </c>
      <c r="P338" s="11" t="s">
        <v>10739</v>
      </c>
      <c r="Q338" s="11">
        <v>30.0</v>
      </c>
      <c r="R338" s="11" t="s">
        <v>10740</v>
      </c>
      <c r="S338" s="11">
        <v>20.0</v>
      </c>
      <c r="T338" s="11" t="s">
        <v>10741</v>
      </c>
      <c r="U338" s="11" t="s">
        <v>10742</v>
      </c>
      <c r="V338" s="11">
        <v>30.0</v>
      </c>
      <c r="W338" s="11" t="s">
        <v>10743</v>
      </c>
      <c r="X338" s="11">
        <v>10.0</v>
      </c>
      <c r="Y338" s="11" t="s">
        <v>6991</v>
      </c>
      <c r="Z338" s="11">
        <v>20.0</v>
      </c>
      <c r="AA338" s="11" t="s">
        <v>7078</v>
      </c>
      <c r="AB338" s="11">
        <v>0.0</v>
      </c>
      <c r="AC338" s="11" t="s">
        <v>10744</v>
      </c>
      <c r="AD338" s="13" t="s">
        <v>6994</v>
      </c>
      <c r="AE338" s="11"/>
      <c r="AF338" s="11">
        <f>O338+Q338+S338+V338+X338+Z338+AB338</f>
        <v>130</v>
      </c>
      <c r="AG338" s="11"/>
      <c r="AH338" s="11"/>
    </row>
    <row r="339" ht="15.75" customHeight="1">
      <c r="A339" s="11">
        <v>354.0</v>
      </c>
      <c r="B339" s="12" t="s">
        <v>10745</v>
      </c>
      <c r="C339" s="11"/>
      <c r="D339" s="21" t="s">
        <v>7588</v>
      </c>
      <c r="E339" s="11" t="s">
        <v>961</v>
      </c>
      <c r="F339" s="11" t="s">
        <v>7589</v>
      </c>
      <c r="G339" s="11"/>
      <c r="H339" s="11"/>
      <c r="I339" s="11"/>
      <c r="J339" s="11"/>
      <c r="K339" s="11"/>
      <c r="L339" s="11" t="s">
        <v>7003</v>
      </c>
      <c r="M339" s="11" t="s">
        <v>10746</v>
      </c>
      <c r="N339" s="11" t="s">
        <v>10747</v>
      </c>
      <c r="O339" s="11">
        <v>10.0</v>
      </c>
      <c r="P339" s="11" t="s">
        <v>10748</v>
      </c>
      <c r="Q339" s="11">
        <v>25.0</v>
      </c>
      <c r="R339" s="11" t="s">
        <v>10749</v>
      </c>
      <c r="S339" s="11">
        <v>25.0</v>
      </c>
      <c r="T339" s="11" t="s">
        <v>10750</v>
      </c>
      <c r="U339" s="11" t="s">
        <v>10751</v>
      </c>
      <c r="V339" s="11">
        <v>10.0</v>
      </c>
      <c r="W339" s="11" t="s">
        <v>10752</v>
      </c>
      <c r="X339" s="11">
        <v>10.0</v>
      </c>
      <c r="Y339" s="11" t="s">
        <v>6991</v>
      </c>
      <c r="Z339" s="11">
        <v>10.0</v>
      </c>
      <c r="AA339" s="11" t="s">
        <v>7078</v>
      </c>
      <c r="AB339" s="11">
        <v>0.0</v>
      </c>
      <c r="AC339" s="11" t="s">
        <v>10753</v>
      </c>
      <c r="AD339" s="13" t="s">
        <v>6994</v>
      </c>
      <c r="AE339" s="11"/>
      <c r="AF339" s="11">
        <f>AE339+AB339+Z339+X339+V339+S339+Q339+O339</f>
        <v>90</v>
      </c>
      <c r="AG339" s="11"/>
      <c r="AH339" s="11"/>
    </row>
    <row r="340" ht="15.75" customHeight="1">
      <c r="A340" s="11">
        <v>360.0</v>
      </c>
      <c r="B340" s="12" t="s">
        <v>10754</v>
      </c>
      <c r="C340" s="11" t="s">
        <v>2140</v>
      </c>
      <c r="D340" s="21" t="s">
        <v>10755</v>
      </c>
      <c r="E340" s="31" t="s">
        <v>6861</v>
      </c>
      <c r="F340" s="31" t="s">
        <v>6862</v>
      </c>
      <c r="G340" s="31" t="s">
        <v>6863</v>
      </c>
      <c r="H340" s="31" t="s">
        <v>56</v>
      </c>
      <c r="I340" s="31" t="s">
        <v>6864</v>
      </c>
      <c r="J340" s="31">
        <v>9.954838721E9</v>
      </c>
      <c r="K340" s="11" t="s">
        <v>6982</v>
      </c>
      <c r="L340" s="11" t="s">
        <v>6983</v>
      </c>
      <c r="M340" s="11" t="s">
        <v>10756</v>
      </c>
      <c r="N340" s="11" t="s">
        <v>10757</v>
      </c>
      <c r="O340" s="11">
        <v>20.0</v>
      </c>
      <c r="P340" s="11" t="s">
        <v>10758</v>
      </c>
      <c r="Q340" s="11">
        <v>10.0</v>
      </c>
      <c r="R340" s="11" t="s">
        <v>10759</v>
      </c>
      <c r="S340" s="11">
        <v>10.0</v>
      </c>
      <c r="T340" s="11" t="s">
        <v>10760</v>
      </c>
      <c r="U340" s="11" t="s">
        <v>10761</v>
      </c>
      <c r="V340" s="11">
        <v>10.0</v>
      </c>
      <c r="W340" s="11" t="s">
        <v>10762</v>
      </c>
      <c r="X340" s="11">
        <v>0.0</v>
      </c>
      <c r="Y340" s="11" t="s">
        <v>7027</v>
      </c>
      <c r="Z340" s="11">
        <v>0.0</v>
      </c>
      <c r="AA340" s="11" t="s">
        <v>7078</v>
      </c>
      <c r="AB340" s="11">
        <v>0.0</v>
      </c>
      <c r="AC340" s="11" t="s">
        <v>10763</v>
      </c>
      <c r="AD340" s="13" t="s">
        <v>6994</v>
      </c>
      <c r="AE340" s="11"/>
      <c r="AF340" s="11">
        <f>O340+Q340+S340+V340+X340+Z340+AB340</f>
        <v>50</v>
      </c>
      <c r="AG340" s="11"/>
      <c r="AH340" s="11"/>
    </row>
    <row r="341" ht="15.75" customHeight="1">
      <c r="A341" s="11">
        <v>361.0</v>
      </c>
      <c r="B341" s="12" t="s">
        <v>10764</v>
      </c>
      <c r="C341" s="11"/>
      <c r="D341" s="21" t="s">
        <v>10765</v>
      </c>
      <c r="E341" s="11" t="s">
        <v>6915</v>
      </c>
      <c r="F341" s="11" t="s">
        <v>6916</v>
      </c>
      <c r="G341" s="11"/>
      <c r="H341" s="11"/>
      <c r="I341" s="11"/>
      <c r="J341" s="11"/>
      <c r="K341" s="11"/>
      <c r="L341" s="11" t="s">
        <v>7003</v>
      </c>
      <c r="M341" s="11" t="s">
        <v>10766</v>
      </c>
      <c r="N341" s="11" t="s">
        <v>10767</v>
      </c>
      <c r="O341" s="11">
        <v>12.5</v>
      </c>
      <c r="P341" s="11"/>
      <c r="Q341" s="11">
        <v>0.0</v>
      </c>
      <c r="R341" s="11" t="s">
        <v>10768</v>
      </c>
      <c r="S341" s="11">
        <v>10.0</v>
      </c>
      <c r="T341" s="11" t="s">
        <v>10769</v>
      </c>
      <c r="U341" s="11" t="s">
        <v>10770</v>
      </c>
      <c r="V341" s="11">
        <v>10.0</v>
      </c>
      <c r="W341" s="11" t="s">
        <v>10771</v>
      </c>
      <c r="X341" s="11">
        <v>10.0</v>
      </c>
      <c r="Y341" s="11" t="s">
        <v>7193</v>
      </c>
      <c r="Z341" s="11">
        <v>0.0</v>
      </c>
      <c r="AA341" s="11" t="s">
        <v>7078</v>
      </c>
      <c r="AB341" s="11">
        <v>0.0</v>
      </c>
      <c r="AC341" s="11" t="s">
        <v>10772</v>
      </c>
      <c r="AD341" s="13" t="s">
        <v>6994</v>
      </c>
      <c r="AE341" s="11"/>
      <c r="AF341" s="11">
        <f>AE341+AB341+Z341+X341+V341+S341+Q341+O341</f>
        <v>42.5</v>
      </c>
      <c r="AG341" s="11"/>
      <c r="AH341" s="11"/>
    </row>
    <row r="342" ht="15.75" customHeight="1">
      <c r="A342" s="11">
        <v>378.0</v>
      </c>
      <c r="B342" s="12" t="s">
        <v>10773</v>
      </c>
      <c r="C342" s="11" t="s">
        <v>2140</v>
      </c>
      <c r="D342" s="21" t="s">
        <v>10774</v>
      </c>
      <c r="E342" s="11" t="s">
        <v>5054</v>
      </c>
      <c r="F342" s="11" t="s">
        <v>119</v>
      </c>
      <c r="G342" s="11"/>
      <c r="H342" s="11"/>
      <c r="I342" s="11"/>
      <c r="J342" s="11"/>
      <c r="K342" s="11"/>
      <c r="L342" s="11" t="s">
        <v>7003</v>
      </c>
      <c r="M342" s="11" t="s">
        <v>10775</v>
      </c>
      <c r="N342" s="11" t="s">
        <v>10776</v>
      </c>
      <c r="O342" s="11">
        <v>0.0</v>
      </c>
      <c r="P342" s="11" t="s">
        <v>10777</v>
      </c>
      <c r="Q342" s="11">
        <v>0.0</v>
      </c>
      <c r="R342" s="11" t="s">
        <v>10778</v>
      </c>
      <c r="S342" s="11">
        <v>0.0</v>
      </c>
      <c r="T342" s="11" t="s">
        <v>10779</v>
      </c>
      <c r="U342" s="11" t="s">
        <v>10780</v>
      </c>
      <c r="V342" s="11">
        <v>0.0</v>
      </c>
      <c r="W342" s="11" t="s">
        <v>10781</v>
      </c>
      <c r="X342" s="11">
        <v>0.0</v>
      </c>
      <c r="Y342" s="11" t="s">
        <v>6991</v>
      </c>
      <c r="Z342" s="11">
        <v>0.0</v>
      </c>
      <c r="AA342" s="13" t="s">
        <v>10782</v>
      </c>
      <c r="AB342" s="11"/>
      <c r="AC342" s="11" t="s">
        <v>10783</v>
      </c>
      <c r="AD342" s="13" t="s">
        <v>6994</v>
      </c>
      <c r="AE342" s="11"/>
      <c r="AF342" s="11">
        <f t="shared" ref="AF342:AF344" si="58">O342+Q342+S342+V342+X342+Z342+AB342</f>
        <v>0</v>
      </c>
      <c r="AG342" s="11"/>
      <c r="AH342" s="11"/>
    </row>
    <row r="343" ht="15.75" customHeight="1">
      <c r="A343" s="11">
        <v>379.0</v>
      </c>
      <c r="B343" s="12" t="s">
        <v>10784</v>
      </c>
      <c r="C343" s="11" t="s">
        <v>2140</v>
      </c>
      <c r="D343" s="42" t="s">
        <v>10785</v>
      </c>
      <c r="E343" s="21" t="s">
        <v>881</v>
      </c>
      <c r="F343" s="21" t="s">
        <v>5312</v>
      </c>
      <c r="G343" s="21" t="s">
        <v>4783</v>
      </c>
      <c r="H343" s="21" t="s">
        <v>56</v>
      </c>
      <c r="I343" s="21" t="s">
        <v>494</v>
      </c>
      <c r="J343" s="22">
        <v>9.27E9</v>
      </c>
      <c r="K343" s="11"/>
      <c r="L343" s="11" t="s">
        <v>7003</v>
      </c>
      <c r="M343" s="11" t="s">
        <v>10775</v>
      </c>
      <c r="N343" s="11" t="s">
        <v>10776</v>
      </c>
      <c r="O343" s="11">
        <v>0.0</v>
      </c>
      <c r="P343" s="11" t="s">
        <v>10777</v>
      </c>
      <c r="Q343" s="11">
        <v>0.0</v>
      </c>
      <c r="R343" s="11" t="s">
        <v>10778</v>
      </c>
      <c r="S343" s="11">
        <v>0.0</v>
      </c>
      <c r="T343" s="11" t="s">
        <v>10779</v>
      </c>
      <c r="U343" s="11" t="s">
        <v>10780</v>
      </c>
      <c r="V343" s="11">
        <v>0.0</v>
      </c>
      <c r="W343" s="11" t="s">
        <v>10781</v>
      </c>
      <c r="X343" s="11">
        <v>0.0</v>
      </c>
      <c r="Y343" s="11" t="s">
        <v>6991</v>
      </c>
      <c r="Z343" s="11">
        <v>0.0</v>
      </c>
      <c r="AA343" s="13" t="s">
        <v>10786</v>
      </c>
      <c r="AB343" s="11">
        <v>0.0</v>
      </c>
      <c r="AC343" s="11" t="s">
        <v>10787</v>
      </c>
      <c r="AD343" s="13" t="s">
        <v>6994</v>
      </c>
      <c r="AE343" s="11"/>
      <c r="AF343" s="11">
        <f t="shared" si="58"/>
        <v>0</v>
      </c>
      <c r="AG343" s="11"/>
      <c r="AH343" s="11"/>
    </row>
    <row r="344" ht="15.75" customHeight="1">
      <c r="A344" s="11">
        <v>380.0</v>
      </c>
      <c r="B344" s="12" t="s">
        <v>10788</v>
      </c>
      <c r="C344" s="11" t="s">
        <v>2140</v>
      </c>
      <c r="D344" s="21" t="s">
        <v>10789</v>
      </c>
      <c r="E344" s="11" t="s">
        <v>4846</v>
      </c>
      <c r="F344" s="11" t="s">
        <v>4840</v>
      </c>
      <c r="G344" s="11" t="s">
        <v>5405</v>
      </c>
      <c r="H344" s="11" t="s">
        <v>10790</v>
      </c>
      <c r="I344" s="11"/>
      <c r="J344" s="11"/>
      <c r="K344" s="11"/>
      <c r="L344" s="11" t="s">
        <v>7003</v>
      </c>
      <c r="M344" s="11" t="s">
        <v>10791</v>
      </c>
      <c r="N344" s="11" t="s">
        <v>10792</v>
      </c>
      <c r="O344" s="11">
        <v>0.0</v>
      </c>
      <c r="P344" s="11" t="s">
        <v>10793</v>
      </c>
      <c r="Q344" s="11">
        <v>0.0</v>
      </c>
      <c r="R344" s="11" t="s">
        <v>10794</v>
      </c>
      <c r="S344" s="11">
        <v>0.0</v>
      </c>
      <c r="T344" s="11" t="s">
        <v>10795</v>
      </c>
      <c r="U344" s="11" t="s">
        <v>10796</v>
      </c>
      <c r="V344" s="11">
        <v>0.0</v>
      </c>
      <c r="W344" s="11" t="s">
        <v>10797</v>
      </c>
      <c r="X344" s="11">
        <v>0.0</v>
      </c>
      <c r="Y344" s="11" t="s">
        <v>6991</v>
      </c>
      <c r="Z344" s="11">
        <v>0.0</v>
      </c>
      <c r="AA344" s="13" t="s">
        <v>10798</v>
      </c>
      <c r="AB344" s="11">
        <v>0.0</v>
      </c>
      <c r="AC344" s="11" t="s">
        <v>10799</v>
      </c>
      <c r="AD344" s="13" t="s">
        <v>6994</v>
      </c>
      <c r="AE344" s="11"/>
      <c r="AF344" s="11">
        <f t="shared" si="58"/>
        <v>0</v>
      </c>
      <c r="AG344" s="11"/>
      <c r="AH344" s="11"/>
    </row>
    <row r="345" ht="15.75" customHeight="1">
      <c r="A345" s="11">
        <v>398.0</v>
      </c>
      <c r="B345" s="12" t="s">
        <v>10800</v>
      </c>
      <c r="C345" s="11"/>
      <c r="D345" s="21" t="s">
        <v>10801</v>
      </c>
      <c r="E345" s="11" t="s">
        <v>5054</v>
      </c>
      <c r="F345" s="11" t="s">
        <v>63</v>
      </c>
      <c r="G345" s="11" t="s">
        <v>5101</v>
      </c>
      <c r="H345" s="11" t="s">
        <v>8337</v>
      </c>
      <c r="I345" s="11"/>
      <c r="J345" s="11"/>
      <c r="K345" s="11"/>
      <c r="L345" s="11" t="s">
        <v>7003</v>
      </c>
      <c r="M345" s="11" t="s">
        <v>10802</v>
      </c>
      <c r="N345" s="11" t="s">
        <v>10803</v>
      </c>
      <c r="O345" s="11">
        <v>10.0</v>
      </c>
      <c r="P345" s="11" t="s">
        <v>10804</v>
      </c>
      <c r="Q345" s="11">
        <v>25.0</v>
      </c>
      <c r="R345" s="11" t="s">
        <v>10805</v>
      </c>
      <c r="S345" s="11">
        <v>10.0</v>
      </c>
      <c r="T345" s="11" t="s">
        <v>10806</v>
      </c>
      <c r="U345" s="11" t="s">
        <v>10807</v>
      </c>
      <c r="V345" s="11">
        <v>10.0</v>
      </c>
      <c r="W345" s="11" t="s">
        <v>10808</v>
      </c>
      <c r="X345" s="11">
        <v>25.0</v>
      </c>
      <c r="Y345" s="11" t="s">
        <v>6991</v>
      </c>
      <c r="Z345" s="11">
        <v>10.0</v>
      </c>
      <c r="AA345" s="19" t="s">
        <v>10809</v>
      </c>
      <c r="AB345" s="11"/>
      <c r="AC345" s="11" t="s">
        <v>10810</v>
      </c>
      <c r="AD345" s="13" t="s">
        <v>6994</v>
      </c>
      <c r="AE345" s="11"/>
      <c r="AF345" s="11">
        <f t="shared" ref="AF345:AF352" si="59">AE345+AB345+Z345+X345+V345+S345+Q345+O345</f>
        <v>90</v>
      </c>
      <c r="AG345" s="11" t="s">
        <v>10811</v>
      </c>
      <c r="AH345" s="11"/>
    </row>
    <row r="346" ht="15.75" customHeight="1">
      <c r="A346" s="11">
        <v>1.0</v>
      </c>
      <c r="B346" s="43" t="s">
        <v>10812</v>
      </c>
      <c r="C346" s="40" t="s">
        <v>7081</v>
      </c>
      <c r="D346" s="40" t="s">
        <v>10813</v>
      </c>
      <c r="E346" s="40" t="s">
        <v>4487</v>
      </c>
      <c r="F346" s="40" t="s">
        <v>4488</v>
      </c>
      <c r="G346" s="18" t="s">
        <v>10814</v>
      </c>
      <c r="H346" s="40" t="s">
        <v>7019</v>
      </c>
      <c r="I346" s="40" t="s">
        <v>4007</v>
      </c>
      <c r="J346" s="18">
        <v>9.582053146E9</v>
      </c>
      <c r="K346" s="40"/>
      <c r="L346" s="11" t="s">
        <v>7003</v>
      </c>
      <c r="M346" s="40" t="s">
        <v>10815</v>
      </c>
      <c r="N346" s="40" t="s">
        <v>10816</v>
      </c>
      <c r="O346" s="40"/>
      <c r="P346" s="40" t="s">
        <v>10817</v>
      </c>
      <c r="Q346" s="40"/>
      <c r="R346" s="40" t="s">
        <v>10818</v>
      </c>
      <c r="S346" s="40"/>
      <c r="T346" s="40" t="s">
        <v>10819</v>
      </c>
      <c r="U346" s="40" t="s">
        <v>10820</v>
      </c>
      <c r="V346" s="40"/>
      <c r="W346" s="40" t="s">
        <v>10821</v>
      </c>
      <c r="X346" s="40"/>
      <c r="Y346" s="40" t="s">
        <v>7027</v>
      </c>
      <c r="Z346" s="40"/>
      <c r="AA346" s="44" t="s">
        <v>10822</v>
      </c>
      <c r="AB346" s="40"/>
      <c r="AC346" s="40" t="s">
        <v>10823</v>
      </c>
      <c r="AD346" s="44" t="s">
        <v>6994</v>
      </c>
      <c r="AE346" s="40"/>
      <c r="AF346" s="40">
        <f t="shared" si="59"/>
        <v>0</v>
      </c>
      <c r="AG346" s="40" t="s">
        <v>10824</v>
      </c>
      <c r="AH346" s="40"/>
    </row>
    <row r="347" ht="15.75" customHeight="1">
      <c r="A347" s="11">
        <v>2.0</v>
      </c>
      <c r="B347" s="43" t="s">
        <v>10825</v>
      </c>
      <c r="C347" s="40" t="s">
        <v>7081</v>
      </c>
      <c r="D347" s="40" t="s">
        <v>10826</v>
      </c>
      <c r="E347" s="31" t="s">
        <v>526</v>
      </c>
      <c r="F347" s="31" t="s">
        <v>5633</v>
      </c>
      <c r="G347" s="40"/>
      <c r="H347" s="31" t="s">
        <v>26</v>
      </c>
      <c r="I347" s="31" t="s">
        <v>2025</v>
      </c>
      <c r="J347" s="31">
        <v>8.1303186E9</v>
      </c>
      <c r="K347" s="11" t="s">
        <v>6982</v>
      </c>
      <c r="L347" s="11" t="s">
        <v>6983</v>
      </c>
      <c r="M347" s="40" t="s">
        <v>10827</v>
      </c>
      <c r="N347" s="40" t="s">
        <v>10828</v>
      </c>
      <c r="O347" s="40"/>
      <c r="P347" s="40" t="s">
        <v>10829</v>
      </c>
      <c r="Q347" s="40"/>
      <c r="R347" s="40" t="s">
        <v>10830</v>
      </c>
      <c r="S347" s="40"/>
      <c r="T347" s="40" t="s">
        <v>10831</v>
      </c>
      <c r="U347" s="40" t="s">
        <v>10832</v>
      </c>
      <c r="V347" s="40"/>
      <c r="W347" s="40" t="s">
        <v>10833</v>
      </c>
      <c r="X347" s="40"/>
      <c r="Y347" s="40" t="s">
        <v>6991</v>
      </c>
      <c r="Z347" s="40"/>
      <c r="AA347" s="40" t="s">
        <v>7078</v>
      </c>
      <c r="AB347" s="40"/>
      <c r="AC347" s="40" t="s">
        <v>10834</v>
      </c>
      <c r="AD347" s="44" t="s">
        <v>6994</v>
      </c>
      <c r="AE347" s="40"/>
      <c r="AF347" s="40">
        <f t="shared" si="59"/>
        <v>0</v>
      </c>
      <c r="AG347" s="40" t="s">
        <v>10835</v>
      </c>
      <c r="AH347" s="40"/>
    </row>
    <row r="348" ht="15.75" customHeight="1">
      <c r="A348" s="11">
        <v>3.0</v>
      </c>
      <c r="B348" s="43" t="s">
        <v>10836</v>
      </c>
      <c r="C348" s="40" t="s">
        <v>7081</v>
      </c>
      <c r="D348" s="40" t="s">
        <v>10837</v>
      </c>
      <c r="E348" s="31" t="s">
        <v>4739</v>
      </c>
      <c r="F348" s="31" t="s">
        <v>4740</v>
      </c>
      <c r="G348" s="31" t="s">
        <v>4741</v>
      </c>
      <c r="H348" s="31" t="s">
        <v>14</v>
      </c>
      <c r="I348" s="31" t="s">
        <v>4742</v>
      </c>
      <c r="J348" s="31">
        <v>9.98513081E9</v>
      </c>
      <c r="K348" s="11" t="s">
        <v>6982</v>
      </c>
      <c r="L348" s="11" t="s">
        <v>6983</v>
      </c>
      <c r="M348" s="40" t="s">
        <v>10838</v>
      </c>
      <c r="N348" s="40" t="s">
        <v>10839</v>
      </c>
      <c r="O348" s="40"/>
      <c r="P348" s="40" t="s">
        <v>10840</v>
      </c>
      <c r="Q348" s="40"/>
      <c r="R348" s="40" t="s">
        <v>10841</v>
      </c>
      <c r="S348" s="40"/>
      <c r="T348" s="40" t="s">
        <v>10842</v>
      </c>
      <c r="U348" s="40" t="s">
        <v>10843</v>
      </c>
      <c r="V348" s="40"/>
      <c r="W348" s="40" t="s">
        <v>10844</v>
      </c>
      <c r="X348" s="40"/>
      <c r="Y348" s="40" t="s">
        <v>6991</v>
      </c>
      <c r="Z348" s="40"/>
      <c r="AA348" s="44" t="s">
        <v>10845</v>
      </c>
      <c r="AB348" s="40"/>
      <c r="AC348" s="40" t="s">
        <v>10846</v>
      </c>
      <c r="AD348" s="44" t="s">
        <v>6994</v>
      </c>
      <c r="AE348" s="40"/>
      <c r="AF348" s="40">
        <f t="shared" si="59"/>
        <v>0</v>
      </c>
      <c r="AG348" s="40" t="s">
        <v>10847</v>
      </c>
      <c r="AH348" s="40"/>
    </row>
    <row r="349" ht="15.75" customHeight="1">
      <c r="A349" s="11">
        <v>4.0</v>
      </c>
      <c r="B349" s="43" t="s">
        <v>10848</v>
      </c>
      <c r="C349" s="40" t="s">
        <v>7081</v>
      </c>
      <c r="D349" s="40" t="s">
        <v>10849</v>
      </c>
      <c r="E349" s="40" t="s">
        <v>10850</v>
      </c>
      <c r="F349" s="40" t="s">
        <v>4840</v>
      </c>
      <c r="G349" s="40"/>
      <c r="H349" s="40"/>
      <c r="I349" s="40"/>
      <c r="J349" s="40"/>
      <c r="K349" s="40"/>
      <c r="L349" s="11" t="s">
        <v>7003</v>
      </c>
      <c r="M349" s="40" t="s">
        <v>10851</v>
      </c>
      <c r="N349" s="40" t="s">
        <v>10852</v>
      </c>
      <c r="O349" s="40"/>
      <c r="P349" s="40" t="s">
        <v>10853</v>
      </c>
      <c r="Q349" s="40"/>
      <c r="R349" s="40" t="s">
        <v>10854</v>
      </c>
      <c r="S349" s="40"/>
      <c r="T349" s="40" t="s">
        <v>10855</v>
      </c>
      <c r="U349" s="40" t="s">
        <v>10856</v>
      </c>
      <c r="V349" s="40"/>
      <c r="W349" s="40" t="s">
        <v>10857</v>
      </c>
      <c r="X349" s="40"/>
      <c r="Y349" s="40" t="s">
        <v>6991</v>
      </c>
      <c r="Z349" s="40"/>
      <c r="AA349" s="44" t="s">
        <v>10858</v>
      </c>
      <c r="AB349" s="40"/>
      <c r="AC349" s="40" t="s">
        <v>10859</v>
      </c>
      <c r="AD349" s="44" t="s">
        <v>9108</v>
      </c>
      <c r="AE349" s="40"/>
      <c r="AF349" s="40">
        <f t="shared" si="59"/>
        <v>0</v>
      </c>
      <c r="AG349" s="40" t="s">
        <v>10860</v>
      </c>
      <c r="AH349" s="40"/>
    </row>
    <row r="350" ht="15.75" customHeight="1">
      <c r="A350" s="11">
        <v>5.0</v>
      </c>
      <c r="B350" s="43" t="s">
        <v>10861</v>
      </c>
      <c r="C350" s="40" t="s">
        <v>7081</v>
      </c>
      <c r="D350" s="40" t="s">
        <v>10862</v>
      </c>
      <c r="E350" s="31" t="s">
        <v>5389</v>
      </c>
      <c r="F350" s="31" t="s">
        <v>2297</v>
      </c>
      <c r="G350" s="31" t="s">
        <v>5390</v>
      </c>
      <c r="H350" s="31" t="s">
        <v>44</v>
      </c>
      <c r="I350" s="31" t="s">
        <v>5391</v>
      </c>
      <c r="J350" s="31" t="s">
        <v>10863</v>
      </c>
      <c r="K350" s="11" t="s">
        <v>6982</v>
      </c>
      <c r="L350" s="11" t="s">
        <v>6983</v>
      </c>
      <c r="M350" s="40" t="s">
        <v>10864</v>
      </c>
      <c r="N350" s="40" t="s">
        <v>10865</v>
      </c>
      <c r="O350" s="40"/>
      <c r="P350" s="40" t="s">
        <v>10866</v>
      </c>
      <c r="Q350" s="40"/>
      <c r="R350" s="40" t="s">
        <v>10867</v>
      </c>
      <c r="S350" s="40"/>
      <c r="T350" s="40" t="s">
        <v>10868</v>
      </c>
      <c r="U350" s="40" t="s">
        <v>10869</v>
      </c>
      <c r="V350" s="40"/>
      <c r="W350" s="40" t="s">
        <v>10870</v>
      </c>
      <c r="X350" s="40"/>
      <c r="Y350" s="40" t="s">
        <v>7027</v>
      </c>
      <c r="Z350" s="40"/>
      <c r="AA350" s="44" t="s">
        <v>10871</v>
      </c>
      <c r="AB350" s="40"/>
      <c r="AC350" s="40" t="s">
        <v>10872</v>
      </c>
      <c r="AD350" s="44" t="s">
        <v>6994</v>
      </c>
      <c r="AE350" s="40"/>
      <c r="AF350" s="40">
        <f t="shared" si="59"/>
        <v>0</v>
      </c>
      <c r="AG350" s="40" t="s">
        <v>10873</v>
      </c>
      <c r="AH350" s="40"/>
    </row>
    <row r="351" ht="15.75" customHeight="1">
      <c r="A351" s="11">
        <v>6.0</v>
      </c>
      <c r="B351" s="43" t="s">
        <v>10874</v>
      </c>
      <c r="C351" s="40" t="s">
        <v>7081</v>
      </c>
      <c r="D351" s="40" t="s">
        <v>10875</v>
      </c>
      <c r="E351" s="40" t="s">
        <v>74</v>
      </c>
      <c r="F351" s="40" t="s">
        <v>1732</v>
      </c>
      <c r="G351" s="40" t="s">
        <v>4551</v>
      </c>
      <c r="H351" s="40" t="s">
        <v>7184</v>
      </c>
      <c r="I351" s="40"/>
      <c r="J351" s="40"/>
      <c r="K351" s="11" t="s">
        <v>6982</v>
      </c>
      <c r="L351" s="11" t="s">
        <v>6983</v>
      </c>
      <c r="M351" s="40" t="s">
        <v>10876</v>
      </c>
      <c r="N351" s="40" t="s">
        <v>10877</v>
      </c>
      <c r="O351" s="40"/>
      <c r="P351" s="40" t="s">
        <v>10878</v>
      </c>
      <c r="Q351" s="40"/>
      <c r="R351" s="40" t="s">
        <v>10879</v>
      </c>
      <c r="S351" s="40"/>
      <c r="T351" s="40" t="s">
        <v>10880</v>
      </c>
      <c r="U351" s="40" t="s">
        <v>10881</v>
      </c>
      <c r="V351" s="40"/>
      <c r="W351" s="40" t="s">
        <v>10882</v>
      </c>
      <c r="X351" s="40"/>
      <c r="Y351" s="40" t="s">
        <v>6991</v>
      </c>
      <c r="Z351" s="40"/>
      <c r="AA351" s="40" t="s">
        <v>7078</v>
      </c>
      <c r="AB351" s="40"/>
      <c r="AC351" s="40" t="s">
        <v>10883</v>
      </c>
      <c r="AD351" s="44" t="s">
        <v>6994</v>
      </c>
      <c r="AE351" s="40"/>
      <c r="AF351" s="40">
        <f t="shared" si="59"/>
        <v>0</v>
      </c>
      <c r="AG351" s="40" t="s">
        <v>10884</v>
      </c>
      <c r="AH351" s="40"/>
    </row>
    <row r="352" ht="15.75" customHeight="1">
      <c r="A352" s="11">
        <v>7.0</v>
      </c>
      <c r="B352" s="43" t="s">
        <v>10885</v>
      </c>
      <c r="C352" s="40"/>
      <c r="D352" s="40" t="s">
        <v>10886</v>
      </c>
      <c r="E352" s="40" t="s">
        <v>5274</v>
      </c>
      <c r="F352" s="40" t="s">
        <v>251</v>
      </c>
      <c r="G352" s="40"/>
      <c r="H352" s="40"/>
      <c r="I352" s="40"/>
      <c r="J352" s="40"/>
      <c r="K352" s="40"/>
      <c r="L352" s="11" t="s">
        <v>7003</v>
      </c>
      <c r="M352" s="40" t="s">
        <v>10887</v>
      </c>
      <c r="N352" s="40" t="s">
        <v>10888</v>
      </c>
      <c r="O352" s="40"/>
      <c r="P352" s="40" t="s">
        <v>10889</v>
      </c>
      <c r="Q352" s="40"/>
      <c r="R352" s="40" t="s">
        <v>10890</v>
      </c>
      <c r="S352" s="40"/>
      <c r="T352" s="40" t="s">
        <v>10891</v>
      </c>
      <c r="U352" s="40" t="s">
        <v>10892</v>
      </c>
      <c r="V352" s="40"/>
      <c r="W352" s="40" t="s">
        <v>10893</v>
      </c>
      <c r="X352" s="40"/>
      <c r="Y352" s="40" t="s">
        <v>6991</v>
      </c>
      <c r="Z352" s="40"/>
      <c r="AA352" s="44" t="s">
        <v>10894</v>
      </c>
      <c r="AB352" s="40"/>
      <c r="AC352" s="40" t="s">
        <v>10895</v>
      </c>
      <c r="AD352" s="44" t="s">
        <v>6994</v>
      </c>
      <c r="AE352" s="40"/>
      <c r="AF352" s="40">
        <f t="shared" si="59"/>
        <v>0</v>
      </c>
      <c r="AG352" s="40"/>
      <c r="AH352" s="40"/>
    </row>
    <row r="353" ht="15.75" customHeight="1">
      <c r="A353" s="11">
        <v>8.0</v>
      </c>
      <c r="B353" s="43" t="s">
        <v>10896</v>
      </c>
      <c r="C353" s="40"/>
      <c r="D353" s="45" t="s">
        <v>10897</v>
      </c>
      <c r="E353" s="40" t="s">
        <v>2732</v>
      </c>
      <c r="F353" s="40" t="s">
        <v>512</v>
      </c>
      <c r="G353" s="40" t="s">
        <v>10898</v>
      </c>
      <c r="H353" s="40" t="s">
        <v>7019</v>
      </c>
      <c r="I353" s="40" t="s">
        <v>15</v>
      </c>
      <c r="J353" s="18">
        <v>9.37123866E9</v>
      </c>
      <c r="K353" s="40"/>
      <c r="L353" s="40" t="s">
        <v>7003</v>
      </c>
      <c r="M353" s="40" t="s">
        <v>10899</v>
      </c>
      <c r="N353" s="40" t="s">
        <v>10900</v>
      </c>
      <c r="O353" s="40"/>
      <c r="P353" s="40" t="s">
        <v>10901</v>
      </c>
      <c r="Q353" s="40"/>
      <c r="R353" s="40" t="s">
        <v>10902</v>
      </c>
      <c r="S353" s="40"/>
      <c r="T353" s="40" t="s">
        <v>10903</v>
      </c>
      <c r="U353" s="40" t="s">
        <v>10904</v>
      </c>
      <c r="V353" s="40"/>
      <c r="W353" s="40" t="s">
        <v>10905</v>
      </c>
      <c r="X353" s="40"/>
      <c r="Y353" s="40" t="s">
        <v>7027</v>
      </c>
      <c r="Z353" s="40"/>
      <c r="AA353" s="44" t="s">
        <v>10906</v>
      </c>
      <c r="AB353" s="40"/>
      <c r="AC353" s="40" t="s">
        <v>10907</v>
      </c>
      <c r="AD353" s="44" t="s">
        <v>6994</v>
      </c>
      <c r="AE353" s="40"/>
      <c r="AF353" s="40">
        <f>AB353+Z353+X353+V353+S353+Q353+O353</f>
        <v>0</v>
      </c>
      <c r="AG353" s="40" t="s">
        <v>10908</v>
      </c>
      <c r="AH353" s="40"/>
    </row>
    <row r="354" ht="15.75" customHeight="1">
      <c r="A354" s="11">
        <v>9.0</v>
      </c>
      <c r="B354" s="43" t="s">
        <v>10909</v>
      </c>
      <c r="C354" s="40" t="s">
        <v>7081</v>
      </c>
      <c r="D354" s="40" t="s">
        <v>10910</v>
      </c>
      <c r="E354" s="31" t="s">
        <v>1562</v>
      </c>
      <c r="F354" s="31" t="s">
        <v>1867</v>
      </c>
      <c r="G354" s="31" t="s">
        <v>4329</v>
      </c>
      <c r="H354" s="31" t="s">
        <v>9</v>
      </c>
      <c r="I354" s="31" t="s">
        <v>4400</v>
      </c>
      <c r="J354" s="31">
        <v>9.870528378E9</v>
      </c>
      <c r="K354" s="11" t="s">
        <v>6982</v>
      </c>
      <c r="L354" s="11" t="s">
        <v>6983</v>
      </c>
      <c r="M354" s="40" t="s">
        <v>10911</v>
      </c>
      <c r="N354" s="40" t="s">
        <v>10912</v>
      </c>
      <c r="O354" s="40"/>
      <c r="P354" s="40" t="s">
        <v>10913</v>
      </c>
      <c r="Q354" s="40"/>
      <c r="R354" s="40" t="s">
        <v>10914</v>
      </c>
      <c r="S354" s="40"/>
      <c r="T354" s="40" t="s">
        <v>10915</v>
      </c>
      <c r="U354" s="40" t="s">
        <v>10916</v>
      </c>
      <c r="V354" s="40"/>
      <c r="W354" s="40" t="s">
        <v>10917</v>
      </c>
      <c r="X354" s="40"/>
      <c r="Y354" s="40" t="s">
        <v>6991</v>
      </c>
      <c r="Z354" s="40"/>
      <c r="AA354" s="40" t="s">
        <v>7078</v>
      </c>
      <c r="AB354" s="40"/>
      <c r="AC354" s="40" t="s">
        <v>10918</v>
      </c>
      <c r="AD354" s="44" t="s">
        <v>6994</v>
      </c>
      <c r="AE354" s="40"/>
      <c r="AF354" s="40">
        <f t="shared" ref="AF354:AF355" si="60">AE354+AB354+Z354+X354+V354+S354+Q354+O354</f>
        <v>0</v>
      </c>
      <c r="AG354" s="40" t="s">
        <v>10919</v>
      </c>
      <c r="AH354" s="40"/>
    </row>
    <row r="355" ht="15.75" customHeight="1">
      <c r="A355" s="11">
        <v>10.0</v>
      </c>
      <c r="B355" s="43" t="s">
        <v>10920</v>
      </c>
      <c r="C355" s="40"/>
      <c r="D355" s="40" t="s">
        <v>10921</v>
      </c>
      <c r="E355" s="21" t="s">
        <v>4722</v>
      </c>
      <c r="F355" s="21" t="s">
        <v>3780</v>
      </c>
      <c r="G355" s="21" t="s">
        <v>4635</v>
      </c>
      <c r="H355" s="21" t="s">
        <v>44</v>
      </c>
      <c r="I355" s="21" t="s">
        <v>4636</v>
      </c>
      <c r="J355" s="21">
        <v>9.937586404E9</v>
      </c>
      <c r="K355" s="40"/>
      <c r="L355" s="11" t="s">
        <v>7003</v>
      </c>
      <c r="M355" s="40" t="s">
        <v>10922</v>
      </c>
      <c r="N355" s="40" t="s">
        <v>10923</v>
      </c>
      <c r="O355" s="40"/>
      <c r="P355" s="40" t="s">
        <v>10924</v>
      </c>
      <c r="Q355" s="40"/>
      <c r="R355" s="40" t="s">
        <v>10925</v>
      </c>
      <c r="S355" s="40"/>
      <c r="T355" s="40" t="s">
        <v>10926</v>
      </c>
      <c r="U355" s="40" t="s">
        <v>10927</v>
      </c>
      <c r="V355" s="40"/>
      <c r="W355" s="40" t="s">
        <v>10928</v>
      </c>
      <c r="X355" s="40"/>
      <c r="Y355" s="40" t="s">
        <v>7055</v>
      </c>
      <c r="Z355" s="40"/>
      <c r="AA355" s="40" t="s">
        <v>7078</v>
      </c>
      <c r="AB355" s="40"/>
      <c r="AC355" s="40" t="s">
        <v>10929</v>
      </c>
      <c r="AD355" s="44" t="s">
        <v>6994</v>
      </c>
      <c r="AE355" s="40"/>
      <c r="AF355" s="40">
        <f t="shared" si="60"/>
        <v>0</v>
      </c>
      <c r="AG355" s="40" t="s">
        <v>10930</v>
      </c>
      <c r="AH355" s="40"/>
    </row>
    <row r="356" ht="15.75" customHeight="1">
      <c r="A356" s="11">
        <v>11.0</v>
      </c>
      <c r="B356" s="43" t="s">
        <v>10931</v>
      </c>
      <c r="C356" s="40"/>
      <c r="D356" s="40" t="s">
        <v>10932</v>
      </c>
      <c r="E356" s="21" t="s">
        <v>4514</v>
      </c>
      <c r="F356" s="21" t="s">
        <v>4515</v>
      </c>
      <c r="G356" s="21" t="s">
        <v>4516</v>
      </c>
      <c r="H356" s="21" t="s">
        <v>29</v>
      </c>
      <c r="I356" s="21" t="s">
        <v>4517</v>
      </c>
      <c r="J356" s="40"/>
      <c r="K356" s="40"/>
      <c r="L356" s="11" t="s">
        <v>7003</v>
      </c>
      <c r="M356" s="40" t="s">
        <v>10933</v>
      </c>
      <c r="N356" s="40" t="s">
        <v>10934</v>
      </c>
      <c r="O356" s="40"/>
      <c r="P356" s="40" t="s">
        <v>10935</v>
      </c>
      <c r="Q356" s="40"/>
      <c r="R356" s="40" t="s">
        <v>10936</v>
      </c>
      <c r="S356" s="40"/>
      <c r="T356" s="40" t="s">
        <v>10937</v>
      </c>
      <c r="U356" s="40" t="s">
        <v>10938</v>
      </c>
      <c r="V356" s="40"/>
      <c r="W356" s="40" t="s">
        <v>10939</v>
      </c>
      <c r="X356" s="40"/>
      <c r="Y356" s="40" t="s">
        <v>7193</v>
      </c>
      <c r="Z356" s="40"/>
      <c r="AA356" s="44" t="s">
        <v>10940</v>
      </c>
      <c r="AB356" s="40"/>
      <c r="AC356" s="40" t="s">
        <v>10941</v>
      </c>
      <c r="AD356" s="44" t="s">
        <v>6994</v>
      </c>
      <c r="AE356" s="40"/>
      <c r="AF356" s="40">
        <f t="shared" ref="AF356:AF367" si="61">AB356+Z356+X356+V356+S356+Q356+O356</f>
        <v>0</v>
      </c>
      <c r="AG356" s="40" t="s">
        <v>10908</v>
      </c>
      <c r="AH356" s="40"/>
    </row>
    <row r="357" ht="15.75" customHeight="1">
      <c r="A357" s="11">
        <v>12.0</v>
      </c>
      <c r="B357" s="43" t="s">
        <v>10942</v>
      </c>
      <c r="C357" s="40"/>
      <c r="D357" s="40" t="s">
        <v>10943</v>
      </c>
      <c r="E357" s="40" t="s">
        <v>5700</v>
      </c>
      <c r="F357" s="40" t="s">
        <v>112</v>
      </c>
      <c r="G357" s="40" t="s">
        <v>4371</v>
      </c>
      <c r="H357" s="40" t="s">
        <v>7184</v>
      </c>
      <c r="I357" s="40" t="s">
        <v>4381</v>
      </c>
      <c r="J357" s="40"/>
      <c r="K357" s="11" t="s">
        <v>7376</v>
      </c>
      <c r="L357" s="11" t="s">
        <v>7003</v>
      </c>
      <c r="M357" s="40" t="s">
        <v>10944</v>
      </c>
      <c r="N357" s="40" t="s">
        <v>10945</v>
      </c>
      <c r="O357" s="40"/>
      <c r="P357" s="40" t="s">
        <v>10946</v>
      </c>
      <c r="Q357" s="40"/>
      <c r="R357" s="40" t="s">
        <v>10947</v>
      </c>
      <c r="S357" s="40"/>
      <c r="T357" s="40" t="s">
        <v>10948</v>
      </c>
      <c r="U357" s="40" t="s">
        <v>10949</v>
      </c>
      <c r="V357" s="40"/>
      <c r="W357" s="40" t="s">
        <v>10950</v>
      </c>
      <c r="X357" s="40"/>
      <c r="Y357" s="40" t="s">
        <v>7027</v>
      </c>
      <c r="Z357" s="40"/>
      <c r="AA357" s="40" t="s">
        <v>7078</v>
      </c>
      <c r="AB357" s="40"/>
      <c r="AC357" s="40" t="s">
        <v>10951</v>
      </c>
      <c r="AD357" s="44" t="s">
        <v>6994</v>
      </c>
      <c r="AE357" s="40"/>
      <c r="AF357" s="40">
        <f t="shared" si="61"/>
        <v>0</v>
      </c>
      <c r="AG357" s="40" t="s">
        <v>10952</v>
      </c>
      <c r="AH357" s="40"/>
    </row>
    <row r="358" ht="15.75" customHeight="1">
      <c r="A358" s="11">
        <v>13.0</v>
      </c>
      <c r="B358" s="43" t="s">
        <v>10953</v>
      </c>
      <c r="C358" s="40"/>
      <c r="D358" s="46" t="s">
        <v>10954</v>
      </c>
      <c r="E358" s="40"/>
      <c r="F358" s="40"/>
      <c r="G358" s="40"/>
      <c r="H358" s="40"/>
      <c r="I358" s="40"/>
      <c r="J358" s="40"/>
      <c r="K358" s="40"/>
      <c r="L358" s="11" t="s">
        <v>7003</v>
      </c>
      <c r="M358" s="40" t="s">
        <v>10955</v>
      </c>
      <c r="N358" s="40" t="s">
        <v>10956</v>
      </c>
      <c r="O358" s="40"/>
      <c r="P358" s="40" t="s">
        <v>10957</v>
      </c>
      <c r="Q358" s="40"/>
      <c r="R358" s="40" t="s">
        <v>10958</v>
      </c>
      <c r="S358" s="40"/>
      <c r="T358" s="40" t="s">
        <v>10956</v>
      </c>
      <c r="U358" s="40" t="s">
        <v>10959</v>
      </c>
      <c r="V358" s="40"/>
      <c r="W358" s="40" t="s">
        <v>10959</v>
      </c>
      <c r="X358" s="40"/>
      <c r="Y358" s="40" t="s">
        <v>6991</v>
      </c>
      <c r="Z358" s="40"/>
      <c r="AA358" s="40" t="s">
        <v>7078</v>
      </c>
      <c r="AB358" s="40"/>
      <c r="AC358" s="40" t="s">
        <v>10960</v>
      </c>
      <c r="AD358" s="44" t="s">
        <v>7282</v>
      </c>
      <c r="AE358" s="40"/>
      <c r="AF358" s="40">
        <f t="shared" si="61"/>
        <v>0</v>
      </c>
      <c r="AG358" s="40" t="s">
        <v>10961</v>
      </c>
      <c r="AH358" s="40"/>
    </row>
    <row r="359" ht="15.75" customHeight="1">
      <c r="A359" s="11">
        <v>15.0</v>
      </c>
      <c r="B359" s="43" t="s">
        <v>10962</v>
      </c>
      <c r="C359" s="40"/>
      <c r="D359" s="40" t="s">
        <v>10963</v>
      </c>
      <c r="E359" s="21" t="s">
        <v>6638</v>
      </c>
      <c r="F359" s="21" t="s">
        <v>3511</v>
      </c>
      <c r="G359" s="21" t="s">
        <v>6402</v>
      </c>
      <c r="H359" s="21" t="s">
        <v>14</v>
      </c>
      <c r="I359" s="21" t="s">
        <v>6637</v>
      </c>
      <c r="J359" s="40"/>
      <c r="K359" s="11" t="s">
        <v>6982</v>
      </c>
      <c r="L359" s="11" t="s">
        <v>6983</v>
      </c>
      <c r="M359" s="40" t="s">
        <v>10964</v>
      </c>
      <c r="N359" s="40" t="s">
        <v>10965</v>
      </c>
      <c r="O359" s="40"/>
      <c r="P359" s="40" t="s">
        <v>10966</v>
      </c>
      <c r="Q359" s="40"/>
      <c r="R359" s="40" t="s">
        <v>10967</v>
      </c>
      <c r="S359" s="40"/>
      <c r="T359" s="40" t="s">
        <v>10968</v>
      </c>
      <c r="U359" s="40" t="s">
        <v>10969</v>
      </c>
      <c r="V359" s="40"/>
      <c r="W359" s="40" t="s">
        <v>10970</v>
      </c>
      <c r="X359" s="40"/>
      <c r="Y359" s="40" t="s">
        <v>6991</v>
      </c>
      <c r="Z359" s="40"/>
      <c r="AA359" s="40" t="s">
        <v>7078</v>
      </c>
      <c r="AB359" s="40"/>
      <c r="AC359" s="40" t="s">
        <v>10971</v>
      </c>
      <c r="AD359" s="44" t="s">
        <v>6994</v>
      </c>
      <c r="AE359" s="40"/>
      <c r="AF359" s="40">
        <f t="shared" si="61"/>
        <v>0</v>
      </c>
      <c r="AG359" s="40" t="s">
        <v>8235</v>
      </c>
      <c r="AH359" s="40"/>
    </row>
    <row r="360" ht="15.75" customHeight="1">
      <c r="A360" s="11">
        <v>16.0</v>
      </c>
      <c r="B360" s="43" t="s">
        <v>10972</v>
      </c>
      <c r="C360" s="40"/>
      <c r="D360" s="40" t="s">
        <v>10973</v>
      </c>
      <c r="E360" s="31" t="s">
        <v>5084</v>
      </c>
      <c r="F360" s="31" t="s">
        <v>1218</v>
      </c>
      <c r="G360" s="31" t="s">
        <v>5085</v>
      </c>
      <c r="H360" s="31" t="s">
        <v>14</v>
      </c>
      <c r="I360" s="31" t="s">
        <v>4927</v>
      </c>
      <c r="J360" s="31">
        <v>9.968401777E9</v>
      </c>
      <c r="K360" s="11" t="s">
        <v>6982</v>
      </c>
      <c r="L360" s="11" t="s">
        <v>6983</v>
      </c>
      <c r="M360" s="40" t="s">
        <v>10974</v>
      </c>
      <c r="N360" s="40" t="s">
        <v>10974</v>
      </c>
      <c r="O360" s="40">
        <v>0.0</v>
      </c>
      <c r="P360" s="40" t="s">
        <v>10974</v>
      </c>
      <c r="Q360" s="40">
        <v>0.0</v>
      </c>
      <c r="R360" s="40" t="s">
        <v>10974</v>
      </c>
      <c r="S360" s="40">
        <v>0.0</v>
      </c>
      <c r="T360" s="40" t="s">
        <v>10974</v>
      </c>
      <c r="U360" s="40" t="s">
        <v>10974</v>
      </c>
      <c r="V360" s="40">
        <v>0.0</v>
      </c>
      <c r="W360" s="40" t="s">
        <v>10974</v>
      </c>
      <c r="X360" s="40">
        <v>0.0</v>
      </c>
      <c r="Y360" s="40" t="s">
        <v>6991</v>
      </c>
      <c r="Z360" s="40">
        <v>0.0</v>
      </c>
      <c r="AA360" s="40" t="s">
        <v>7078</v>
      </c>
      <c r="AB360" s="40">
        <v>0.0</v>
      </c>
      <c r="AC360" s="40" t="s">
        <v>10975</v>
      </c>
      <c r="AD360" s="44" t="s">
        <v>6994</v>
      </c>
      <c r="AE360" s="40"/>
      <c r="AF360" s="40">
        <f t="shared" si="61"/>
        <v>0</v>
      </c>
      <c r="AG360" s="40"/>
      <c r="AH360" s="40"/>
    </row>
    <row r="361" ht="15.75" customHeight="1">
      <c r="A361" s="11">
        <v>17.0</v>
      </c>
      <c r="B361" s="43" t="s">
        <v>10976</v>
      </c>
      <c r="C361" s="40"/>
      <c r="D361" s="46" t="s">
        <v>10977</v>
      </c>
      <c r="E361" s="40"/>
      <c r="F361" s="40"/>
      <c r="G361" s="40"/>
      <c r="H361" s="40"/>
      <c r="I361" s="40"/>
      <c r="J361" s="40"/>
      <c r="K361" s="40"/>
      <c r="L361" s="11" t="s">
        <v>7003</v>
      </c>
      <c r="M361" s="40" t="s">
        <v>10978</v>
      </c>
      <c r="N361" s="40" t="s">
        <v>10979</v>
      </c>
      <c r="O361" s="40"/>
      <c r="P361" s="40" t="s">
        <v>10980</v>
      </c>
      <c r="Q361" s="40"/>
      <c r="R361" s="40" t="s">
        <v>10981</v>
      </c>
      <c r="S361" s="40"/>
      <c r="T361" s="40" t="s">
        <v>10982</v>
      </c>
      <c r="U361" s="40" t="s">
        <v>10983</v>
      </c>
      <c r="V361" s="40"/>
      <c r="W361" s="40" t="s">
        <v>10984</v>
      </c>
      <c r="X361" s="40"/>
      <c r="Y361" s="40" t="s">
        <v>6991</v>
      </c>
      <c r="Z361" s="40"/>
      <c r="AA361" s="40" t="s">
        <v>7078</v>
      </c>
      <c r="AB361" s="40"/>
      <c r="AC361" s="40" t="s">
        <v>10985</v>
      </c>
      <c r="AD361" s="44" t="s">
        <v>7282</v>
      </c>
      <c r="AE361" s="40"/>
      <c r="AF361" s="40">
        <f t="shared" si="61"/>
        <v>0</v>
      </c>
      <c r="AG361" s="40" t="s">
        <v>10986</v>
      </c>
      <c r="AH361" s="40"/>
    </row>
    <row r="362" ht="15.75" customHeight="1">
      <c r="A362" s="11">
        <v>18.0</v>
      </c>
      <c r="B362" s="43" t="s">
        <v>10987</v>
      </c>
      <c r="C362" s="40"/>
      <c r="D362" s="40" t="s">
        <v>10988</v>
      </c>
      <c r="E362" s="31" t="s">
        <v>5111</v>
      </c>
      <c r="F362" s="31" t="s">
        <v>5112</v>
      </c>
      <c r="G362" s="31" t="s">
        <v>5113</v>
      </c>
      <c r="H362" s="31" t="s">
        <v>56</v>
      </c>
      <c r="I362" s="31" t="s">
        <v>4276</v>
      </c>
      <c r="J362" s="31">
        <v>9.515563484E9</v>
      </c>
      <c r="K362" s="11" t="s">
        <v>6982</v>
      </c>
      <c r="L362" s="11" t="s">
        <v>6983</v>
      </c>
      <c r="M362" s="40" t="s">
        <v>10989</v>
      </c>
      <c r="N362" s="40" t="s">
        <v>10989</v>
      </c>
      <c r="O362" s="40"/>
      <c r="P362" s="40" t="s">
        <v>10989</v>
      </c>
      <c r="Q362" s="40"/>
      <c r="R362" s="40" t="s">
        <v>10989</v>
      </c>
      <c r="S362" s="40"/>
      <c r="T362" s="40" t="s">
        <v>10989</v>
      </c>
      <c r="U362" s="40" t="s">
        <v>10989</v>
      </c>
      <c r="V362" s="40"/>
      <c r="W362" s="40" t="s">
        <v>10989</v>
      </c>
      <c r="X362" s="40"/>
      <c r="Y362" s="40" t="s">
        <v>6991</v>
      </c>
      <c r="Z362" s="40"/>
      <c r="AA362" s="44" t="s">
        <v>10990</v>
      </c>
      <c r="AB362" s="40"/>
      <c r="AC362" s="40" t="s">
        <v>10991</v>
      </c>
      <c r="AD362" s="44" t="s">
        <v>6994</v>
      </c>
      <c r="AE362" s="40"/>
      <c r="AF362" s="40">
        <f t="shared" si="61"/>
        <v>0</v>
      </c>
      <c r="AG362" s="40" t="s">
        <v>10992</v>
      </c>
      <c r="AH362" s="40"/>
    </row>
    <row r="363" ht="15.75" customHeight="1">
      <c r="A363" s="11">
        <v>19.0</v>
      </c>
      <c r="B363" s="43" t="s">
        <v>10993</v>
      </c>
      <c r="C363" s="40"/>
      <c r="D363" s="40" t="s">
        <v>10994</v>
      </c>
      <c r="E363" s="40" t="s">
        <v>10995</v>
      </c>
      <c r="F363" s="40" t="s">
        <v>112</v>
      </c>
      <c r="G363" s="40" t="s">
        <v>4371</v>
      </c>
      <c r="H363" s="40" t="s">
        <v>10996</v>
      </c>
      <c r="I363" s="40" t="s">
        <v>4381</v>
      </c>
      <c r="J363" s="40"/>
      <c r="K363" s="11" t="s">
        <v>7376</v>
      </c>
      <c r="L363" s="11" t="s">
        <v>7003</v>
      </c>
      <c r="M363" s="40" t="s">
        <v>10997</v>
      </c>
      <c r="N363" s="40" t="s">
        <v>10998</v>
      </c>
      <c r="O363" s="40"/>
      <c r="P363" s="40" t="s">
        <v>10999</v>
      </c>
      <c r="Q363" s="40"/>
      <c r="R363" s="40" t="s">
        <v>11000</v>
      </c>
      <c r="S363" s="40"/>
      <c r="T363" s="40" t="s">
        <v>11001</v>
      </c>
      <c r="U363" s="40" t="s">
        <v>11002</v>
      </c>
      <c r="V363" s="40"/>
      <c r="W363" s="40" t="s">
        <v>11003</v>
      </c>
      <c r="X363" s="40"/>
      <c r="Y363" s="40" t="s">
        <v>7027</v>
      </c>
      <c r="Z363" s="40"/>
      <c r="AA363" s="40" t="s">
        <v>7078</v>
      </c>
      <c r="AB363" s="40"/>
      <c r="AC363" s="40" t="s">
        <v>11004</v>
      </c>
      <c r="AD363" s="44" t="s">
        <v>6994</v>
      </c>
      <c r="AE363" s="40"/>
      <c r="AF363" s="40">
        <f t="shared" si="61"/>
        <v>0</v>
      </c>
      <c r="AG363" s="40" t="s">
        <v>8235</v>
      </c>
      <c r="AH363" s="40"/>
    </row>
    <row r="364" ht="15.75" customHeight="1">
      <c r="A364" s="11">
        <v>20.0</v>
      </c>
      <c r="B364" s="43" t="s">
        <v>11005</v>
      </c>
      <c r="C364" s="40"/>
      <c r="D364" s="40" t="s">
        <v>11006</v>
      </c>
      <c r="E364" s="21" t="s">
        <v>4370</v>
      </c>
      <c r="F364" s="21" t="s">
        <v>715</v>
      </c>
      <c r="G364" s="21" t="s">
        <v>4371</v>
      </c>
      <c r="H364" s="21" t="s">
        <v>9</v>
      </c>
      <c r="I364" s="21" t="s">
        <v>4369</v>
      </c>
      <c r="J364" s="31">
        <v>7.908981033E9</v>
      </c>
      <c r="K364" s="11" t="s">
        <v>7376</v>
      </c>
      <c r="L364" s="11" t="s">
        <v>7003</v>
      </c>
      <c r="M364" s="40" t="s">
        <v>11007</v>
      </c>
      <c r="N364" s="40" t="s">
        <v>11008</v>
      </c>
      <c r="O364" s="40"/>
      <c r="P364" s="40" t="s">
        <v>11009</v>
      </c>
      <c r="Q364" s="40"/>
      <c r="R364" s="40" t="s">
        <v>11010</v>
      </c>
      <c r="S364" s="40"/>
      <c r="T364" s="40" t="s">
        <v>11011</v>
      </c>
      <c r="U364" s="40" t="s">
        <v>11012</v>
      </c>
      <c r="V364" s="40"/>
      <c r="W364" s="40" t="s">
        <v>11013</v>
      </c>
      <c r="X364" s="40"/>
      <c r="Y364" s="40" t="s">
        <v>6991</v>
      </c>
      <c r="Z364" s="40"/>
      <c r="AA364" s="44" t="s">
        <v>11014</v>
      </c>
      <c r="AB364" s="40"/>
      <c r="AC364" s="40" t="s">
        <v>11015</v>
      </c>
      <c r="AD364" s="44" t="s">
        <v>6994</v>
      </c>
      <c r="AE364" s="40"/>
      <c r="AF364" s="40">
        <f t="shared" si="61"/>
        <v>0</v>
      </c>
      <c r="AG364" s="40" t="s">
        <v>10908</v>
      </c>
      <c r="AH364" s="40"/>
    </row>
    <row r="365" ht="15.75" customHeight="1">
      <c r="A365" s="11">
        <v>21.0</v>
      </c>
      <c r="B365" s="43" t="s">
        <v>11016</v>
      </c>
      <c r="C365" s="40"/>
      <c r="D365" s="40" t="s">
        <v>11017</v>
      </c>
      <c r="E365" s="21" t="s">
        <v>5194</v>
      </c>
      <c r="F365" s="21" t="s">
        <v>5195</v>
      </c>
      <c r="G365" s="21" t="s">
        <v>4561</v>
      </c>
      <c r="H365" s="21" t="s">
        <v>44</v>
      </c>
      <c r="I365" s="21" t="s">
        <v>4276</v>
      </c>
      <c r="J365" s="31">
        <v>9.160258563E9</v>
      </c>
      <c r="K365" s="11" t="s">
        <v>6982</v>
      </c>
      <c r="L365" s="11" t="s">
        <v>6983</v>
      </c>
      <c r="M365" s="40" t="s">
        <v>8533</v>
      </c>
      <c r="N365" s="40" t="s">
        <v>11018</v>
      </c>
      <c r="O365" s="40"/>
      <c r="P365" s="40" t="s">
        <v>11019</v>
      </c>
      <c r="Q365" s="40"/>
      <c r="R365" s="40" t="s">
        <v>11020</v>
      </c>
      <c r="S365" s="40"/>
      <c r="T365" s="40" t="s">
        <v>11021</v>
      </c>
      <c r="U365" s="40" t="s">
        <v>11022</v>
      </c>
      <c r="V365" s="40"/>
      <c r="W365" s="40" t="s">
        <v>11023</v>
      </c>
      <c r="X365" s="40"/>
      <c r="Y365" s="40" t="s">
        <v>6991</v>
      </c>
      <c r="Z365" s="40"/>
      <c r="AA365" s="44" t="s">
        <v>11024</v>
      </c>
      <c r="AB365" s="40"/>
      <c r="AC365" s="40" t="s">
        <v>11025</v>
      </c>
      <c r="AD365" s="44" t="s">
        <v>9108</v>
      </c>
      <c r="AE365" s="40"/>
      <c r="AF365" s="40">
        <f t="shared" si="61"/>
        <v>0</v>
      </c>
      <c r="AG365" s="40" t="s">
        <v>10992</v>
      </c>
      <c r="AH365" s="40"/>
    </row>
    <row r="366" ht="15.75" customHeight="1">
      <c r="A366" s="11">
        <v>22.0</v>
      </c>
      <c r="B366" s="43" t="s">
        <v>11026</v>
      </c>
      <c r="C366" s="40"/>
      <c r="D366" s="45" t="s">
        <v>11027</v>
      </c>
      <c r="E366" s="40"/>
      <c r="F366" s="40"/>
      <c r="G366" s="40"/>
      <c r="H366" s="40"/>
      <c r="I366" s="40"/>
      <c r="J366" s="40"/>
      <c r="K366" s="40"/>
      <c r="L366" s="11" t="s">
        <v>7003</v>
      </c>
      <c r="M366" s="40" t="s">
        <v>11028</v>
      </c>
      <c r="N366" s="40" t="s">
        <v>11029</v>
      </c>
      <c r="O366" s="40"/>
      <c r="P366" s="40" t="s">
        <v>11030</v>
      </c>
      <c r="Q366" s="40"/>
      <c r="R366" s="40" t="s">
        <v>11031</v>
      </c>
      <c r="S366" s="40"/>
      <c r="T366" s="40" t="s">
        <v>11032</v>
      </c>
      <c r="U366" s="40" t="s">
        <v>11033</v>
      </c>
      <c r="V366" s="40"/>
      <c r="W366" s="40" t="s">
        <v>11034</v>
      </c>
      <c r="X366" s="40"/>
      <c r="Y366" s="40" t="s">
        <v>6991</v>
      </c>
      <c r="Z366" s="40"/>
      <c r="AA366" s="40" t="s">
        <v>7078</v>
      </c>
      <c r="AB366" s="40"/>
      <c r="AC366" s="40" t="s">
        <v>11035</v>
      </c>
      <c r="AD366" s="44" t="s">
        <v>6994</v>
      </c>
      <c r="AE366" s="40"/>
      <c r="AF366" s="40">
        <f t="shared" si="61"/>
        <v>0</v>
      </c>
      <c r="AG366" s="40" t="s">
        <v>8235</v>
      </c>
      <c r="AH366" s="40"/>
    </row>
    <row r="367" ht="15.75" customHeight="1">
      <c r="A367" s="11">
        <v>23.0</v>
      </c>
      <c r="B367" s="43" t="s">
        <v>11036</v>
      </c>
      <c r="C367" s="40"/>
      <c r="D367" s="40" t="s">
        <v>11037</v>
      </c>
      <c r="E367" s="21" t="s">
        <v>4871</v>
      </c>
      <c r="F367" s="21" t="s">
        <v>308</v>
      </c>
      <c r="G367" s="21" t="s">
        <v>5300</v>
      </c>
      <c r="H367" s="21" t="s">
        <v>44</v>
      </c>
      <c r="I367" s="21" t="s">
        <v>1102</v>
      </c>
      <c r="J367" s="31">
        <v>8.929459006E9</v>
      </c>
      <c r="K367" s="11" t="s">
        <v>6982</v>
      </c>
      <c r="L367" s="11" t="s">
        <v>6983</v>
      </c>
      <c r="M367" s="40" t="s">
        <v>11038</v>
      </c>
      <c r="N367" s="40" t="s">
        <v>11039</v>
      </c>
      <c r="O367" s="40"/>
      <c r="P367" s="40" t="s">
        <v>11040</v>
      </c>
      <c r="Q367" s="40"/>
      <c r="R367" s="40" t="s">
        <v>8229</v>
      </c>
      <c r="S367" s="40"/>
      <c r="T367" s="40" t="s">
        <v>11041</v>
      </c>
      <c r="U367" s="40" t="s">
        <v>11042</v>
      </c>
      <c r="V367" s="40"/>
      <c r="W367" s="40" t="s">
        <v>11043</v>
      </c>
      <c r="X367" s="40"/>
      <c r="Y367" s="40" t="s">
        <v>6991</v>
      </c>
      <c r="Z367" s="40"/>
      <c r="AA367" s="40" t="s">
        <v>11044</v>
      </c>
      <c r="AB367" s="40"/>
      <c r="AC367" s="40" t="s">
        <v>11045</v>
      </c>
      <c r="AD367" s="44" t="s">
        <v>6994</v>
      </c>
      <c r="AE367" s="40"/>
      <c r="AF367" s="40">
        <f t="shared" si="61"/>
        <v>0</v>
      </c>
      <c r="AG367" s="40" t="s">
        <v>8235</v>
      </c>
      <c r="AH367" s="40"/>
    </row>
    <row r="368" ht="15.75" customHeight="1">
      <c r="A368" s="11">
        <v>24.0</v>
      </c>
      <c r="B368" s="43" t="s">
        <v>11046</v>
      </c>
      <c r="C368" s="40"/>
      <c r="D368" s="40" t="s">
        <v>11047</v>
      </c>
      <c r="E368" s="40" t="s">
        <v>11048</v>
      </c>
      <c r="F368" s="40" t="s">
        <v>11049</v>
      </c>
      <c r="G368" s="40"/>
      <c r="H368" s="40"/>
      <c r="I368" s="40"/>
      <c r="J368" s="40"/>
      <c r="K368" s="40"/>
      <c r="L368" s="11" t="s">
        <v>7003</v>
      </c>
      <c r="M368" s="47" t="s">
        <v>11050</v>
      </c>
      <c r="N368" s="40" t="s">
        <v>11051</v>
      </c>
      <c r="O368" s="40"/>
      <c r="P368" s="40" t="s">
        <v>11052</v>
      </c>
      <c r="Q368" s="40"/>
      <c r="R368" s="40" t="s">
        <v>11053</v>
      </c>
      <c r="S368" s="40"/>
      <c r="T368" s="40" t="s">
        <v>11054</v>
      </c>
      <c r="U368" s="40" t="s">
        <v>11055</v>
      </c>
      <c r="V368" s="40"/>
      <c r="W368" s="40" t="s">
        <v>11056</v>
      </c>
      <c r="X368" s="40"/>
      <c r="Y368" s="40" t="s">
        <v>6991</v>
      </c>
      <c r="Z368" s="40"/>
      <c r="AA368" s="40" t="s">
        <v>7078</v>
      </c>
      <c r="AB368" s="40">
        <v>0.0</v>
      </c>
      <c r="AC368" s="40" t="s">
        <v>11057</v>
      </c>
      <c r="AD368" s="44" t="s">
        <v>6994</v>
      </c>
      <c r="AE368" s="40"/>
      <c r="AF368" s="40">
        <f>AE368+AB368+Z368+X368+V368+S368+Q368+O368</f>
        <v>0</v>
      </c>
      <c r="AG368" s="40" t="s">
        <v>11058</v>
      </c>
      <c r="AH368" s="40"/>
    </row>
    <row r="369" ht="15.75" customHeight="1">
      <c r="A369" s="11">
        <v>25.0</v>
      </c>
      <c r="B369" s="12" t="s">
        <v>11059</v>
      </c>
      <c r="C369" s="11"/>
      <c r="D369" s="11" t="s">
        <v>11060</v>
      </c>
      <c r="E369" s="11" t="s">
        <v>11061</v>
      </c>
      <c r="F369" s="11" t="s">
        <v>3547</v>
      </c>
      <c r="G369" s="11" t="s">
        <v>11062</v>
      </c>
      <c r="H369" s="11" t="s">
        <v>7184</v>
      </c>
      <c r="I369" s="11"/>
      <c r="J369" s="11"/>
      <c r="K369" s="11"/>
      <c r="L369" s="11" t="s">
        <v>7003</v>
      </c>
      <c r="M369" s="11" t="s">
        <v>11063</v>
      </c>
      <c r="N369" s="11" t="s">
        <v>11064</v>
      </c>
      <c r="O369" s="11">
        <v>0.0</v>
      </c>
      <c r="P369" s="11" t="s">
        <v>11065</v>
      </c>
      <c r="Q369" s="11">
        <v>0.0</v>
      </c>
      <c r="R369" s="11" t="s">
        <v>11066</v>
      </c>
      <c r="S369" s="11">
        <v>0.0</v>
      </c>
      <c r="T369" s="11" t="s">
        <v>11066</v>
      </c>
      <c r="U369" s="11" t="s">
        <v>11067</v>
      </c>
      <c r="V369" s="11">
        <v>0.0</v>
      </c>
      <c r="W369" s="11" t="s">
        <v>11068</v>
      </c>
      <c r="X369" s="11">
        <v>0.0</v>
      </c>
      <c r="Y369" s="11" t="s">
        <v>6991</v>
      </c>
      <c r="Z369" s="11">
        <v>0.0</v>
      </c>
      <c r="AA369" s="13" t="s">
        <v>11069</v>
      </c>
      <c r="AB369" s="11">
        <v>0.0</v>
      </c>
      <c r="AC369" s="11" t="s">
        <v>11070</v>
      </c>
      <c r="AD369" s="13" t="s">
        <v>6994</v>
      </c>
      <c r="AE369" s="11">
        <v>0.0</v>
      </c>
      <c r="AF369" s="11">
        <f t="shared" ref="AF369:AF373" si="62">O369+Q369+S369+V369+X369+Z369+AB369+AE369</f>
        <v>0</v>
      </c>
      <c r="AG369" s="11" t="s">
        <v>11071</v>
      </c>
      <c r="AH369" s="11"/>
    </row>
    <row r="370" ht="15.75" customHeight="1">
      <c r="A370" s="11">
        <v>26.0</v>
      </c>
      <c r="B370" s="12" t="s">
        <v>11072</v>
      </c>
      <c r="C370" s="11"/>
      <c r="D370" s="11" t="s">
        <v>11073</v>
      </c>
      <c r="E370" s="11" t="s">
        <v>11074</v>
      </c>
      <c r="F370" s="11" t="s">
        <v>11075</v>
      </c>
      <c r="G370" s="11" t="s">
        <v>4547</v>
      </c>
      <c r="H370" s="11" t="s">
        <v>6981</v>
      </c>
      <c r="I370" s="11" t="s">
        <v>4015</v>
      </c>
      <c r="J370" s="11">
        <v>7.836832721E9</v>
      </c>
      <c r="K370" s="11"/>
      <c r="L370" s="11" t="s">
        <v>7003</v>
      </c>
      <c r="M370" s="11" t="s">
        <v>11076</v>
      </c>
      <c r="N370" s="11" t="s">
        <v>11077</v>
      </c>
      <c r="O370" s="11">
        <v>0.0</v>
      </c>
      <c r="P370" s="11" t="s">
        <v>11078</v>
      </c>
      <c r="Q370" s="11">
        <v>0.0</v>
      </c>
      <c r="R370" s="11" t="s">
        <v>11079</v>
      </c>
      <c r="S370" s="11">
        <v>0.0</v>
      </c>
      <c r="T370" s="11" t="s">
        <v>11080</v>
      </c>
      <c r="U370" s="11" t="s">
        <v>11081</v>
      </c>
      <c r="V370" s="11">
        <v>0.0</v>
      </c>
      <c r="W370" s="11" t="s">
        <v>11082</v>
      </c>
      <c r="X370" s="11">
        <v>0.0</v>
      </c>
      <c r="Y370" s="11" t="s">
        <v>7055</v>
      </c>
      <c r="Z370" s="11">
        <v>0.0</v>
      </c>
      <c r="AA370" s="11" t="s">
        <v>7078</v>
      </c>
      <c r="AB370" s="11">
        <v>0.0</v>
      </c>
      <c r="AC370" s="11" t="s">
        <v>11083</v>
      </c>
      <c r="AD370" s="13" t="s">
        <v>6994</v>
      </c>
      <c r="AE370" s="11">
        <v>0.0</v>
      </c>
      <c r="AF370" s="11">
        <f t="shared" si="62"/>
        <v>0</v>
      </c>
      <c r="AG370" s="11" t="s">
        <v>11084</v>
      </c>
      <c r="AH370" s="11"/>
    </row>
    <row r="371" ht="15.75" customHeight="1">
      <c r="A371" s="11">
        <v>27.0</v>
      </c>
      <c r="B371" s="12" t="s">
        <v>11085</v>
      </c>
      <c r="C371" s="11"/>
      <c r="D371" s="11" t="s">
        <v>11086</v>
      </c>
      <c r="E371" s="31" t="s">
        <v>2451</v>
      </c>
      <c r="F371" s="31" t="s">
        <v>4863</v>
      </c>
      <c r="G371" s="31" t="s">
        <v>4864</v>
      </c>
      <c r="H371" s="31" t="s">
        <v>26</v>
      </c>
      <c r="I371" s="31" t="s">
        <v>4865</v>
      </c>
      <c r="J371" s="31">
        <v>9.353646679E9</v>
      </c>
      <c r="K371" s="11" t="s">
        <v>6982</v>
      </c>
      <c r="L371" s="11" t="s">
        <v>6983</v>
      </c>
      <c r="M371" s="11" t="s">
        <v>11087</v>
      </c>
      <c r="N371" s="11" t="s">
        <v>11088</v>
      </c>
      <c r="O371" s="11">
        <v>0.0</v>
      </c>
      <c r="P371" s="11" t="s">
        <v>11089</v>
      </c>
      <c r="Q371" s="11">
        <v>0.0</v>
      </c>
      <c r="R371" s="11" t="s">
        <v>11090</v>
      </c>
      <c r="S371" s="11">
        <v>0.0</v>
      </c>
      <c r="T371" s="11" t="s">
        <v>11091</v>
      </c>
      <c r="U371" s="11" t="s">
        <v>11092</v>
      </c>
      <c r="V371" s="11">
        <v>0.0</v>
      </c>
      <c r="W371" s="11" t="s">
        <v>11093</v>
      </c>
      <c r="X371" s="11">
        <v>0.0</v>
      </c>
      <c r="Y371" s="11" t="s">
        <v>7193</v>
      </c>
      <c r="Z371" s="11">
        <v>0.0</v>
      </c>
      <c r="AA371" s="13" t="s">
        <v>11094</v>
      </c>
      <c r="AB371" s="11">
        <v>0.0</v>
      </c>
      <c r="AC371" s="11" t="s">
        <v>11095</v>
      </c>
      <c r="AD371" s="13" t="s">
        <v>6994</v>
      </c>
      <c r="AE371" s="11">
        <v>0.0</v>
      </c>
      <c r="AF371" s="11">
        <f t="shared" si="62"/>
        <v>0</v>
      </c>
      <c r="AG371" s="11" t="s">
        <v>11096</v>
      </c>
      <c r="AH371" s="11"/>
    </row>
    <row r="372" ht="15.75" customHeight="1">
      <c r="A372" s="11">
        <v>28.0</v>
      </c>
      <c r="B372" s="12" t="s">
        <v>11097</v>
      </c>
      <c r="C372" s="11"/>
      <c r="D372" s="11" t="s">
        <v>11098</v>
      </c>
      <c r="E372" s="11" t="s">
        <v>11099</v>
      </c>
      <c r="F372" s="11" t="s">
        <v>11100</v>
      </c>
      <c r="G372" s="11" t="s">
        <v>11101</v>
      </c>
      <c r="H372" s="11" t="s">
        <v>7097</v>
      </c>
      <c r="I372" s="11"/>
      <c r="J372" s="11"/>
      <c r="K372" s="11" t="s">
        <v>8064</v>
      </c>
      <c r="L372" s="11" t="s">
        <v>6983</v>
      </c>
      <c r="M372" s="11" t="s">
        <v>11102</v>
      </c>
      <c r="N372" s="11" t="s">
        <v>11102</v>
      </c>
      <c r="O372" s="11">
        <v>0.0</v>
      </c>
      <c r="P372" s="11" t="s">
        <v>11102</v>
      </c>
      <c r="Q372" s="11">
        <v>0.0</v>
      </c>
      <c r="R372" s="11" t="s">
        <v>11102</v>
      </c>
      <c r="S372" s="11">
        <v>0.0</v>
      </c>
      <c r="T372" s="11" t="s">
        <v>11102</v>
      </c>
      <c r="U372" s="11" t="s">
        <v>11102</v>
      </c>
      <c r="V372" s="11">
        <v>0.0</v>
      </c>
      <c r="W372" s="11" t="s">
        <v>11102</v>
      </c>
      <c r="X372" s="11">
        <v>0.0</v>
      </c>
      <c r="Y372" s="11" t="s">
        <v>6991</v>
      </c>
      <c r="Z372" s="11">
        <v>0.0</v>
      </c>
      <c r="AA372" s="11" t="s">
        <v>7078</v>
      </c>
      <c r="AB372" s="11">
        <v>0.0</v>
      </c>
      <c r="AC372" s="11" t="s">
        <v>11103</v>
      </c>
      <c r="AD372" s="13" t="s">
        <v>6994</v>
      </c>
      <c r="AE372" s="11">
        <v>0.0</v>
      </c>
      <c r="AF372" s="11">
        <f t="shared" si="62"/>
        <v>0</v>
      </c>
      <c r="AG372" s="11" t="s">
        <v>11104</v>
      </c>
      <c r="AH372" s="11"/>
    </row>
    <row r="373" ht="15.75" customHeight="1">
      <c r="A373" s="11">
        <v>29.0</v>
      </c>
      <c r="B373" s="12" t="s">
        <v>11105</v>
      </c>
      <c r="C373" s="11"/>
      <c r="D373" s="11" t="s">
        <v>11106</v>
      </c>
      <c r="E373" s="31" t="s">
        <v>2643</v>
      </c>
      <c r="F373" s="31" t="s">
        <v>6097</v>
      </c>
      <c r="G373" s="31" t="s">
        <v>6098</v>
      </c>
      <c r="H373" s="31" t="s">
        <v>9</v>
      </c>
      <c r="I373" s="31" t="s">
        <v>494</v>
      </c>
      <c r="J373" s="31" t="s">
        <v>11107</v>
      </c>
      <c r="K373" s="11" t="s">
        <v>6982</v>
      </c>
      <c r="L373" s="11" t="s">
        <v>6983</v>
      </c>
      <c r="M373" s="11" t="s">
        <v>11108</v>
      </c>
      <c r="N373" s="11" t="s">
        <v>11109</v>
      </c>
      <c r="O373" s="11">
        <v>0.0</v>
      </c>
      <c r="P373" s="11" t="s">
        <v>11110</v>
      </c>
      <c r="Q373" s="11">
        <v>0.0</v>
      </c>
      <c r="R373" s="11" t="s">
        <v>11111</v>
      </c>
      <c r="S373" s="11">
        <v>0.0</v>
      </c>
      <c r="T373" s="11" t="s">
        <v>11112</v>
      </c>
      <c r="U373" s="11" t="s">
        <v>11113</v>
      </c>
      <c r="V373" s="11">
        <v>0.0</v>
      </c>
      <c r="W373" s="11" t="s">
        <v>11114</v>
      </c>
      <c r="X373" s="11">
        <v>0.0</v>
      </c>
      <c r="Y373" s="11" t="s">
        <v>6991</v>
      </c>
      <c r="Z373" s="11">
        <v>0.0</v>
      </c>
      <c r="AA373" s="11" t="s">
        <v>7078</v>
      </c>
      <c r="AB373" s="11">
        <v>0.0</v>
      </c>
      <c r="AC373" s="11" t="s">
        <v>11115</v>
      </c>
      <c r="AD373" s="13" t="s">
        <v>6994</v>
      </c>
      <c r="AE373" s="11"/>
      <c r="AF373" s="11">
        <f t="shared" si="62"/>
        <v>0</v>
      </c>
      <c r="AG373" s="11" t="s">
        <v>11116</v>
      </c>
      <c r="AH373" s="11"/>
    </row>
    <row r="374" ht="15.75" customHeight="1">
      <c r="A374" s="11">
        <v>30.0</v>
      </c>
      <c r="B374" s="12" t="s">
        <v>11117</v>
      </c>
      <c r="C374" s="11"/>
      <c r="D374" s="11" t="s">
        <v>11118</v>
      </c>
      <c r="E374" s="31" t="s">
        <v>3355</v>
      </c>
      <c r="F374" s="31" t="s">
        <v>3015</v>
      </c>
      <c r="G374" s="31" t="s">
        <v>5037</v>
      </c>
      <c r="H374" s="31" t="s">
        <v>29</v>
      </c>
      <c r="I374" s="31" t="s">
        <v>1102</v>
      </c>
      <c r="J374" s="31">
        <v>9.810117732E9</v>
      </c>
      <c r="K374" s="11" t="s">
        <v>6982</v>
      </c>
      <c r="L374" s="11" t="s">
        <v>6983</v>
      </c>
      <c r="M374" s="11" t="s">
        <v>11119</v>
      </c>
      <c r="N374" s="11" t="s">
        <v>11120</v>
      </c>
      <c r="O374" s="11"/>
      <c r="P374" s="11" t="s">
        <v>11121</v>
      </c>
      <c r="Q374" s="11"/>
      <c r="R374" s="11" t="s">
        <v>11122</v>
      </c>
      <c r="S374" s="11"/>
      <c r="T374" s="11" t="s">
        <v>11123</v>
      </c>
      <c r="U374" s="11" t="s">
        <v>11124</v>
      </c>
      <c r="V374" s="11"/>
      <c r="W374" s="11" t="s">
        <v>11125</v>
      </c>
      <c r="X374" s="11"/>
      <c r="Y374" s="11" t="s">
        <v>6991</v>
      </c>
      <c r="Z374" s="11"/>
      <c r="AA374" s="11" t="s">
        <v>7078</v>
      </c>
      <c r="AB374" s="11"/>
      <c r="AC374" s="11" t="s">
        <v>11126</v>
      </c>
      <c r="AD374" s="13" t="s">
        <v>6994</v>
      </c>
      <c r="AE374" s="11"/>
      <c r="AF374" s="11"/>
      <c r="AG374" s="11" t="s">
        <v>11127</v>
      </c>
      <c r="AH374" s="11"/>
    </row>
    <row r="375" ht="15.75" customHeight="1">
      <c r="A375" s="11">
        <v>31.0</v>
      </c>
      <c r="B375" s="12" t="s">
        <v>11128</v>
      </c>
      <c r="C375" s="11"/>
      <c r="D375" s="11" t="s">
        <v>11129</v>
      </c>
      <c r="E375" s="21" t="s">
        <v>5789</v>
      </c>
      <c r="F375" s="21" t="s">
        <v>1672</v>
      </c>
      <c r="G375" s="21" t="s">
        <v>5790</v>
      </c>
      <c r="H375" s="21" t="s">
        <v>29</v>
      </c>
      <c r="I375" s="21" t="s">
        <v>4587</v>
      </c>
      <c r="J375" s="22">
        <v>9.11E9</v>
      </c>
      <c r="K375" s="11" t="s">
        <v>6982</v>
      </c>
      <c r="L375" s="11" t="s">
        <v>6983</v>
      </c>
      <c r="M375" s="11" t="s">
        <v>11130</v>
      </c>
      <c r="N375" s="11" t="s">
        <v>11131</v>
      </c>
      <c r="O375" s="11">
        <v>0.0</v>
      </c>
      <c r="P375" s="11" t="s">
        <v>11132</v>
      </c>
      <c r="Q375" s="11">
        <v>0.0</v>
      </c>
      <c r="R375" s="11" t="s">
        <v>11133</v>
      </c>
      <c r="S375" s="11">
        <v>0.0</v>
      </c>
      <c r="T375" s="11" t="s">
        <v>11134</v>
      </c>
      <c r="U375" s="11" t="s">
        <v>11135</v>
      </c>
      <c r="V375" s="11">
        <v>0.0</v>
      </c>
      <c r="W375" s="11" t="s">
        <v>11136</v>
      </c>
      <c r="X375" s="11">
        <v>0.0</v>
      </c>
      <c r="Y375" s="11" t="s">
        <v>7193</v>
      </c>
      <c r="Z375" s="11">
        <v>0.0</v>
      </c>
      <c r="AA375" s="11" t="s">
        <v>7078</v>
      </c>
      <c r="AB375" s="11">
        <v>0.0</v>
      </c>
      <c r="AC375" s="11" t="s">
        <v>7221</v>
      </c>
      <c r="AD375" s="13" t="s">
        <v>6994</v>
      </c>
      <c r="AE375" s="11">
        <v>0.0</v>
      </c>
      <c r="AF375" s="11">
        <f t="shared" ref="AF375:AF380" si="63">O375+Q375+S375+V375+X375+Z375+AB375+AE375</f>
        <v>0</v>
      </c>
      <c r="AG375" s="11" t="s">
        <v>11137</v>
      </c>
      <c r="AH375" s="11"/>
    </row>
    <row r="376" ht="15.75" customHeight="1">
      <c r="A376" s="11">
        <v>32.0</v>
      </c>
      <c r="B376" s="12" t="s">
        <v>11138</v>
      </c>
      <c r="C376" s="11"/>
      <c r="D376" s="11" t="s">
        <v>11139</v>
      </c>
      <c r="E376" s="21" t="s">
        <v>4430</v>
      </c>
      <c r="F376" s="21" t="s">
        <v>4431</v>
      </c>
      <c r="G376" s="21" t="s">
        <v>4432</v>
      </c>
      <c r="H376" s="21" t="s">
        <v>102</v>
      </c>
      <c r="I376" s="21" t="s">
        <v>4433</v>
      </c>
      <c r="J376" s="31">
        <v>8.767288684E9</v>
      </c>
      <c r="K376" s="11"/>
      <c r="L376" s="11" t="s">
        <v>7003</v>
      </c>
      <c r="M376" s="11" t="s">
        <v>11140</v>
      </c>
      <c r="N376" s="11" t="s">
        <v>11141</v>
      </c>
      <c r="O376" s="11">
        <v>0.0</v>
      </c>
      <c r="P376" s="11" t="s">
        <v>11142</v>
      </c>
      <c r="Q376" s="11">
        <v>0.0</v>
      </c>
      <c r="R376" s="11" t="s">
        <v>11143</v>
      </c>
      <c r="S376" s="11">
        <v>0.0</v>
      </c>
      <c r="T376" s="11" t="s">
        <v>11144</v>
      </c>
      <c r="U376" s="11" t="s">
        <v>11145</v>
      </c>
      <c r="V376" s="11">
        <v>0.0</v>
      </c>
      <c r="W376" s="11" t="s">
        <v>11146</v>
      </c>
      <c r="X376" s="11">
        <v>0.0</v>
      </c>
      <c r="Y376" s="11" t="s">
        <v>7193</v>
      </c>
      <c r="Z376" s="11">
        <v>0.0</v>
      </c>
      <c r="AA376" s="11" t="s">
        <v>7078</v>
      </c>
      <c r="AB376" s="11">
        <v>0.0</v>
      </c>
      <c r="AC376" s="11">
        <v>0.0</v>
      </c>
      <c r="AD376" s="13" t="s">
        <v>6994</v>
      </c>
      <c r="AE376" s="11">
        <v>0.0</v>
      </c>
      <c r="AF376" s="11">
        <f t="shared" si="63"/>
        <v>0</v>
      </c>
      <c r="AG376" s="11" t="s">
        <v>11147</v>
      </c>
      <c r="AH376" s="11"/>
    </row>
    <row r="377" ht="15.75" customHeight="1">
      <c r="A377" s="11">
        <v>33.0</v>
      </c>
      <c r="B377" s="12" t="s">
        <v>11148</v>
      </c>
      <c r="C377" s="11"/>
      <c r="D377" s="11" t="s">
        <v>11149</v>
      </c>
      <c r="E377" s="21" t="s">
        <v>5503</v>
      </c>
      <c r="F377" s="21" t="s">
        <v>5504</v>
      </c>
      <c r="G377" s="21" t="s">
        <v>5505</v>
      </c>
      <c r="H377" s="21" t="s">
        <v>9</v>
      </c>
      <c r="I377" s="21" t="s">
        <v>5242</v>
      </c>
      <c r="J377" s="31">
        <v>9.956059333E9</v>
      </c>
      <c r="K377" s="11" t="s">
        <v>6982</v>
      </c>
      <c r="L377" s="11" t="s">
        <v>6983</v>
      </c>
      <c r="M377" s="11" t="s">
        <v>11150</v>
      </c>
      <c r="N377" s="11" t="s">
        <v>11151</v>
      </c>
      <c r="O377" s="11">
        <v>0.0</v>
      </c>
      <c r="P377" s="11" t="s">
        <v>10290</v>
      </c>
      <c r="Q377" s="11">
        <v>0.0</v>
      </c>
      <c r="R377" s="11" t="s">
        <v>11152</v>
      </c>
      <c r="S377" s="11">
        <v>0.0</v>
      </c>
      <c r="T377" s="11" t="s">
        <v>11153</v>
      </c>
      <c r="U377" s="11" t="s">
        <v>10293</v>
      </c>
      <c r="V377" s="11">
        <v>0.0</v>
      </c>
      <c r="W377" s="11" t="s">
        <v>11154</v>
      </c>
      <c r="X377" s="11">
        <v>0.0</v>
      </c>
      <c r="Y377" s="11" t="s">
        <v>7027</v>
      </c>
      <c r="Z377" s="11">
        <v>0.0</v>
      </c>
      <c r="AA377" s="13" t="s">
        <v>11155</v>
      </c>
      <c r="AB377" s="11">
        <v>0.0</v>
      </c>
      <c r="AC377" s="11" t="s">
        <v>11156</v>
      </c>
      <c r="AD377" s="13" t="s">
        <v>6994</v>
      </c>
      <c r="AE377" s="11">
        <v>0.0</v>
      </c>
      <c r="AF377" s="11">
        <f t="shared" si="63"/>
        <v>0</v>
      </c>
      <c r="AG377" s="11" t="s">
        <v>11157</v>
      </c>
      <c r="AH377" s="11"/>
    </row>
    <row r="378" ht="15.75" customHeight="1">
      <c r="A378" s="11">
        <v>34.0</v>
      </c>
      <c r="B378" s="12" t="s">
        <v>11158</v>
      </c>
      <c r="C378" s="11"/>
      <c r="D378" s="11" t="s">
        <v>11159</v>
      </c>
      <c r="E378" s="31" t="s">
        <v>3629</v>
      </c>
      <c r="F378" s="31" t="s">
        <v>1646</v>
      </c>
      <c r="G378" s="31" t="s">
        <v>4477</v>
      </c>
      <c r="H378" s="31" t="s">
        <v>29</v>
      </c>
      <c r="I378" s="31" t="s">
        <v>1102</v>
      </c>
      <c r="J378" s="31">
        <v>8.851846744E9</v>
      </c>
      <c r="K378" s="11" t="s">
        <v>6982</v>
      </c>
      <c r="L378" s="11" t="s">
        <v>6983</v>
      </c>
      <c r="M378" s="11" t="s">
        <v>11160</v>
      </c>
      <c r="N378" s="11" t="s">
        <v>11161</v>
      </c>
      <c r="O378" s="11"/>
      <c r="P378" s="11" t="s">
        <v>11162</v>
      </c>
      <c r="Q378" s="11"/>
      <c r="R378" s="11" t="s">
        <v>11163</v>
      </c>
      <c r="S378" s="11"/>
      <c r="T378" s="11" t="s">
        <v>11164</v>
      </c>
      <c r="U378" s="11" t="s">
        <v>11165</v>
      </c>
      <c r="V378" s="11"/>
      <c r="W378" s="11" t="s">
        <v>11166</v>
      </c>
      <c r="X378" s="11"/>
      <c r="Y378" s="11" t="s">
        <v>6991</v>
      </c>
      <c r="Z378" s="11"/>
      <c r="AA378" s="13" t="s">
        <v>11167</v>
      </c>
      <c r="AB378" s="11"/>
      <c r="AC378" s="11" t="s">
        <v>11168</v>
      </c>
      <c r="AD378" s="13" t="s">
        <v>6994</v>
      </c>
      <c r="AE378" s="11"/>
      <c r="AF378" s="11">
        <f t="shared" si="63"/>
        <v>0</v>
      </c>
      <c r="AG378" s="11"/>
      <c r="AH378" s="40"/>
    </row>
    <row r="379" ht="15.75" customHeight="1">
      <c r="A379" s="11">
        <v>35.0</v>
      </c>
      <c r="B379" s="12" t="s">
        <v>11169</v>
      </c>
      <c r="C379" s="11"/>
      <c r="D379" s="11" t="s">
        <v>11170</v>
      </c>
      <c r="E379" s="11" t="s">
        <v>11171</v>
      </c>
      <c r="F379" s="11"/>
      <c r="G379" s="11"/>
      <c r="H379" s="11"/>
      <c r="I379" s="11"/>
      <c r="J379" s="11"/>
      <c r="K379" s="11"/>
      <c r="L379" s="11" t="s">
        <v>7003</v>
      </c>
      <c r="M379" s="11" t="s">
        <v>11172</v>
      </c>
      <c r="N379" s="11" t="s">
        <v>11173</v>
      </c>
      <c r="O379" s="11"/>
      <c r="P379" s="11" t="s">
        <v>11174</v>
      </c>
      <c r="Q379" s="11"/>
      <c r="R379" s="11" t="s">
        <v>11175</v>
      </c>
      <c r="S379" s="11"/>
      <c r="T379" s="11" t="s">
        <v>11176</v>
      </c>
      <c r="U379" s="11" t="s">
        <v>11177</v>
      </c>
      <c r="V379" s="11"/>
      <c r="W379" s="11" t="s">
        <v>11178</v>
      </c>
      <c r="X379" s="11"/>
      <c r="Y379" s="11" t="s">
        <v>7027</v>
      </c>
      <c r="Z379" s="11"/>
      <c r="AA379" s="11" t="s">
        <v>7078</v>
      </c>
      <c r="AB379" s="11"/>
      <c r="AC379" s="11" t="s">
        <v>11179</v>
      </c>
      <c r="AD379" s="13" t="s">
        <v>6994</v>
      </c>
      <c r="AE379" s="11"/>
      <c r="AF379" s="11">
        <f t="shared" si="63"/>
        <v>0</v>
      </c>
      <c r="AG379" s="11"/>
      <c r="AH379" s="40"/>
    </row>
    <row r="380" ht="15.75" customHeight="1">
      <c r="A380" s="11">
        <v>36.0</v>
      </c>
      <c r="B380" s="12" t="s">
        <v>11180</v>
      </c>
      <c r="C380" s="11"/>
      <c r="D380" s="13" t="s">
        <v>11181</v>
      </c>
      <c r="E380" s="21" t="s">
        <v>1386</v>
      </c>
      <c r="F380" s="21" t="s">
        <v>6064</v>
      </c>
      <c r="G380" s="21" t="s">
        <v>6065</v>
      </c>
      <c r="H380" s="21" t="s">
        <v>9</v>
      </c>
      <c r="I380" s="21" t="s">
        <v>5777</v>
      </c>
      <c r="J380" s="21">
        <v>8.607589551E9</v>
      </c>
      <c r="K380" s="11" t="s">
        <v>6982</v>
      </c>
      <c r="L380" s="11" t="s">
        <v>6983</v>
      </c>
      <c r="M380" s="11" t="s">
        <v>11182</v>
      </c>
      <c r="N380" s="11" t="s">
        <v>11183</v>
      </c>
      <c r="O380" s="11"/>
      <c r="P380" s="11" t="s">
        <v>11184</v>
      </c>
      <c r="Q380" s="11"/>
      <c r="R380" s="11" t="s">
        <v>11185</v>
      </c>
      <c r="S380" s="11"/>
      <c r="T380" s="11" t="s">
        <v>11186</v>
      </c>
      <c r="U380" s="11" t="s">
        <v>11187</v>
      </c>
      <c r="V380" s="11"/>
      <c r="W380" s="11" t="s">
        <v>11188</v>
      </c>
      <c r="X380" s="11"/>
      <c r="Y380" s="11" t="s">
        <v>6991</v>
      </c>
      <c r="Z380" s="11"/>
      <c r="AA380" s="13" t="s">
        <v>11189</v>
      </c>
      <c r="AB380" s="28"/>
      <c r="AC380" s="28">
        <v>44170.0</v>
      </c>
      <c r="AD380" s="11"/>
      <c r="AE380" s="11"/>
      <c r="AF380" s="28">
        <f t="shared" si="63"/>
        <v>0</v>
      </c>
      <c r="AG380" s="11"/>
      <c r="AH380" s="40"/>
    </row>
    <row r="381" ht="15.75" customHeight="1">
      <c r="A381" s="11">
        <v>37.0</v>
      </c>
      <c r="B381" s="12" t="s">
        <v>11190</v>
      </c>
      <c r="C381" s="11"/>
      <c r="D381" s="11" t="s">
        <v>11191</v>
      </c>
      <c r="E381" s="21" t="s">
        <v>5397</v>
      </c>
      <c r="F381" s="21" t="s">
        <v>4840</v>
      </c>
      <c r="G381" s="21" t="s">
        <v>5398</v>
      </c>
      <c r="H381" s="21" t="s">
        <v>9</v>
      </c>
      <c r="I381" s="21" t="s">
        <v>5399</v>
      </c>
      <c r="J381" s="21">
        <v>7.015869169E9</v>
      </c>
      <c r="K381" s="11" t="s">
        <v>6982</v>
      </c>
      <c r="L381" s="11" t="s">
        <v>6983</v>
      </c>
      <c r="M381" s="11" t="s">
        <v>11192</v>
      </c>
      <c r="N381" s="11" t="s">
        <v>4988</v>
      </c>
      <c r="O381" s="11"/>
      <c r="P381" s="11" t="s">
        <v>11193</v>
      </c>
      <c r="Q381" s="11"/>
      <c r="R381" s="11" t="s">
        <v>11194</v>
      </c>
      <c r="S381" s="11"/>
      <c r="T381" s="11" t="s">
        <v>11195</v>
      </c>
      <c r="U381" s="11" t="s">
        <v>11196</v>
      </c>
      <c r="V381" s="11"/>
      <c r="W381" s="11" t="s">
        <v>11197</v>
      </c>
      <c r="X381" s="11"/>
      <c r="Y381" s="11" t="s">
        <v>6991</v>
      </c>
      <c r="Z381" s="11"/>
      <c r="AA381" s="11" t="s">
        <v>7078</v>
      </c>
      <c r="AB381" s="11"/>
      <c r="AC381" s="11" t="s">
        <v>11198</v>
      </c>
      <c r="AD381" s="13" t="s">
        <v>7420</v>
      </c>
      <c r="AE381" s="11"/>
      <c r="AF381" s="11">
        <f t="shared" ref="AF381:AF382" si="64">AE381+AB381+Z381+X381+V381+S381+Q381+O381</f>
        <v>0</v>
      </c>
      <c r="AG381" s="11"/>
      <c r="AH381" s="40"/>
    </row>
    <row r="382" ht="15.75" customHeight="1">
      <c r="A382" s="11">
        <v>38.0</v>
      </c>
      <c r="B382" s="12" t="s">
        <v>11199</v>
      </c>
      <c r="C382" s="11"/>
      <c r="D382" s="11" t="s">
        <v>11200</v>
      </c>
      <c r="E382" s="31" t="s">
        <v>1092</v>
      </c>
      <c r="F382" s="31" t="s">
        <v>5305</v>
      </c>
      <c r="G382" s="31" t="s">
        <v>5306</v>
      </c>
      <c r="H382" s="31" t="s">
        <v>29</v>
      </c>
      <c r="I382" s="31" t="s">
        <v>282</v>
      </c>
      <c r="J382" s="31">
        <v>9.40864309E9</v>
      </c>
      <c r="K382" s="11" t="s">
        <v>6982</v>
      </c>
      <c r="L382" s="11" t="s">
        <v>6983</v>
      </c>
      <c r="M382" s="11" t="s">
        <v>11201</v>
      </c>
      <c r="N382" s="11" t="s">
        <v>11202</v>
      </c>
      <c r="O382" s="11"/>
      <c r="P382" s="11" t="s">
        <v>11203</v>
      </c>
      <c r="Q382" s="11"/>
      <c r="R382" s="11" t="s">
        <v>11204</v>
      </c>
      <c r="S382" s="11"/>
      <c r="T382" s="11" t="s">
        <v>11205</v>
      </c>
      <c r="U382" s="11" t="s">
        <v>11206</v>
      </c>
      <c r="V382" s="11"/>
      <c r="W382" s="11" t="s">
        <v>11207</v>
      </c>
      <c r="X382" s="11"/>
      <c r="Y382" s="11" t="s">
        <v>7027</v>
      </c>
      <c r="Z382" s="11"/>
      <c r="AA382" s="11" t="s">
        <v>7078</v>
      </c>
      <c r="AB382" s="11"/>
      <c r="AC382" s="11" t="s">
        <v>11208</v>
      </c>
      <c r="AD382" s="13" t="s">
        <v>7420</v>
      </c>
      <c r="AE382" s="11"/>
      <c r="AF382" s="11">
        <f t="shared" si="64"/>
        <v>0</v>
      </c>
      <c r="AG382" s="11"/>
      <c r="AH382" s="40"/>
    </row>
    <row r="383" ht="15.75" customHeight="1">
      <c r="A383" s="11">
        <v>39.0</v>
      </c>
      <c r="B383" s="12" t="s">
        <v>11209</v>
      </c>
      <c r="C383" s="11"/>
      <c r="D383" s="11" t="s">
        <v>11210</v>
      </c>
      <c r="E383" s="31" t="s">
        <v>764</v>
      </c>
      <c r="F383" s="31" t="s">
        <v>65</v>
      </c>
      <c r="G383" s="31" t="s">
        <v>5014</v>
      </c>
      <c r="H383" s="31" t="s">
        <v>9</v>
      </c>
      <c r="I383" s="31" t="s">
        <v>5791</v>
      </c>
      <c r="J383" s="31">
        <v>9.306365056E9</v>
      </c>
      <c r="K383" s="11" t="s">
        <v>6982</v>
      </c>
      <c r="L383" s="11" t="s">
        <v>6983</v>
      </c>
      <c r="M383" s="11" t="s">
        <v>11211</v>
      </c>
      <c r="N383" s="11" t="s">
        <v>11212</v>
      </c>
      <c r="O383" s="11"/>
      <c r="P383" s="11" t="s">
        <v>11213</v>
      </c>
      <c r="Q383" s="11"/>
      <c r="R383" s="11" t="s">
        <v>11214</v>
      </c>
      <c r="S383" s="11"/>
      <c r="T383" s="11" t="s">
        <v>11215</v>
      </c>
      <c r="U383" s="11" t="s">
        <v>11216</v>
      </c>
      <c r="V383" s="11"/>
      <c r="W383" s="11" t="s">
        <v>11217</v>
      </c>
      <c r="X383" s="11"/>
      <c r="Y383" s="11" t="s">
        <v>7027</v>
      </c>
      <c r="Z383" s="11"/>
      <c r="AA383" s="13" t="s">
        <v>11218</v>
      </c>
      <c r="AB383" s="11"/>
      <c r="AC383" s="11" t="s">
        <v>11219</v>
      </c>
      <c r="AD383" s="13" t="s">
        <v>7420</v>
      </c>
      <c r="AE383" s="11"/>
      <c r="AF383" s="11">
        <f t="shared" ref="AF383:AF386" si="65">O383+Q383+S383+V383+X383+Z383+AB383+AE383</f>
        <v>0</v>
      </c>
      <c r="AG383" s="11"/>
      <c r="AH383" s="40"/>
    </row>
    <row r="384" ht="15.75" customHeight="1">
      <c r="A384" s="11">
        <v>40.0</v>
      </c>
      <c r="B384" s="11" t="s">
        <v>11220</v>
      </c>
      <c r="C384" s="11"/>
      <c r="D384" s="11" t="s">
        <v>11221</v>
      </c>
      <c r="E384" s="11"/>
      <c r="F384" s="11"/>
      <c r="G384" s="11"/>
      <c r="H384" s="11"/>
      <c r="I384" s="11"/>
      <c r="J384" s="11"/>
      <c r="K384" s="11"/>
      <c r="L384" s="11" t="s">
        <v>7003</v>
      </c>
      <c r="M384" s="11" t="s">
        <v>11222</v>
      </c>
      <c r="N384" s="11" t="s">
        <v>11222</v>
      </c>
      <c r="O384" s="11"/>
      <c r="P384" s="11" t="s">
        <v>11222</v>
      </c>
      <c r="Q384" s="11"/>
      <c r="R384" s="11" t="s">
        <v>11222</v>
      </c>
      <c r="S384" s="11"/>
      <c r="T384" s="11" t="s">
        <v>11222</v>
      </c>
      <c r="U384" s="11" t="s">
        <v>11222</v>
      </c>
      <c r="V384" s="11"/>
      <c r="W384" s="11" t="s">
        <v>11222</v>
      </c>
      <c r="X384" s="11"/>
      <c r="Y384" s="11" t="s">
        <v>6991</v>
      </c>
      <c r="Z384" s="11"/>
      <c r="AA384" s="11" t="s">
        <v>7078</v>
      </c>
      <c r="AB384" s="11"/>
      <c r="AC384" s="11" t="s">
        <v>11223</v>
      </c>
      <c r="AD384" s="13" t="s">
        <v>11224</v>
      </c>
      <c r="AE384" s="11"/>
      <c r="AF384" s="11">
        <f t="shared" si="65"/>
        <v>0</v>
      </c>
      <c r="AG384" s="11"/>
      <c r="AH384" s="40"/>
    </row>
    <row r="385" ht="15.75" customHeight="1">
      <c r="A385" s="11">
        <v>41.0</v>
      </c>
      <c r="B385" s="12" t="s">
        <v>11225</v>
      </c>
      <c r="C385" s="11"/>
      <c r="D385" s="11" t="s">
        <v>11226</v>
      </c>
      <c r="E385" s="31" t="s">
        <v>4777</v>
      </c>
      <c r="F385" s="31" t="s">
        <v>1999</v>
      </c>
      <c r="G385" s="31" t="s">
        <v>4778</v>
      </c>
      <c r="H385" s="31" t="s">
        <v>26</v>
      </c>
      <c r="I385" s="31" t="s">
        <v>4779</v>
      </c>
      <c r="J385" s="31">
        <v>6.263607141E9</v>
      </c>
      <c r="K385" s="11"/>
      <c r="L385" s="11" t="s">
        <v>6983</v>
      </c>
      <c r="M385" s="11" t="s">
        <v>11227</v>
      </c>
      <c r="N385" s="11" t="s">
        <v>11228</v>
      </c>
      <c r="O385" s="11"/>
      <c r="P385" s="11" t="s">
        <v>11229</v>
      </c>
      <c r="Q385" s="11"/>
      <c r="R385" s="11" t="s">
        <v>11230</v>
      </c>
      <c r="S385" s="11"/>
      <c r="T385" s="11" t="s">
        <v>11231</v>
      </c>
      <c r="U385" s="11" t="s">
        <v>11232</v>
      </c>
      <c r="V385" s="11"/>
      <c r="W385" s="11" t="s">
        <v>11233</v>
      </c>
      <c r="X385" s="11"/>
      <c r="Y385" s="11" t="s">
        <v>6991</v>
      </c>
      <c r="Z385" s="11"/>
      <c r="AA385" s="11" t="s">
        <v>7078</v>
      </c>
      <c r="AB385" s="11"/>
      <c r="AC385" s="11" t="s">
        <v>11234</v>
      </c>
      <c r="AD385" s="13" t="s">
        <v>6994</v>
      </c>
      <c r="AE385" s="11"/>
      <c r="AF385" s="11">
        <f t="shared" si="65"/>
        <v>0</v>
      </c>
      <c r="AG385" s="11"/>
      <c r="AH385" s="40"/>
    </row>
    <row r="386" ht="15.75" customHeight="1">
      <c r="A386" s="11">
        <v>42.0</v>
      </c>
      <c r="B386" s="11" t="s">
        <v>11235</v>
      </c>
      <c r="C386" s="11"/>
      <c r="D386" s="11" t="s">
        <v>11236</v>
      </c>
      <c r="E386" s="31" t="s">
        <v>6320</v>
      </c>
      <c r="F386" s="31" t="s">
        <v>6321</v>
      </c>
      <c r="G386" s="31" t="s">
        <v>6322</v>
      </c>
      <c r="H386" s="31" t="s">
        <v>56</v>
      </c>
      <c r="I386" s="31" t="s">
        <v>6323</v>
      </c>
      <c r="J386" s="31">
        <v>7.780277588E9</v>
      </c>
      <c r="K386" s="11"/>
      <c r="L386" s="11" t="s">
        <v>7003</v>
      </c>
      <c r="M386" s="11" t="s">
        <v>11237</v>
      </c>
      <c r="N386" s="11" t="s">
        <v>11238</v>
      </c>
      <c r="O386" s="11"/>
      <c r="P386" s="11" t="s">
        <v>11239</v>
      </c>
      <c r="Q386" s="11"/>
      <c r="R386" s="11" t="s">
        <v>11240</v>
      </c>
      <c r="S386" s="11"/>
      <c r="T386" s="11" t="s">
        <v>11241</v>
      </c>
      <c r="U386" s="11" t="s">
        <v>11242</v>
      </c>
      <c r="V386" s="11"/>
      <c r="W386" s="11" t="s">
        <v>11243</v>
      </c>
      <c r="X386" s="11"/>
      <c r="Y386" s="11" t="s">
        <v>7193</v>
      </c>
      <c r="Z386" s="11"/>
      <c r="AA386" s="13" t="s">
        <v>11244</v>
      </c>
      <c r="AB386" s="11"/>
      <c r="AC386" s="11" t="s">
        <v>11245</v>
      </c>
      <c r="AD386" s="13" t="s">
        <v>6994</v>
      </c>
      <c r="AE386" s="11"/>
      <c r="AF386" s="11">
        <f t="shared" si="65"/>
        <v>0</v>
      </c>
      <c r="AG386" s="11"/>
      <c r="AH386" s="40"/>
    </row>
    <row r="387" ht="15.75" customHeight="1">
      <c r="A387" s="11">
        <v>43.0</v>
      </c>
      <c r="B387" s="43" t="s">
        <v>11246</v>
      </c>
      <c r="C387" s="40"/>
      <c r="D387" s="40" t="s">
        <v>11247</v>
      </c>
      <c r="E387" s="21" t="s">
        <v>5155</v>
      </c>
      <c r="F387" s="21" t="s">
        <v>832</v>
      </c>
      <c r="G387" s="21" t="s">
        <v>5156</v>
      </c>
      <c r="H387" s="21" t="s">
        <v>29</v>
      </c>
      <c r="I387" s="21" t="s">
        <v>19</v>
      </c>
      <c r="J387" s="31">
        <v>7.856949141E9</v>
      </c>
      <c r="K387" s="11" t="s">
        <v>7376</v>
      </c>
      <c r="L387" s="11" t="s">
        <v>7003</v>
      </c>
      <c r="M387" s="40" t="s">
        <v>11248</v>
      </c>
      <c r="N387" s="40" t="s">
        <v>11249</v>
      </c>
      <c r="O387" s="40"/>
      <c r="P387" s="40" t="s">
        <v>11250</v>
      </c>
      <c r="Q387" s="40"/>
      <c r="R387" s="40" t="s">
        <v>11251</v>
      </c>
      <c r="S387" s="40"/>
      <c r="T387" s="40" t="s">
        <v>11252</v>
      </c>
      <c r="U387" s="40" t="s">
        <v>11253</v>
      </c>
      <c r="V387" s="40"/>
      <c r="W387" s="40" t="s">
        <v>11254</v>
      </c>
      <c r="X387" s="40"/>
      <c r="Y387" s="40" t="s">
        <v>6991</v>
      </c>
      <c r="Z387" s="40"/>
      <c r="AA387" s="40" t="s">
        <v>7078</v>
      </c>
      <c r="AB387" s="40"/>
      <c r="AC387" s="40" t="s">
        <v>11255</v>
      </c>
      <c r="AD387" s="44" t="s">
        <v>6994</v>
      </c>
      <c r="AE387" s="40"/>
      <c r="AF387" s="40">
        <f>AE387+AB387+Z388+X388+V388+S388+Q388+O388</f>
        <v>0</v>
      </c>
      <c r="AG387" s="40"/>
      <c r="AH387" s="40"/>
    </row>
    <row r="388" ht="15.75" customHeight="1">
      <c r="A388" s="11">
        <v>44.0</v>
      </c>
      <c r="B388" s="12" t="s">
        <v>11256</v>
      </c>
      <c r="C388" s="11" t="s">
        <v>1531</v>
      </c>
      <c r="D388" s="11" t="s">
        <v>11257</v>
      </c>
      <c r="E388" s="21" t="s">
        <v>4398</v>
      </c>
      <c r="F388" s="21" t="s">
        <v>108</v>
      </c>
      <c r="G388" s="21" t="s">
        <v>4399</v>
      </c>
      <c r="H388" s="21" t="s">
        <v>44</v>
      </c>
      <c r="I388" s="21" t="s">
        <v>3870</v>
      </c>
      <c r="J388" s="31">
        <v>7.607194463E9</v>
      </c>
      <c r="K388" s="11" t="s">
        <v>6982</v>
      </c>
      <c r="L388" s="11" t="s">
        <v>6983</v>
      </c>
      <c r="M388" s="11" t="s">
        <v>11258</v>
      </c>
      <c r="N388" s="11" t="s">
        <v>11259</v>
      </c>
      <c r="O388" s="11"/>
      <c r="P388" s="11" t="s">
        <v>11260</v>
      </c>
      <c r="Q388" s="11"/>
      <c r="R388" s="11" t="s">
        <v>11261</v>
      </c>
      <c r="S388" s="11"/>
      <c r="T388" s="11" t="s">
        <v>11262</v>
      </c>
      <c r="U388" s="11" t="s">
        <v>11263</v>
      </c>
      <c r="V388" s="11"/>
      <c r="W388" s="11" t="s">
        <v>11264</v>
      </c>
      <c r="X388" s="11"/>
      <c r="Y388" s="11" t="s">
        <v>7027</v>
      </c>
      <c r="Z388" s="11"/>
      <c r="AA388" s="11" t="s">
        <v>7078</v>
      </c>
      <c r="AB388" s="11"/>
      <c r="AC388" s="11" t="s">
        <v>11265</v>
      </c>
      <c r="AD388" s="13" t="s">
        <v>6994</v>
      </c>
      <c r="AE388" s="11"/>
      <c r="AF388" s="11">
        <f t="shared" ref="AF388:AF390" si="66">O388+Q388+S388+V388+X388+Z388+AB388+AE388</f>
        <v>0</v>
      </c>
      <c r="AG388" s="40"/>
      <c r="AH388" s="40"/>
    </row>
    <row r="389" ht="15.75" customHeight="1">
      <c r="A389" s="11">
        <v>45.0</v>
      </c>
      <c r="B389" s="12" t="s">
        <v>11266</v>
      </c>
      <c r="C389" s="11" t="s">
        <v>1531</v>
      </c>
      <c r="D389" s="11" t="s">
        <v>11267</v>
      </c>
      <c r="E389" s="21" t="s">
        <v>5653</v>
      </c>
      <c r="F389" s="21" t="s">
        <v>5654</v>
      </c>
      <c r="G389" s="21" t="s">
        <v>5655</v>
      </c>
      <c r="H389" s="21" t="s">
        <v>1108</v>
      </c>
      <c r="I389" s="21" t="s">
        <v>5109</v>
      </c>
      <c r="J389" s="31">
        <v>9.871300157E9</v>
      </c>
      <c r="K389" s="11" t="s">
        <v>7086</v>
      </c>
      <c r="L389" s="11" t="s">
        <v>7003</v>
      </c>
      <c r="M389" s="11" t="s">
        <v>11268</v>
      </c>
      <c r="N389" s="11" t="s">
        <v>11269</v>
      </c>
      <c r="O389" s="11"/>
      <c r="P389" s="11" t="s">
        <v>11270</v>
      </c>
      <c r="Q389" s="11"/>
      <c r="R389" s="11" t="s">
        <v>11271</v>
      </c>
      <c r="S389" s="11"/>
      <c r="T389" s="11" t="s">
        <v>11272</v>
      </c>
      <c r="U389" s="11" t="s">
        <v>11273</v>
      </c>
      <c r="V389" s="11"/>
      <c r="W389" s="11" t="s">
        <v>11274</v>
      </c>
      <c r="X389" s="11"/>
      <c r="Y389" s="11" t="s">
        <v>6991</v>
      </c>
      <c r="Z389" s="11"/>
      <c r="AA389" s="11" t="s">
        <v>7078</v>
      </c>
      <c r="AB389" s="11"/>
      <c r="AC389" s="11" t="s">
        <v>11275</v>
      </c>
      <c r="AD389" s="13" t="s">
        <v>6994</v>
      </c>
      <c r="AE389" s="11"/>
      <c r="AF389" s="11">
        <f t="shared" si="66"/>
        <v>0</v>
      </c>
      <c r="AG389" s="40"/>
      <c r="AH389" s="40"/>
    </row>
    <row r="390" ht="15.75" customHeight="1">
      <c r="A390" s="11">
        <v>46.0</v>
      </c>
      <c r="B390" s="12" t="s">
        <v>11276</v>
      </c>
      <c r="C390" s="11" t="s">
        <v>1531</v>
      </c>
      <c r="D390" s="11" t="s">
        <v>11277</v>
      </c>
      <c r="E390" s="21" t="s">
        <v>513</v>
      </c>
      <c r="F390" s="21" t="s">
        <v>251</v>
      </c>
      <c r="G390" s="21" t="s">
        <v>514</v>
      </c>
      <c r="H390" s="21" t="s">
        <v>56</v>
      </c>
      <c r="I390" s="21" t="s">
        <v>494</v>
      </c>
      <c r="J390" s="31">
        <v>8.368633803E9</v>
      </c>
      <c r="K390" s="11" t="s">
        <v>6982</v>
      </c>
      <c r="L390" s="11" t="s">
        <v>6983</v>
      </c>
      <c r="M390" s="11" t="s">
        <v>4988</v>
      </c>
      <c r="N390" s="11" t="s">
        <v>4988</v>
      </c>
      <c r="O390" s="11"/>
      <c r="P390" s="11" t="s">
        <v>4988</v>
      </c>
      <c r="Q390" s="11"/>
      <c r="R390" s="11" t="s">
        <v>4988</v>
      </c>
      <c r="S390" s="11"/>
      <c r="T390" s="11" t="s">
        <v>4988</v>
      </c>
      <c r="U390" s="11" t="s">
        <v>4988</v>
      </c>
      <c r="V390" s="11"/>
      <c r="W390" s="11" t="s">
        <v>4988</v>
      </c>
      <c r="X390" s="11"/>
      <c r="Y390" s="11" t="s">
        <v>6991</v>
      </c>
      <c r="Z390" s="11"/>
      <c r="AA390" s="11" t="s">
        <v>7078</v>
      </c>
      <c r="AB390" s="11"/>
      <c r="AC390" s="11" t="s">
        <v>11278</v>
      </c>
      <c r="AD390" s="13" t="s">
        <v>6994</v>
      </c>
      <c r="AE390" s="11"/>
      <c r="AF390" s="11">
        <f t="shared" si="66"/>
        <v>0</v>
      </c>
      <c r="AG390" s="40"/>
      <c r="AH390" s="40"/>
    </row>
    <row r="391" ht="15.75" customHeight="1">
      <c r="A391" s="11">
        <v>48.0</v>
      </c>
      <c r="B391" s="43" t="s">
        <v>11279</v>
      </c>
      <c r="C391" s="40" t="s">
        <v>2140</v>
      </c>
      <c r="D391" s="40" t="s">
        <v>11280</v>
      </c>
      <c r="E391" s="21" t="s">
        <v>5439</v>
      </c>
      <c r="F391" s="21" t="s">
        <v>251</v>
      </c>
      <c r="G391" s="21" t="s">
        <v>5429</v>
      </c>
      <c r="H391" s="21" t="s">
        <v>44</v>
      </c>
      <c r="I391" s="21" t="s">
        <v>5440</v>
      </c>
      <c r="J391" s="22">
        <v>9.1942E11</v>
      </c>
      <c r="K391" s="40"/>
      <c r="L391" s="11" t="s">
        <v>7003</v>
      </c>
      <c r="M391" s="40" t="s">
        <v>11281</v>
      </c>
      <c r="N391" s="40" t="s">
        <v>11282</v>
      </c>
      <c r="O391" s="40">
        <v>0.0</v>
      </c>
      <c r="P391" s="40" t="s">
        <v>11283</v>
      </c>
      <c r="Q391" s="40">
        <v>0.0</v>
      </c>
      <c r="R391" s="40" t="s">
        <v>11284</v>
      </c>
      <c r="S391" s="40">
        <v>0.0</v>
      </c>
      <c r="T391" s="40" t="s">
        <v>11285</v>
      </c>
      <c r="U391" s="40" t="s">
        <v>11286</v>
      </c>
      <c r="V391" s="40">
        <v>0.0</v>
      </c>
      <c r="W391" s="40" t="s">
        <v>11287</v>
      </c>
      <c r="X391" s="40">
        <v>0.0</v>
      </c>
      <c r="Y391" s="40" t="s">
        <v>6991</v>
      </c>
      <c r="Z391" s="40">
        <v>0.0</v>
      </c>
      <c r="AA391" s="40" t="s">
        <v>7078</v>
      </c>
      <c r="AB391" s="40">
        <v>0.0</v>
      </c>
      <c r="AC391" s="40" t="s">
        <v>11288</v>
      </c>
      <c r="AD391" s="44" t="s">
        <v>6994</v>
      </c>
      <c r="AE391" s="40"/>
      <c r="AF391" s="40">
        <f t="shared" ref="AF391:AF393" si="67">O391+Q391+S391+V391+X391+Z391+AB391</f>
        <v>0</v>
      </c>
      <c r="AG391" s="40"/>
      <c r="AH391" s="40"/>
    </row>
    <row r="392" ht="15.75" customHeight="1">
      <c r="A392" s="11">
        <v>49.0</v>
      </c>
      <c r="B392" s="43" t="s">
        <v>11289</v>
      </c>
      <c r="C392" s="40" t="s">
        <v>2140</v>
      </c>
      <c r="D392" s="40" t="s">
        <v>11290</v>
      </c>
      <c r="E392" s="21" t="s">
        <v>1099</v>
      </c>
      <c r="F392" s="21" t="s">
        <v>1100</v>
      </c>
      <c r="G392" s="21" t="s">
        <v>1101</v>
      </c>
      <c r="H392" s="21" t="s">
        <v>29</v>
      </c>
      <c r="I392" s="21" t="s">
        <v>1102</v>
      </c>
      <c r="J392" s="31">
        <v>9.91024598E9</v>
      </c>
      <c r="K392" s="11" t="s">
        <v>6982</v>
      </c>
      <c r="L392" s="11" t="s">
        <v>6983</v>
      </c>
      <c r="M392" s="40" t="s">
        <v>11291</v>
      </c>
      <c r="N392" s="40" t="s">
        <v>11292</v>
      </c>
      <c r="O392" s="40">
        <v>0.0</v>
      </c>
      <c r="P392" s="40" t="s">
        <v>11293</v>
      </c>
      <c r="Q392" s="40">
        <v>0.0</v>
      </c>
      <c r="R392" s="40" t="s">
        <v>11294</v>
      </c>
      <c r="S392" s="40">
        <v>0.0</v>
      </c>
      <c r="T392" s="40" t="s">
        <v>11295</v>
      </c>
      <c r="U392" s="40" t="s">
        <v>11296</v>
      </c>
      <c r="V392" s="40">
        <v>0.0</v>
      </c>
      <c r="W392" s="40" t="s">
        <v>11297</v>
      </c>
      <c r="X392" s="40">
        <v>0.0</v>
      </c>
      <c r="Y392" s="40" t="s">
        <v>7027</v>
      </c>
      <c r="Z392" s="40">
        <v>0.0</v>
      </c>
      <c r="AA392" s="40" t="s">
        <v>7078</v>
      </c>
      <c r="AB392" s="40">
        <v>0.0</v>
      </c>
      <c r="AC392" s="40" t="s">
        <v>11298</v>
      </c>
      <c r="AD392" s="44" t="s">
        <v>6994</v>
      </c>
      <c r="AE392" s="40"/>
      <c r="AF392" s="40">
        <f t="shared" si="67"/>
        <v>0</v>
      </c>
      <c r="AG392" s="40"/>
      <c r="AH392" s="40"/>
    </row>
    <row r="393" ht="15.75" customHeight="1">
      <c r="A393" s="43">
        <v>50.0</v>
      </c>
      <c r="B393" s="43" t="s">
        <v>11299</v>
      </c>
      <c r="C393" s="40" t="s">
        <v>2140</v>
      </c>
      <c r="D393" s="40" t="s">
        <v>11300</v>
      </c>
      <c r="E393" s="21" t="s">
        <v>5189</v>
      </c>
      <c r="F393" s="21" t="s">
        <v>4939</v>
      </c>
      <c r="G393" s="21" t="s">
        <v>5190</v>
      </c>
      <c r="H393" s="21" t="s">
        <v>44</v>
      </c>
      <c r="I393" s="21" t="s">
        <v>4941</v>
      </c>
      <c r="J393" s="31">
        <v>6.305530453E9</v>
      </c>
      <c r="K393" s="11" t="s">
        <v>6982</v>
      </c>
      <c r="L393" s="11" t="s">
        <v>6983</v>
      </c>
      <c r="M393" s="40" t="s">
        <v>11301</v>
      </c>
      <c r="N393" s="40" t="s">
        <v>11302</v>
      </c>
      <c r="O393" s="40">
        <v>0.0</v>
      </c>
      <c r="P393" s="40" t="s">
        <v>11303</v>
      </c>
      <c r="Q393" s="40">
        <v>0.0</v>
      </c>
      <c r="R393" s="40" t="s">
        <v>11304</v>
      </c>
      <c r="S393" s="40">
        <v>0.0</v>
      </c>
      <c r="T393" s="40" t="s">
        <v>11305</v>
      </c>
      <c r="U393" s="40" t="s">
        <v>11306</v>
      </c>
      <c r="V393" s="40">
        <v>0.0</v>
      </c>
      <c r="W393" s="40" t="s">
        <v>11307</v>
      </c>
      <c r="X393" s="40">
        <v>0.0</v>
      </c>
      <c r="Y393" s="40" t="s">
        <v>6991</v>
      </c>
      <c r="Z393" s="40">
        <v>0.0</v>
      </c>
      <c r="AA393" s="44" t="s">
        <v>11308</v>
      </c>
      <c r="AB393" s="40">
        <v>10.0</v>
      </c>
      <c r="AC393" s="40" t="s">
        <v>11309</v>
      </c>
      <c r="AD393" s="44" t="s">
        <v>6994</v>
      </c>
      <c r="AE393" s="40"/>
      <c r="AF393" s="40">
        <f t="shared" si="67"/>
        <v>10</v>
      </c>
      <c r="AG393" s="40"/>
      <c r="AH393" s="40"/>
    </row>
    <row r="394" ht="15.75" customHeight="1">
      <c r="A394" s="12">
        <v>1.0</v>
      </c>
      <c r="B394" s="12" t="s">
        <v>11310</v>
      </c>
      <c r="C394" s="21"/>
      <c r="D394" s="31" t="s">
        <v>11311</v>
      </c>
      <c r="E394" s="31" t="s">
        <v>5931</v>
      </c>
      <c r="F394" s="31" t="s">
        <v>68</v>
      </c>
      <c r="G394" s="31" t="s">
        <v>5932</v>
      </c>
      <c r="H394" s="31" t="s">
        <v>44</v>
      </c>
      <c r="I394" s="31" t="s">
        <v>2025</v>
      </c>
      <c r="J394" s="31">
        <v>9.899086941E9</v>
      </c>
      <c r="K394" s="31"/>
      <c r="L394" s="11" t="s">
        <v>7003</v>
      </c>
      <c r="M394" s="31" t="s">
        <v>11312</v>
      </c>
      <c r="N394" s="31" t="s">
        <v>11313</v>
      </c>
      <c r="O394" s="31"/>
      <c r="P394" s="31" t="s">
        <v>11314</v>
      </c>
      <c r="Q394" s="31"/>
      <c r="R394" s="31" t="s">
        <v>11315</v>
      </c>
      <c r="S394" s="31"/>
      <c r="T394" s="31" t="s">
        <v>11316</v>
      </c>
      <c r="U394" s="31" t="s">
        <v>11317</v>
      </c>
      <c r="V394" s="31"/>
      <c r="W394" s="31" t="s">
        <v>11318</v>
      </c>
      <c r="X394" s="31"/>
      <c r="Y394" s="31" t="s">
        <v>7027</v>
      </c>
      <c r="Z394" s="31"/>
      <c r="AA394" s="31" t="s">
        <v>11319</v>
      </c>
      <c r="AB394" s="31"/>
      <c r="AC394" s="31" t="s">
        <v>11320</v>
      </c>
      <c r="AD394" s="34" t="s">
        <v>6994</v>
      </c>
      <c r="AE394" s="31"/>
      <c r="AF394" s="31" t="str">
        <f>AE394+AB394+AD395+AB395+Z395+W395+U395+S395</f>
        <v>#VALUE!</v>
      </c>
      <c r="AG394" s="21"/>
      <c r="AH394" s="31"/>
    </row>
    <row r="395" ht="15.75" customHeight="1">
      <c r="A395" s="11">
        <v>2.0</v>
      </c>
      <c r="B395" s="11" t="s">
        <v>11321</v>
      </c>
      <c r="C395" s="31" t="s">
        <v>11322</v>
      </c>
      <c r="D395" s="31" t="s">
        <v>11323</v>
      </c>
      <c r="E395" s="21" t="s">
        <v>940</v>
      </c>
      <c r="F395" s="21" t="s">
        <v>11324</v>
      </c>
      <c r="G395" s="21" t="s">
        <v>11325</v>
      </c>
      <c r="H395" s="21" t="s">
        <v>26</v>
      </c>
      <c r="I395" s="21" t="s">
        <v>1102</v>
      </c>
      <c r="J395" s="22">
        <v>9.96E9</v>
      </c>
      <c r="K395" s="31"/>
      <c r="L395" s="11" t="s">
        <v>7003</v>
      </c>
      <c r="M395" s="31" t="s">
        <v>11326</v>
      </c>
      <c r="N395" s="31" t="s">
        <v>11327</v>
      </c>
      <c r="O395" s="31" t="s">
        <v>11328</v>
      </c>
      <c r="P395" s="31" t="s">
        <v>11329</v>
      </c>
      <c r="Q395" s="31" t="s">
        <v>11330</v>
      </c>
      <c r="R395" s="31" t="s">
        <v>11331</v>
      </c>
      <c r="S395" s="35" t="s">
        <v>11332</v>
      </c>
      <c r="T395" s="35" t="s">
        <v>7027</v>
      </c>
      <c r="U395" s="34" t="s">
        <v>11333</v>
      </c>
      <c r="V395" s="35" t="s">
        <v>11334</v>
      </c>
      <c r="W395" s="34" t="s">
        <v>6994</v>
      </c>
      <c r="X395" s="31"/>
      <c r="Y395" s="31"/>
      <c r="Z395" s="31"/>
      <c r="AA395" s="31"/>
      <c r="AB395" s="31"/>
      <c r="AC395" s="31"/>
      <c r="AD395" s="31"/>
      <c r="AE395" s="31"/>
      <c r="AF395" s="31"/>
      <c r="AG395" s="31"/>
      <c r="AH395" s="31"/>
    </row>
    <row r="396" ht="15.75" customHeight="1">
      <c r="A396" s="31">
        <v>3.0</v>
      </c>
      <c r="B396" s="11" t="s">
        <v>11335</v>
      </c>
      <c r="C396" s="31" t="s">
        <v>11322</v>
      </c>
      <c r="D396" s="21" t="s">
        <v>11336</v>
      </c>
      <c r="E396" s="21" t="s">
        <v>2777</v>
      </c>
      <c r="F396" s="21" t="s">
        <v>5698</v>
      </c>
      <c r="G396" s="21" t="s">
        <v>3322</v>
      </c>
      <c r="H396" s="21" t="s">
        <v>44</v>
      </c>
      <c r="I396" s="21" t="s">
        <v>434</v>
      </c>
      <c r="J396" s="22">
        <v>7.51E9</v>
      </c>
      <c r="K396" s="21"/>
      <c r="L396" s="11" t="s">
        <v>7003</v>
      </c>
      <c r="M396" s="21" t="s">
        <v>11337</v>
      </c>
      <c r="N396" s="21" t="s">
        <v>11338</v>
      </c>
      <c r="O396" s="21" t="s">
        <v>11339</v>
      </c>
      <c r="P396" s="21" t="s">
        <v>11340</v>
      </c>
      <c r="Q396" s="21" t="s">
        <v>11341</v>
      </c>
      <c r="R396" s="21" t="s">
        <v>11342</v>
      </c>
      <c r="S396" s="21" t="s">
        <v>11343</v>
      </c>
      <c r="T396" s="21" t="s">
        <v>7027</v>
      </c>
      <c r="U396" s="21" t="s">
        <v>11344</v>
      </c>
      <c r="V396" s="21" t="s">
        <v>11345</v>
      </c>
      <c r="W396" s="48" t="s">
        <v>6994</v>
      </c>
      <c r="X396" s="21"/>
      <c r="Y396" s="21"/>
      <c r="Z396" s="21"/>
      <c r="AA396" s="21"/>
      <c r="AB396" s="21"/>
      <c r="AC396" s="21"/>
      <c r="AD396" s="21"/>
      <c r="AE396" s="21"/>
      <c r="AF396" s="21"/>
      <c r="AG396" s="21"/>
      <c r="AH396" s="21"/>
    </row>
    <row r="397" ht="15.75" customHeight="1">
      <c r="A397" s="31">
        <v>4.0</v>
      </c>
      <c r="B397" s="31" t="s">
        <v>11346</v>
      </c>
      <c r="C397" s="31" t="s">
        <v>11322</v>
      </c>
      <c r="D397" s="21" t="s">
        <v>11347</v>
      </c>
      <c r="E397" s="21"/>
      <c r="F397" s="21"/>
      <c r="G397" s="21"/>
      <c r="H397" s="21"/>
      <c r="I397" s="21"/>
      <c r="J397" s="21"/>
      <c r="K397" s="21"/>
      <c r="L397" s="11" t="s">
        <v>7003</v>
      </c>
      <c r="M397" s="21" t="s">
        <v>7087</v>
      </c>
      <c r="N397" s="21" t="s">
        <v>11348</v>
      </c>
      <c r="O397" s="21" t="s">
        <v>11349</v>
      </c>
      <c r="P397" s="21" t="s">
        <v>11350</v>
      </c>
      <c r="Q397" s="21" t="s">
        <v>11351</v>
      </c>
      <c r="R397" s="21" t="s">
        <v>11352</v>
      </c>
      <c r="S397" s="21" t="s">
        <v>11353</v>
      </c>
      <c r="T397" s="21" t="s">
        <v>7027</v>
      </c>
      <c r="U397" s="48" t="s">
        <v>11354</v>
      </c>
      <c r="V397" s="21" t="s">
        <v>7166</v>
      </c>
      <c r="W397" s="48" t="s">
        <v>6994</v>
      </c>
      <c r="X397" s="31"/>
      <c r="Y397" s="31"/>
      <c r="Z397" s="31"/>
      <c r="AA397" s="31"/>
      <c r="AB397" s="31"/>
      <c r="AC397" s="31"/>
      <c r="AD397" s="31"/>
      <c r="AE397" s="31"/>
      <c r="AF397" s="31"/>
      <c r="AG397" s="31"/>
      <c r="AH397" s="31"/>
    </row>
    <row r="398" ht="15.75" customHeight="1">
      <c r="A398" s="31">
        <v>5.0</v>
      </c>
      <c r="B398" s="31" t="s">
        <v>11355</v>
      </c>
      <c r="C398" s="31" t="s">
        <v>11322</v>
      </c>
      <c r="D398" s="21" t="s">
        <v>11356</v>
      </c>
      <c r="E398" s="21" t="s">
        <v>189</v>
      </c>
      <c r="F398" s="21" t="s">
        <v>11357</v>
      </c>
      <c r="G398" s="21" t="s">
        <v>11358</v>
      </c>
      <c r="H398" s="21" t="s">
        <v>56</v>
      </c>
      <c r="I398" s="21" t="s">
        <v>434</v>
      </c>
      <c r="J398" s="22">
        <v>7.3E9</v>
      </c>
      <c r="K398" s="21"/>
      <c r="L398" s="11" t="s">
        <v>7003</v>
      </c>
      <c r="M398" s="21" t="s">
        <v>11359</v>
      </c>
      <c r="N398" s="21" t="s">
        <v>11360</v>
      </c>
      <c r="O398" s="21" t="s">
        <v>11361</v>
      </c>
      <c r="P398" s="21" t="s">
        <v>11362</v>
      </c>
      <c r="Q398" s="21" t="s">
        <v>11363</v>
      </c>
      <c r="R398" s="21" t="s">
        <v>11364</v>
      </c>
      <c r="S398" s="21" t="s">
        <v>11365</v>
      </c>
      <c r="T398" s="21" t="s">
        <v>6991</v>
      </c>
      <c r="U398" s="21" t="s">
        <v>7078</v>
      </c>
      <c r="V398" s="21" t="s">
        <v>9958</v>
      </c>
      <c r="W398" s="48" t="s">
        <v>6994</v>
      </c>
      <c r="X398" s="21"/>
      <c r="Y398" s="21"/>
      <c r="Z398" s="21"/>
      <c r="AA398" s="21"/>
      <c r="AB398" s="21"/>
      <c r="AC398" s="21"/>
      <c r="AD398" s="21"/>
      <c r="AE398" s="21"/>
      <c r="AF398" s="21"/>
      <c r="AG398" s="21"/>
      <c r="AH398" s="21"/>
    </row>
    <row r="399" ht="15.75" customHeight="1">
      <c r="A399" s="4">
        <v>6.0</v>
      </c>
      <c r="B399" s="4" t="s">
        <v>11366</v>
      </c>
      <c r="C399" s="4" t="s">
        <v>11322</v>
      </c>
      <c r="D399" s="26" t="s">
        <v>11367</v>
      </c>
      <c r="E399" s="26"/>
      <c r="F399" s="26"/>
      <c r="G399" s="26"/>
      <c r="H399" s="26"/>
      <c r="I399" s="26"/>
      <c r="J399" s="26"/>
      <c r="K399" s="26"/>
      <c r="L399" s="11" t="s">
        <v>7003</v>
      </c>
      <c r="M399" s="26" t="s">
        <v>10040</v>
      </c>
      <c r="N399" s="26" t="s">
        <v>10041</v>
      </c>
      <c r="O399" s="26" t="s">
        <v>10042</v>
      </c>
      <c r="P399" s="26" t="s">
        <v>10043</v>
      </c>
      <c r="Q399" s="26" t="s">
        <v>10044</v>
      </c>
      <c r="R399" s="26" t="s">
        <v>10045</v>
      </c>
      <c r="S399" s="26" t="s">
        <v>10046</v>
      </c>
      <c r="T399" s="26" t="s">
        <v>7027</v>
      </c>
      <c r="U399" s="49" t="s">
        <v>11368</v>
      </c>
      <c r="V399" s="26" t="s">
        <v>11369</v>
      </c>
      <c r="W399" s="49" t="s">
        <v>6994</v>
      </c>
      <c r="X399" s="26"/>
      <c r="Y399" s="26"/>
      <c r="Z399" s="26"/>
      <c r="AA399" s="26"/>
      <c r="AB399" s="26"/>
      <c r="AC399" s="4"/>
      <c r="AD399" s="4"/>
      <c r="AE399" s="4"/>
      <c r="AF399" s="4"/>
      <c r="AG399" s="4"/>
      <c r="AH399" s="4"/>
    </row>
    <row r="400" ht="15.75" customHeight="1">
      <c r="A400" s="4">
        <v>7.0</v>
      </c>
      <c r="B400" s="4" t="s">
        <v>11370</v>
      </c>
      <c r="C400" s="4" t="s">
        <v>11322</v>
      </c>
      <c r="D400" s="26" t="s">
        <v>11371</v>
      </c>
      <c r="E400" s="26"/>
      <c r="F400" s="26"/>
      <c r="G400" s="26"/>
      <c r="H400" s="26"/>
      <c r="I400" s="26"/>
      <c r="J400" s="26"/>
      <c r="K400" s="26"/>
      <c r="L400" s="11" t="s">
        <v>7003</v>
      </c>
      <c r="M400" s="26" t="s">
        <v>11372</v>
      </c>
      <c r="N400" s="26" t="s">
        <v>11372</v>
      </c>
      <c r="O400" s="26" t="s">
        <v>11372</v>
      </c>
      <c r="P400" s="26" t="s">
        <v>11372</v>
      </c>
      <c r="Q400" s="26" t="s">
        <v>11372</v>
      </c>
      <c r="R400" s="26" t="s">
        <v>11372</v>
      </c>
      <c r="S400" s="26" t="s">
        <v>11372</v>
      </c>
      <c r="T400" s="26" t="s">
        <v>6991</v>
      </c>
      <c r="U400" s="49" t="s">
        <v>11373</v>
      </c>
      <c r="V400" s="26" t="s">
        <v>11374</v>
      </c>
      <c r="W400" s="49" t="s">
        <v>6994</v>
      </c>
      <c r="X400" s="26"/>
      <c r="Y400" s="26"/>
      <c r="Z400" s="26"/>
      <c r="AA400" s="26"/>
      <c r="AB400" s="26"/>
      <c r="AC400" s="26"/>
      <c r="AD400" s="26"/>
      <c r="AE400" s="26"/>
      <c r="AF400" s="26"/>
      <c r="AG400" s="26"/>
      <c r="AH400" s="26"/>
    </row>
    <row r="401" ht="15.75" customHeight="1">
      <c r="A401" s="31">
        <v>8.0</v>
      </c>
      <c r="B401" s="31"/>
      <c r="C401" s="31" t="s">
        <v>11322</v>
      </c>
      <c r="D401" s="26" t="s">
        <v>11375</v>
      </c>
      <c r="E401" s="26" t="s">
        <v>3049</v>
      </c>
      <c r="F401" s="26" t="s">
        <v>4492</v>
      </c>
      <c r="G401" s="26" t="s">
        <v>4493</v>
      </c>
      <c r="H401" s="26" t="s">
        <v>44</v>
      </c>
      <c r="I401" s="26" t="s">
        <v>434</v>
      </c>
      <c r="J401" s="27">
        <v>9.08E9</v>
      </c>
      <c r="K401" s="26" t="s">
        <v>8064</v>
      </c>
      <c r="L401" s="26" t="s">
        <v>6983</v>
      </c>
      <c r="M401" s="26" t="s">
        <v>11376</v>
      </c>
      <c r="N401" s="26" t="s">
        <v>11377</v>
      </c>
      <c r="O401" s="50" t="s">
        <v>11378</v>
      </c>
      <c r="P401" s="26" t="s">
        <v>11379</v>
      </c>
      <c r="Q401" s="26" t="s">
        <v>11380</v>
      </c>
      <c r="R401" s="26" t="s">
        <v>11381</v>
      </c>
      <c r="S401" s="26" t="s">
        <v>11382</v>
      </c>
      <c r="T401" s="26" t="s">
        <v>6991</v>
      </c>
      <c r="U401" s="26" t="s">
        <v>7078</v>
      </c>
      <c r="V401" s="50" t="s">
        <v>11383</v>
      </c>
      <c r="W401" s="49" t="s">
        <v>6994</v>
      </c>
      <c r="X401" s="26"/>
      <c r="Y401" s="26"/>
      <c r="Z401" s="26"/>
      <c r="AA401" s="26"/>
      <c r="AB401" s="26"/>
      <c r="AC401" s="26"/>
      <c r="AD401" s="26"/>
      <c r="AE401" s="26"/>
      <c r="AF401" s="26"/>
      <c r="AG401" s="26"/>
      <c r="AH401" s="26"/>
    </row>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A2"/>
    <hyperlink r:id="rId2" ref="AD2"/>
    <hyperlink r:id="rId3" ref="AA3"/>
    <hyperlink r:id="rId4" ref="AD3"/>
    <hyperlink r:id="rId5" ref="AA4"/>
    <hyperlink r:id="rId6" ref="AD4"/>
    <hyperlink r:id="rId7" ref="AA5"/>
    <hyperlink r:id="rId8" ref="AD5"/>
    <hyperlink r:id="rId9" ref="AA6"/>
    <hyperlink r:id="rId10" ref="AD6"/>
    <hyperlink r:id="rId11" ref="AA7"/>
    <hyperlink r:id="rId12" ref="AD7"/>
    <hyperlink r:id="rId13" ref="T8"/>
    <hyperlink r:id="rId14" ref="AD8"/>
    <hyperlink r:id="rId15" ref="AD9"/>
    <hyperlink r:id="rId16" ref="AD10"/>
    <hyperlink r:id="rId17" ref="AA11"/>
    <hyperlink r:id="rId18" ref="AD11"/>
    <hyperlink r:id="rId19" ref="AA12"/>
    <hyperlink r:id="rId20" ref="AD12"/>
    <hyperlink r:id="rId21" ref="AA13"/>
    <hyperlink r:id="rId22" ref="AB13"/>
    <hyperlink r:id="rId23" ref="AD13"/>
    <hyperlink r:id="rId24" ref="AD14"/>
    <hyperlink r:id="rId25" ref="AA15"/>
    <hyperlink r:id="rId26" ref="AD15"/>
    <hyperlink r:id="rId27" ref="AD16"/>
    <hyperlink r:id="rId28" ref="AA17"/>
    <hyperlink r:id="rId29" ref="AD17"/>
    <hyperlink r:id="rId30" ref="AD18"/>
    <hyperlink r:id="rId31" ref="AA19"/>
    <hyperlink r:id="rId32" ref="AD19"/>
    <hyperlink r:id="rId33" ref="AA20"/>
    <hyperlink r:id="rId34" ref="AD20"/>
    <hyperlink r:id="rId35" ref="AA21"/>
    <hyperlink r:id="rId36" ref="AD21"/>
    <hyperlink r:id="rId37" ref="AD22"/>
    <hyperlink r:id="rId38" ref="AD23"/>
    <hyperlink r:id="rId39" ref="AD24"/>
    <hyperlink r:id="rId40" ref="AA25"/>
    <hyperlink r:id="rId41" ref="AD25"/>
    <hyperlink r:id="rId42" ref="AD26"/>
    <hyperlink r:id="rId43" ref="AA27"/>
    <hyperlink r:id="rId44" ref="AB27"/>
    <hyperlink r:id="rId45" ref="AD27"/>
    <hyperlink r:id="rId46" ref="AA28"/>
    <hyperlink r:id="rId47" ref="AD28"/>
    <hyperlink r:id="rId48" ref="AD29"/>
    <hyperlink r:id="rId49" ref="AA30"/>
    <hyperlink r:id="rId50" ref="AD30"/>
    <hyperlink r:id="rId51" ref="AD31"/>
    <hyperlink r:id="rId52" ref="AD32"/>
    <hyperlink r:id="rId53" ref="AD33"/>
    <hyperlink r:id="rId54" ref="AD34"/>
    <hyperlink r:id="rId55" ref="AA35"/>
    <hyperlink r:id="rId56" ref="AD35"/>
    <hyperlink r:id="rId57" ref="AD36"/>
    <hyperlink r:id="rId58" ref="AD37"/>
    <hyperlink r:id="rId59" ref="AD38"/>
    <hyperlink r:id="rId60" ref="AA39"/>
    <hyperlink r:id="rId61" ref="AD39"/>
    <hyperlink r:id="rId62" ref="AA40"/>
    <hyperlink r:id="rId63" ref="AD40"/>
    <hyperlink r:id="rId64" ref="AA41"/>
    <hyperlink r:id="rId65" ref="AD41"/>
    <hyperlink r:id="rId66" ref="AD42"/>
    <hyperlink r:id="rId67" ref="AA43"/>
    <hyperlink r:id="rId68" ref="AD43"/>
    <hyperlink r:id="rId69" ref="AD44"/>
    <hyperlink r:id="rId70" ref="AA45"/>
    <hyperlink r:id="rId71" ref="AB45"/>
    <hyperlink r:id="rId72" ref="AD45"/>
    <hyperlink r:id="rId73" ref="AA46"/>
    <hyperlink r:id="rId74" ref="AD46"/>
    <hyperlink r:id="rId75" ref="AA47"/>
    <hyperlink r:id="rId76" ref="AD47"/>
    <hyperlink r:id="rId77" ref="AA48"/>
    <hyperlink r:id="rId78" ref="AD48"/>
    <hyperlink r:id="rId79" ref="AA49"/>
    <hyperlink r:id="rId80" ref="AD49"/>
    <hyperlink r:id="rId81" ref="W50"/>
    <hyperlink r:id="rId82" ref="AA50"/>
    <hyperlink r:id="rId83" ref="AD50"/>
    <hyperlink r:id="rId84" ref="AE51"/>
    <hyperlink r:id="rId85" ref="AD52"/>
    <hyperlink r:id="rId86" ref="AA53"/>
    <hyperlink r:id="rId87" ref="AD53"/>
    <hyperlink r:id="rId88" ref="AE54"/>
    <hyperlink r:id="rId89" ref="AA55"/>
    <hyperlink r:id="rId90" ref="AD55"/>
    <hyperlink r:id="rId91" ref="AD56"/>
    <hyperlink r:id="rId92" ref="D57"/>
    <hyperlink r:id="rId93" ref="AA57"/>
    <hyperlink r:id="rId94" ref="D58"/>
    <hyperlink r:id="rId95" ref="M58"/>
    <hyperlink r:id="rId96" ref="AA58"/>
    <hyperlink r:id="rId97" ref="AB58"/>
    <hyperlink r:id="rId98" ref="AA59"/>
    <hyperlink r:id="rId99" ref="AB59"/>
    <hyperlink r:id="rId100" ref="AD59"/>
    <hyperlink r:id="rId101" ref="AA60"/>
    <hyperlink r:id="rId102" ref="AD60"/>
    <hyperlink r:id="rId103" ref="AD61"/>
    <hyperlink r:id="rId104" ref="AA62"/>
    <hyperlink r:id="rId105" ref="AD62"/>
    <hyperlink r:id="rId106" ref="AD63"/>
    <hyperlink r:id="rId107" ref="AA64"/>
    <hyperlink r:id="rId108" ref="AD64"/>
    <hyperlink r:id="rId109" ref="AA65"/>
    <hyperlink r:id="rId110" ref="AD65"/>
    <hyperlink r:id="rId111" ref="AA66"/>
    <hyperlink r:id="rId112" ref="AD66"/>
    <hyperlink r:id="rId113" ref="AA67"/>
    <hyperlink r:id="rId114" ref="AD67"/>
    <hyperlink r:id="rId115" ref="AA68"/>
    <hyperlink r:id="rId116" ref="AB68"/>
    <hyperlink r:id="rId117" ref="AD68"/>
    <hyperlink r:id="rId118" ref="AA69"/>
    <hyperlink r:id="rId119" ref="AB69"/>
    <hyperlink r:id="rId120" ref="AD69"/>
    <hyperlink r:id="rId121" ref="AA70"/>
    <hyperlink r:id="rId122" ref="AD70"/>
    <hyperlink r:id="rId123" ref="AA71"/>
    <hyperlink r:id="rId124" ref="AD71"/>
    <hyperlink r:id="rId125" ref="AA72"/>
    <hyperlink r:id="rId126" ref="AD72"/>
    <hyperlink r:id="rId127" ref="AD73"/>
    <hyperlink r:id="rId128" ref="AA74"/>
    <hyperlink r:id="rId129" ref="AD74"/>
    <hyperlink r:id="rId130" ref="AA75"/>
    <hyperlink r:id="rId131" ref="AD75"/>
    <hyperlink r:id="rId132" ref="AD76"/>
    <hyperlink r:id="rId133" ref="AA77"/>
    <hyperlink r:id="rId134" ref="AD77"/>
    <hyperlink r:id="rId135" ref="AD78"/>
    <hyperlink r:id="rId136" ref="AD79"/>
    <hyperlink r:id="rId137" ref="AA80"/>
    <hyperlink r:id="rId138" ref="AB80"/>
    <hyperlink r:id="rId139" ref="AD80"/>
    <hyperlink r:id="rId140" ref="AD81"/>
    <hyperlink r:id="rId141" ref="AA82"/>
    <hyperlink r:id="rId142" ref="AD82"/>
    <hyperlink r:id="rId143" ref="AA83"/>
    <hyperlink r:id="rId144" ref="AD83"/>
    <hyperlink r:id="rId145" ref="AA84"/>
    <hyperlink r:id="rId146" ref="AD84"/>
    <hyperlink r:id="rId147" ref="AD85"/>
    <hyperlink r:id="rId148" ref="AD86"/>
    <hyperlink r:id="rId149" ref="AA87"/>
    <hyperlink r:id="rId150" ref="AD87"/>
    <hyperlink r:id="rId151" ref="AA88"/>
    <hyperlink r:id="rId152" ref="AD88"/>
    <hyperlink r:id="rId153" ref="AA89"/>
    <hyperlink r:id="rId154" ref="AD89"/>
    <hyperlink r:id="rId155" ref="AA90"/>
    <hyperlink r:id="rId156" ref="AD90"/>
    <hyperlink r:id="rId157" ref="AA91"/>
    <hyperlink r:id="rId158" ref="AD91"/>
    <hyperlink r:id="rId159" ref="AD92"/>
    <hyperlink r:id="rId160" ref="AA93"/>
    <hyperlink r:id="rId161" ref="AD93"/>
    <hyperlink r:id="rId162" ref="AD94"/>
    <hyperlink r:id="rId163" ref="AD95"/>
    <hyperlink r:id="rId164" ref="AA96"/>
    <hyperlink r:id="rId165" ref="AD96"/>
    <hyperlink r:id="rId166" ref="AA97"/>
    <hyperlink r:id="rId167" ref="AD97"/>
    <hyperlink r:id="rId168" ref="AA98"/>
    <hyperlink r:id="rId169" ref="AD98"/>
    <hyperlink r:id="rId170" ref="AD99"/>
    <hyperlink r:id="rId171" ref="AA100"/>
    <hyperlink r:id="rId172" ref="AD100"/>
    <hyperlink r:id="rId173" ref="AA101"/>
    <hyperlink r:id="rId174" ref="AD101"/>
    <hyperlink r:id="rId175" ref="AA102"/>
    <hyperlink r:id="rId176" ref="AD102"/>
    <hyperlink r:id="rId177" ref="AA103"/>
    <hyperlink r:id="rId178" ref="AD103"/>
    <hyperlink r:id="rId179" ref="AA104"/>
    <hyperlink r:id="rId180" ref="AD104"/>
    <hyperlink r:id="rId181" ref="AA105"/>
    <hyperlink r:id="rId182" ref="AB105"/>
    <hyperlink r:id="rId183" ref="AD105"/>
    <hyperlink r:id="rId184" ref="AA106"/>
    <hyperlink r:id="rId185" ref="AD106"/>
    <hyperlink r:id="rId186" ref="AA107"/>
    <hyperlink r:id="rId187" ref="AD107"/>
    <hyperlink r:id="rId188" ref="AA108"/>
    <hyperlink r:id="rId189" ref="AD108"/>
    <hyperlink r:id="rId190" ref="AD109"/>
    <hyperlink r:id="rId191" ref="AA110"/>
    <hyperlink r:id="rId192" ref="AB110"/>
    <hyperlink r:id="rId193" ref="AD110"/>
    <hyperlink r:id="rId194" ref="AA111"/>
    <hyperlink r:id="rId195" ref="AD111"/>
    <hyperlink r:id="rId196" ref="AD112"/>
    <hyperlink r:id="rId197" ref="AA113"/>
    <hyperlink r:id="rId198" ref="AD113"/>
    <hyperlink r:id="rId199" ref="AD114"/>
    <hyperlink r:id="rId200" ref="AD115"/>
    <hyperlink r:id="rId201" ref="AD116"/>
    <hyperlink r:id="rId202" ref="AA117"/>
    <hyperlink r:id="rId203" ref="AD117"/>
    <hyperlink r:id="rId204" ref="AD118"/>
    <hyperlink r:id="rId205" ref="AA119"/>
    <hyperlink r:id="rId206" ref="AB119"/>
    <hyperlink r:id="rId207" ref="AD119"/>
    <hyperlink r:id="rId208" ref="AA120"/>
    <hyperlink r:id="rId209" ref="AD120"/>
    <hyperlink r:id="rId210" ref="AG120"/>
    <hyperlink r:id="rId211" ref="D121"/>
    <hyperlink r:id="rId212" ref="M121"/>
    <hyperlink r:id="rId213" ref="AA121"/>
    <hyperlink r:id="rId214" ref="AB121"/>
    <hyperlink r:id="rId215" ref="AD122"/>
    <hyperlink r:id="rId216" ref="AA123"/>
    <hyperlink r:id="rId217" ref="AD123"/>
    <hyperlink r:id="rId218" ref="AA124"/>
    <hyperlink r:id="rId219" ref="AB124"/>
    <hyperlink r:id="rId220" ref="AD124"/>
    <hyperlink r:id="rId221" ref="AD125"/>
    <hyperlink r:id="rId222" ref="AA126"/>
    <hyperlink r:id="rId223" ref="AD126"/>
    <hyperlink r:id="rId224" ref="AD127"/>
    <hyperlink r:id="rId225" ref="AA128"/>
    <hyperlink r:id="rId226" ref="AD128"/>
    <hyperlink r:id="rId227" ref="AA129"/>
    <hyperlink r:id="rId228" ref="AB129"/>
    <hyperlink r:id="rId229" ref="AD129"/>
    <hyperlink r:id="rId230" ref="AA130"/>
    <hyperlink r:id="rId231" ref="AD130"/>
    <hyperlink r:id="rId232" ref="D131"/>
    <hyperlink r:id="rId233" ref="AA131"/>
    <hyperlink r:id="rId234" ref="AA132"/>
    <hyperlink r:id="rId235" ref="AB132"/>
    <hyperlink r:id="rId236" ref="AD132"/>
    <hyperlink r:id="rId237" ref="AA133"/>
    <hyperlink r:id="rId238" ref="AD133"/>
    <hyperlink r:id="rId239" ref="AA134"/>
    <hyperlink r:id="rId240" ref="AD134"/>
    <hyperlink r:id="rId241" ref="AD135"/>
    <hyperlink r:id="rId242" ref="AB136"/>
    <hyperlink r:id="rId243" ref="AE136"/>
    <hyperlink r:id="rId244" ref="AA137"/>
    <hyperlink r:id="rId245" ref="AD137"/>
    <hyperlink r:id="rId246" ref="AA138"/>
    <hyperlink r:id="rId247" ref="AD138"/>
    <hyperlink r:id="rId248" ref="AA139"/>
    <hyperlink r:id="rId249" ref="AB139"/>
    <hyperlink r:id="rId250" ref="AD139"/>
    <hyperlink r:id="rId251" ref="AD140"/>
    <hyperlink r:id="rId252" ref="AD141"/>
    <hyperlink r:id="rId253" ref="AA142"/>
    <hyperlink r:id="rId254" ref="AD142"/>
    <hyperlink r:id="rId255" ref="AA143"/>
    <hyperlink r:id="rId256" ref="AD143"/>
    <hyperlink r:id="rId257" ref="AA144"/>
    <hyperlink r:id="rId258" ref="AD144"/>
    <hyperlink r:id="rId259" ref="AA145"/>
    <hyperlink r:id="rId260" ref="AD145"/>
    <hyperlink r:id="rId261" ref="AD146"/>
    <hyperlink r:id="rId262" ref="AA147"/>
    <hyperlink r:id="rId263" ref="AD147"/>
    <hyperlink r:id="rId264" ref="AD148"/>
    <hyperlink r:id="rId265" ref="AA149"/>
    <hyperlink r:id="rId266" ref="AB149"/>
    <hyperlink r:id="rId267" ref="AD149"/>
    <hyperlink r:id="rId268" ref="AA150"/>
    <hyperlink r:id="rId269" ref="AD150"/>
    <hyperlink r:id="rId270" ref="AD151"/>
    <hyperlink r:id="rId271" ref="AA152"/>
    <hyperlink r:id="rId272" ref="AD152"/>
    <hyperlink r:id="rId273" ref="AD153"/>
    <hyperlink r:id="rId274" ref="AD154"/>
    <hyperlink r:id="rId275" ref="AD155"/>
    <hyperlink r:id="rId276" ref="AA156"/>
    <hyperlink r:id="rId277" ref="AB156"/>
    <hyperlink r:id="rId278" ref="AD156"/>
    <hyperlink r:id="rId279" ref="AA157"/>
    <hyperlink r:id="rId280" ref="AD157"/>
    <hyperlink r:id="rId281" ref="AD158"/>
    <hyperlink r:id="rId282" ref="AA159"/>
    <hyperlink r:id="rId283" ref="AD159"/>
    <hyperlink r:id="rId284" ref="AA160"/>
    <hyperlink r:id="rId285" ref="AD160"/>
    <hyperlink r:id="rId286" ref="AA161"/>
    <hyperlink r:id="rId287" ref="AD161"/>
    <hyperlink r:id="rId288" ref="AD162"/>
    <hyperlink r:id="rId289" ref="AA163"/>
    <hyperlink r:id="rId290" ref="AD163"/>
    <hyperlink r:id="rId291" ref="AD164"/>
    <hyperlink r:id="rId292" ref="AA165"/>
    <hyperlink r:id="rId293" ref="AD165"/>
    <hyperlink r:id="rId294" ref="AA166"/>
    <hyperlink r:id="rId295" ref="AD166"/>
    <hyperlink r:id="rId296" ref="AA167"/>
    <hyperlink r:id="rId297" ref="AD167"/>
    <hyperlink r:id="rId298" ref="AA168"/>
    <hyperlink r:id="rId299" ref="AD168"/>
    <hyperlink r:id="rId300" ref="AD169"/>
    <hyperlink r:id="rId301" ref="AD170"/>
    <hyperlink r:id="rId302" ref="AD171"/>
    <hyperlink r:id="rId303" ref="AA172"/>
    <hyperlink r:id="rId304" ref="AD172"/>
    <hyperlink r:id="rId305" ref="AD173"/>
    <hyperlink r:id="rId306" ref="AA174"/>
    <hyperlink r:id="rId307" ref="AB174"/>
    <hyperlink r:id="rId308" ref="AD174"/>
    <hyperlink r:id="rId309" ref="AA175"/>
    <hyperlink r:id="rId310" ref="AD175"/>
    <hyperlink r:id="rId311" ref="AA176"/>
    <hyperlink r:id="rId312" ref="AD176"/>
    <hyperlink r:id="rId313" ref="AA177"/>
    <hyperlink r:id="rId314" ref="AD177"/>
    <hyperlink r:id="rId315" ref="AD178"/>
    <hyperlink r:id="rId316" ref="AA179"/>
    <hyperlink r:id="rId317" ref="AD179"/>
    <hyperlink r:id="rId318" ref="AD180"/>
    <hyperlink r:id="rId319" ref="AA181"/>
    <hyperlink r:id="rId320" ref="AB181"/>
    <hyperlink r:id="rId321" ref="AD181"/>
    <hyperlink r:id="rId322" ref="AA182"/>
    <hyperlink r:id="rId323" ref="AD182"/>
    <hyperlink r:id="rId324" ref="AA183"/>
    <hyperlink r:id="rId325" ref="AD183"/>
    <hyperlink r:id="rId326" ref="AA184"/>
    <hyperlink r:id="rId327" ref="AD184"/>
    <hyperlink r:id="rId328" ref="AD185"/>
    <hyperlink r:id="rId329" ref="AA186"/>
    <hyperlink r:id="rId330" ref="AD186"/>
    <hyperlink r:id="rId331" ref="AD187"/>
    <hyperlink r:id="rId332" ref="AA188"/>
    <hyperlink r:id="rId333" ref="AB188"/>
    <hyperlink r:id="rId334" ref="AD188"/>
    <hyperlink r:id="rId335" ref="AD189"/>
    <hyperlink r:id="rId336" ref="AD190"/>
    <hyperlink r:id="rId337" ref="AD191"/>
    <hyperlink r:id="rId338" ref="AA192"/>
    <hyperlink r:id="rId339" ref="AD192"/>
    <hyperlink r:id="rId340" ref="AA193"/>
    <hyperlink r:id="rId341" ref="AD193"/>
    <hyperlink r:id="rId342" ref="AA194"/>
    <hyperlink r:id="rId343" ref="AD194"/>
    <hyperlink r:id="rId344" ref="AA195"/>
    <hyperlink r:id="rId345" ref="AD195"/>
    <hyperlink r:id="rId346" ref="AA196"/>
    <hyperlink r:id="rId347" ref="AB196"/>
    <hyperlink r:id="rId348" ref="AD196"/>
    <hyperlink r:id="rId349" ref="AA197"/>
    <hyperlink r:id="rId350" ref="AD197"/>
    <hyperlink r:id="rId351" ref="AD198"/>
    <hyperlink r:id="rId352" ref="AA199"/>
    <hyperlink r:id="rId353" ref="AD199"/>
    <hyperlink r:id="rId354" ref="AA200"/>
    <hyperlink r:id="rId355" ref="AD200"/>
    <hyperlink r:id="rId356" ref="AA201"/>
    <hyperlink r:id="rId357" ref="AD201"/>
    <hyperlink r:id="rId358" ref="AD202"/>
    <hyperlink r:id="rId359" ref="AA203"/>
    <hyperlink r:id="rId360" ref="AD203"/>
    <hyperlink r:id="rId361" ref="AA204"/>
    <hyperlink r:id="rId362" ref="AD204"/>
    <hyperlink r:id="rId363" ref="AA205"/>
    <hyperlink r:id="rId364" ref="AD205"/>
    <hyperlink r:id="rId365" ref="AA206"/>
    <hyperlink r:id="rId366" ref="AD206"/>
    <hyperlink r:id="rId367" ref="AG206"/>
    <hyperlink r:id="rId368" ref="AD207"/>
    <hyperlink r:id="rId369" ref="AA208"/>
    <hyperlink r:id="rId370" ref="AD208"/>
    <hyperlink r:id="rId371" ref="AA209"/>
    <hyperlink r:id="rId372" ref="AD209"/>
    <hyperlink r:id="rId373" ref="AA210"/>
    <hyperlink r:id="rId374" ref="AD210"/>
    <hyperlink r:id="rId375" ref="AA211"/>
    <hyperlink r:id="rId376" ref="AD211"/>
    <hyperlink r:id="rId377" ref="AA212"/>
    <hyperlink r:id="rId378" ref="AD212"/>
    <hyperlink r:id="rId379" ref="AD213"/>
    <hyperlink r:id="rId380" ref="AA214"/>
    <hyperlink r:id="rId381" ref="AD214"/>
    <hyperlink r:id="rId382" ref="AD215"/>
    <hyperlink r:id="rId383" ref="AA216"/>
    <hyperlink r:id="rId384" ref="AD216"/>
    <hyperlink r:id="rId385" ref="AA217"/>
    <hyperlink r:id="rId386" ref="AD217"/>
    <hyperlink r:id="rId387" ref="AA218"/>
    <hyperlink r:id="rId388" ref="AD218"/>
    <hyperlink r:id="rId389" ref="AA219"/>
    <hyperlink r:id="rId390" ref="AD219"/>
    <hyperlink r:id="rId391" ref="AA220"/>
    <hyperlink r:id="rId392" ref="AD220"/>
    <hyperlink r:id="rId393" ref="AD221"/>
    <hyperlink r:id="rId394" ref="T222"/>
    <hyperlink r:id="rId395" ref="AD222"/>
    <hyperlink r:id="rId396" ref="AA223"/>
    <hyperlink r:id="rId397" ref="AD223"/>
    <hyperlink r:id="rId398" ref="AA224"/>
    <hyperlink r:id="rId399" ref="AD224"/>
    <hyperlink r:id="rId400" ref="AA225"/>
    <hyperlink r:id="rId401" ref="AD225"/>
    <hyperlink r:id="rId402" ref="AA226"/>
    <hyperlink r:id="rId403" ref="AB226"/>
    <hyperlink r:id="rId404" ref="AD226"/>
    <hyperlink r:id="rId405" ref="AA227"/>
    <hyperlink r:id="rId406" ref="AD227"/>
    <hyperlink r:id="rId407" ref="AA228"/>
    <hyperlink r:id="rId408" ref="AD228"/>
    <hyperlink r:id="rId409" ref="AD229"/>
    <hyperlink r:id="rId410" ref="AA230"/>
    <hyperlink r:id="rId411" ref="AD230"/>
    <hyperlink r:id="rId412" ref="AD231"/>
    <hyperlink r:id="rId413" ref="AA232"/>
    <hyperlink r:id="rId414" ref="AD232"/>
    <hyperlink r:id="rId415" ref="AD233"/>
    <hyperlink r:id="rId416" ref="AD234"/>
    <hyperlink r:id="rId417" ref="AD235"/>
    <hyperlink r:id="rId418" ref="AA236"/>
    <hyperlink r:id="rId419" ref="AD236"/>
    <hyperlink r:id="rId420" ref="AA237"/>
    <hyperlink r:id="rId421" ref="AD237"/>
    <hyperlink r:id="rId422" ref="AA238"/>
    <hyperlink r:id="rId423" ref="AB238"/>
    <hyperlink r:id="rId424" ref="AD238"/>
    <hyperlink r:id="rId425" ref="AA239"/>
    <hyperlink r:id="rId426" ref="AD239"/>
    <hyperlink r:id="rId427" ref="AA240"/>
    <hyperlink r:id="rId428" ref="AD240"/>
    <hyperlink r:id="rId429" ref="AA241"/>
    <hyperlink r:id="rId430" ref="AB241"/>
    <hyperlink r:id="rId431" ref="AD241"/>
    <hyperlink r:id="rId432" ref="AA242"/>
    <hyperlink r:id="rId433" ref="AD242"/>
    <hyperlink r:id="rId434" ref="AA243"/>
    <hyperlink r:id="rId435" ref="AD243"/>
    <hyperlink r:id="rId436" ref="AD244"/>
    <hyperlink r:id="rId437" ref="AA245"/>
    <hyperlink r:id="rId438" ref="AD245"/>
    <hyperlink r:id="rId439" ref="AA246"/>
    <hyperlink r:id="rId440" ref="AD246"/>
    <hyperlink r:id="rId441" ref="AA247"/>
    <hyperlink r:id="rId442" ref="AD247"/>
    <hyperlink r:id="rId443" ref="AA248"/>
    <hyperlink r:id="rId444" ref="AD248"/>
    <hyperlink r:id="rId445" ref="AA249"/>
    <hyperlink r:id="rId446" ref="AD249"/>
    <hyperlink r:id="rId447" ref="AG249"/>
    <hyperlink r:id="rId448" ref="AA250"/>
    <hyperlink r:id="rId449" ref="AB250"/>
    <hyperlink r:id="rId450" ref="AD250"/>
    <hyperlink r:id="rId451" ref="AD251"/>
    <hyperlink r:id="rId452" ref="AA252"/>
    <hyperlink r:id="rId453" ref="AD252"/>
    <hyperlink r:id="rId454" ref="AA253"/>
    <hyperlink r:id="rId455" ref="AB253"/>
    <hyperlink r:id="rId456" ref="AD253"/>
    <hyperlink r:id="rId457" ref="AA254"/>
    <hyperlink r:id="rId458" ref="AD254"/>
    <hyperlink r:id="rId459" ref="AD255"/>
    <hyperlink r:id="rId460" ref="AA256"/>
    <hyperlink r:id="rId461" ref="AD256"/>
    <hyperlink r:id="rId462" ref="AA257"/>
    <hyperlink r:id="rId463" ref="AD257"/>
    <hyperlink r:id="rId464" ref="AA258"/>
    <hyperlink r:id="rId465" ref="AD258"/>
    <hyperlink r:id="rId466" ref="AA259"/>
    <hyperlink r:id="rId467" ref="AD259"/>
    <hyperlink r:id="rId468" ref="AA260"/>
    <hyperlink r:id="rId469" ref="AD260"/>
    <hyperlink r:id="rId470" ref="AD261"/>
    <hyperlink r:id="rId471" ref="AD262"/>
    <hyperlink r:id="rId472" ref="AA263"/>
    <hyperlink r:id="rId473" ref="AD263"/>
    <hyperlink r:id="rId474" ref="AD264"/>
    <hyperlink r:id="rId475" ref="AD265"/>
    <hyperlink r:id="rId476" ref="AD266"/>
    <hyperlink r:id="rId477" ref="AA267"/>
    <hyperlink r:id="rId478" ref="AD267"/>
    <hyperlink r:id="rId479" ref="AD268"/>
    <hyperlink r:id="rId480" ref="AA269"/>
    <hyperlink r:id="rId481" ref="AD269"/>
    <hyperlink r:id="rId482" ref="AA270"/>
    <hyperlink r:id="rId483" ref="AD270"/>
    <hyperlink r:id="rId484" ref="AD271"/>
    <hyperlink r:id="rId485" ref="AA272"/>
    <hyperlink r:id="rId486" ref="AD272"/>
    <hyperlink r:id="rId487" ref="AA273"/>
    <hyperlink r:id="rId488" ref="AD273"/>
    <hyperlink r:id="rId489" ref="AA274"/>
    <hyperlink r:id="rId490" ref="AD274"/>
    <hyperlink r:id="rId491" ref="AA275"/>
    <hyperlink r:id="rId492" ref="AD275"/>
    <hyperlink r:id="rId493" ref="AD276"/>
    <hyperlink r:id="rId494" ref="AD277"/>
    <hyperlink r:id="rId495" ref="AD278"/>
    <hyperlink r:id="rId496" ref="AD279"/>
    <hyperlink r:id="rId497" ref="AA280"/>
    <hyperlink r:id="rId498" ref="AD280"/>
    <hyperlink r:id="rId499" ref="AD281"/>
    <hyperlink r:id="rId500" ref="AA282"/>
    <hyperlink r:id="rId501" ref="AD282"/>
    <hyperlink r:id="rId502" ref="AD283"/>
    <hyperlink r:id="rId503" ref="AD284"/>
    <hyperlink r:id="rId504" ref="AA285"/>
    <hyperlink r:id="rId505" ref="AD285"/>
    <hyperlink r:id="rId506" ref="AD286"/>
    <hyperlink r:id="rId507" ref="AA287"/>
    <hyperlink r:id="rId508" ref="AD287"/>
    <hyperlink r:id="rId509" ref="AA288"/>
    <hyperlink r:id="rId510" ref="AD288"/>
    <hyperlink r:id="rId511" ref="AA289"/>
    <hyperlink r:id="rId512" ref="AD289"/>
    <hyperlink r:id="rId513" ref="AA290"/>
    <hyperlink r:id="rId514" ref="AD290"/>
    <hyperlink r:id="rId515" ref="AD291"/>
    <hyperlink r:id="rId516" ref="AA292"/>
    <hyperlink r:id="rId517" ref="AD292"/>
    <hyperlink r:id="rId518" ref="AA293"/>
    <hyperlink r:id="rId519" ref="AD293"/>
    <hyperlink r:id="rId520" ref="AA294"/>
    <hyperlink r:id="rId521" ref="AD294"/>
    <hyperlink r:id="rId522" ref="AA295"/>
    <hyperlink r:id="rId523" ref="AD295"/>
    <hyperlink r:id="rId524" ref="AD296"/>
    <hyperlink r:id="rId525" ref="AA297"/>
    <hyperlink r:id="rId526" ref="AD297"/>
    <hyperlink r:id="rId527" ref="AD298"/>
    <hyperlink r:id="rId528" ref="AD299"/>
    <hyperlink r:id="rId529" ref="AD300"/>
    <hyperlink r:id="rId530" ref="AA301"/>
    <hyperlink r:id="rId531" ref="AD301"/>
    <hyperlink r:id="rId532" ref="AA302"/>
    <hyperlink r:id="rId533" ref="AD302"/>
    <hyperlink r:id="rId534" ref="AA303"/>
    <hyperlink r:id="rId535" ref="AD303"/>
    <hyperlink r:id="rId536" ref="AA304"/>
    <hyperlink r:id="rId537" ref="AD304"/>
    <hyperlink r:id="rId538" ref="AA305"/>
    <hyperlink r:id="rId539" ref="AD305"/>
    <hyperlink r:id="rId540" ref="AA306"/>
    <hyperlink r:id="rId541" ref="AD306"/>
    <hyperlink r:id="rId542" ref="AA307"/>
    <hyperlink r:id="rId543" ref="AD307"/>
    <hyperlink r:id="rId544" ref="AD308"/>
    <hyperlink r:id="rId545" ref="AA309"/>
    <hyperlink r:id="rId546" ref="AD309"/>
    <hyperlink r:id="rId547" ref="AD310"/>
    <hyperlink r:id="rId548" ref="AA311"/>
    <hyperlink r:id="rId549" ref="AD311"/>
    <hyperlink r:id="rId550" ref="AA312"/>
    <hyperlink r:id="rId551" ref="AD312"/>
    <hyperlink r:id="rId552" ref="AD313"/>
    <hyperlink r:id="rId553" ref="AA314"/>
    <hyperlink r:id="rId554" ref="AD314"/>
    <hyperlink r:id="rId555" ref="AA315"/>
    <hyperlink r:id="rId556" ref="AD315"/>
    <hyperlink r:id="rId557" ref="AA316"/>
    <hyperlink r:id="rId558" ref="AD316"/>
    <hyperlink r:id="rId559" ref="AD317"/>
    <hyperlink r:id="rId560" ref="AA318"/>
    <hyperlink r:id="rId561" ref="AD318"/>
    <hyperlink r:id="rId562" ref="AA319"/>
    <hyperlink r:id="rId563" ref="AD319"/>
    <hyperlink r:id="rId564" ref="AD320"/>
    <hyperlink r:id="rId565" ref="AA321"/>
    <hyperlink r:id="rId566" ref="AD321"/>
    <hyperlink r:id="rId567" ref="AD322"/>
    <hyperlink r:id="rId568" ref="AD323"/>
    <hyperlink r:id="rId569" ref="AA324"/>
    <hyperlink r:id="rId570" ref="AD324"/>
    <hyperlink r:id="rId571" ref="AD325"/>
    <hyperlink r:id="rId572" ref="AA326"/>
    <hyperlink r:id="rId573" ref="AD326"/>
    <hyperlink r:id="rId574" ref="AA327"/>
    <hyperlink r:id="rId575" ref="AD327"/>
    <hyperlink r:id="rId576" ref="AD328"/>
    <hyperlink r:id="rId577" ref="AD329"/>
    <hyperlink r:id="rId578" ref="AD330"/>
    <hyperlink r:id="rId579" ref="AD331"/>
    <hyperlink r:id="rId580" ref="AA332"/>
    <hyperlink r:id="rId581" ref="AD332"/>
    <hyperlink r:id="rId582" ref="AD333"/>
    <hyperlink r:id="rId583" ref="AA334"/>
    <hyperlink r:id="rId584" ref="AD334"/>
    <hyperlink r:id="rId585" ref="AA335"/>
    <hyperlink r:id="rId586" ref="AD335"/>
    <hyperlink r:id="rId587" ref="AD336"/>
    <hyperlink r:id="rId588" ref="AD337"/>
    <hyperlink r:id="rId589" ref="AD338"/>
    <hyperlink r:id="rId590" ref="AD339"/>
    <hyperlink r:id="rId591" ref="AD340"/>
    <hyperlink r:id="rId592" ref="AD341"/>
    <hyperlink r:id="rId593" ref="AA342"/>
    <hyperlink r:id="rId594" ref="AD342"/>
    <hyperlink r:id="rId595" ref="AA343"/>
    <hyperlink r:id="rId596" ref="AD343"/>
    <hyperlink r:id="rId597" ref="AA344"/>
    <hyperlink r:id="rId598" ref="AD344"/>
    <hyperlink r:id="rId599" ref="AA345"/>
    <hyperlink r:id="rId600" ref="AD345"/>
    <hyperlink r:id="rId601" ref="AA346"/>
    <hyperlink r:id="rId602" ref="AD346"/>
    <hyperlink r:id="rId603" ref="AD347"/>
    <hyperlink r:id="rId604" ref="AA348"/>
    <hyperlink r:id="rId605" ref="AD348"/>
    <hyperlink r:id="rId606" ref="AA349"/>
    <hyperlink r:id="rId607" ref="AD349"/>
    <hyperlink r:id="rId608" ref="AA350"/>
    <hyperlink r:id="rId609" ref="AD350"/>
    <hyperlink r:id="rId610" ref="AD351"/>
    <hyperlink r:id="rId611" ref="AA352"/>
    <hyperlink r:id="rId612" ref="AD352"/>
    <hyperlink r:id="rId613" ref="AA353"/>
    <hyperlink r:id="rId614" ref="AD353"/>
    <hyperlink r:id="rId615" ref="AD354"/>
    <hyperlink r:id="rId616" ref="AD355"/>
    <hyperlink r:id="rId617" ref="AA356"/>
    <hyperlink r:id="rId618" ref="AD356"/>
    <hyperlink r:id="rId619" ref="AD357"/>
    <hyperlink r:id="rId620" ref="AD358"/>
    <hyperlink r:id="rId621" ref="AD359"/>
    <hyperlink r:id="rId622" ref="AD360"/>
    <hyperlink r:id="rId623" ref="AD361"/>
    <hyperlink r:id="rId624" ref="AA362"/>
    <hyperlink r:id="rId625" ref="AD362"/>
    <hyperlink r:id="rId626" ref="AD363"/>
    <hyperlink r:id="rId627" ref="AA364"/>
    <hyperlink r:id="rId628" ref="AD364"/>
    <hyperlink r:id="rId629" ref="AA365"/>
    <hyperlink r:id="rId630" ref="AD365"/>
    <hyperlink r:id="rId631" ref="AD366"/>
    <hyperlink r:id="rId632" ref="AD367"/>
    <hyperlink r:id="rId633" ref="AD368"/>
    <hyperlink r:id="rId634" ref="AA369"/>
    <hyperlink r:id="rId635" ref="AD369"/>
    <hyperlink r:id="rId636" ref="AD370"/>
    <hyperlink r:id="rId637" ref="AA371"/>
    <hyperlink r:id="rId638" ref="AD371"/>
    <hyperlink r:id="rId639" ref="AD372"/>
    <hyperlink r:id="rId640" ref="AD373"/>
    <hyperlink r:id="rId641" ref="AD374"/>
    <hyperlink r:id="rId642" ref="AD375"/>
    <hyperlink r:id="rId643" ref="AD376"/>
    <hyperlink r:id="rId644" ref="AA377"/>
    <hyperlink r:id="rId645" ref="AD377"/>
    <hyperlink r:id="rId646" ref="AA378"/>
    <hyperlink r:id="rId647" ref="AD378"/>
    <hyperlink r:id="rId648" ref="AD379"/>
    <hyperlink r:id="rId649" ref="D380"/>
    <hyperlink r:id="rId650" ref="AA380"/>
    <hyperlink r:id="rId651" ref="AD381"/>
    <hyperlink r:id="rId652" ref="AD382"/>
    <hyperlink r:id="rId653" ref="AA383"/>
    <hyperlink r:id="rId654" ref="AD383"/>
    <hyperlink r:id="rId655" ref="AD384"/>
    <hyperlink r:id="rId656" ref="AD385"/>
    <hyperlink r:id="rId657" ref="AA386"/>
    <hyperlink r:id="rId658" ref="AD386"/>
    <hyperlink r:id="rId659" ref="AD387"/>
    <hyperlink r:id="rId660" ref="AD388"/>
    <hyperlink r:id="rId661" ref="AD389"/>
    <hyperlink r:id="rId662" ref="AD390"/>
    <hyperlink r:id="rId663" ref="AD391"/>
    <hyperlink r:id="rId664" ref="AD392"/>
    <hyperlink r:id="rId665" ref="AA393"/>
    <hyperlink r:id="rId666" ref="AD393"/>
    <hyperlink r:id="rId667" ref="AD394"/>
    <hyperlink r:id="rId668" ref="S395"/>
    <hyperlink r:id="rId669" ref="T395"/>
    <hyperlink r:id="rId670" ref="U395"/>
    <hyperlink r:id="rId671" ref="V395"/>
    <hyperlink r:id="rId672" ref="W395"/>
    <hyperlink r:id="rId673" ref="W396"/>
    <hyperlink r:id="rId674" ref="U397"/>
    <hyperlink r:id="rId675" ref="W397"/>
    <hyperlink r:id="rId676" ref="W398"/>
    <hyperlink r:id="rId677" ref="U399"/>
    <hyperlink r:id="rId678" ref="W399"/>
    <hyperlink r:id="rId679" ref="U400"/>
    <hyperlink r:id="rId680" ref="W400"/>
    <hyperlink r:id="rId681" ref="O401"/>
    <hyperlink r:id="rId682" ref="V401"/>
    <hyperlink r:id="rId683" ref="W401"/>
  </hyperlinks>
  <drawing r:id="rId68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13"/>
    <col customWidth="1" min="2" max="6" width="12.63"/>
  </cols>
  <sheetData>
    <row r="1" ht="15.75" customHeight="1">
      <c r="A1" s="51" t="s">
        <v>6957</v>
      </c>
      <c r="B1" s="51" t="s">
        <v>6960</v>
      </c>
      <c r="C1" s="51" t="s">
        <v>6961</v>
      </c>
      <c r="D1" s="51" t="s">
        <v>6962</v>
      </c>
      <c r="E1" s="51" t="s">
        <v>6963</v>
      </c>
      <c r="F1" s="51" t="s">
        <v>6964</v>
      </c>
      <c r="G1" s="51" t="s">
        <v>11384</v>
      </c>
      <c r="H1" s="51" t="s">
        <v>11385</v>
      </c>
      <c r="I1" s="52"/>
      <c r="J1" s="52"/>
      <c r="K1" s="52"/>
      <c r="L1" s="52"/>
      <c r="M1" s="52"/>
      <c r="N1" s="52"/>
      <c r="O1" s="52"/>
      <c r="P1" s="52"/>
      <c r="Q1" s="52"/>
      <c r="R1" s="52"/>
      <c r="S1" s="52"/>
      <c r="T1" s="52"/>
      <c r="U1" s="52"/>
      <c r="V1" s="52"/>
      <c r="W1" s="52"/>
      <c r="X1" s="52"/>
      <c r="Y1" s="52"/>
      <c r="Z1" s="52"/>
    </row>
    <row r="2" ht="15.75" customHeight="1">
      <c r="A2" s="11">
        <v>1.0</v>
      </c>
      <c r="B2" s="40" t="s">
        <v>10465</v>
      </c>
      <c r="C2" s="40" t="s">
        <v>146</v>
      </c>
      <c r="D2" s="40" t="s">
        <v>108</v>
      </c>
      <c r="E2" s="40" t="s">
        <v>4218</v>
      </c>
      <c r="F2" s="40" t="s">
        <v>494</v>
      </c>
      <c r="G2" s="21">
        <v>8.447085934E9</v>
      </c>
      <c r="H2" s="53"/>
      <c r="I2" s="54"/>
      <c r="J2" s="52"/>
      <c r="K2" s="52"/>
      <c r="L2" s="52"/>
      <c r="M2" s="52"/>
      <c r="N2" s="52"/>
      <c r="O2" s="52"/>
      <c r="P2" s="52"/>
      <c r="Q2" s="52"/>
      <c r="R2" s="52"/>
      <c r="S2" s="52"/>
      <c r="T2" s="52"/>
      <c r="U2" s="52"/>
      <c r="V2" s="52"/>
      <c r="W2" s="52"/>
      <c r="X2" s="52"/>
      <c r="Y2" s="52"/>
      <c r="Z2" s="52"/>
    </row>
    <row r="3" ht="15.75" customHeight="1">
      <c r="A3" s="53"/>
      <c r="B3" s="53"/>
      <c r="C3" s="11" t="s">
        <v>4487</v>
      </c>
      <c r="D3" s="11" t="s">
        <v>11386</v>
      </c>
      <c r="E3" s="11" t="s">
        <v>11387</v>
      </c>
      <c r="F3" s="11" t="s">
        <v>11388</v>
      </c>
      <c r="G3" s="11">
        <v>9.953188322E9</v>
      </c>
      <c r="H3" s="53"/>
      <c r="I3" s="54"/>
      <c r="J3" s="52"/>
      <c r="K3" s="52"/>
      <c r="L3" s="52"/>
      <c r="M3" s="52"/>
      <c r="N3" s="52"/>
      <c r="O3" s="52"/>
      <c r="P3" s="52"/>
      <c r="Q3" s="52"/>
      <c r="R3" s="52"/>
      <c r="S3" s="52"/>
      <c r="T3" s="52"/>
      <c r="U3" s="52"/>
      <c r="V3" s="52"/>
      <c r="W3" s="52"/>
      <c r="X3" s="52"/>
      <c r="Y3" s="52"/>
      <c r="Z3" s="52"/>
    </row>
    <row r="4" ht="15.75" customHeight="1">
      <c r="A4" s="53"/>
      <c r="B4" s="53"/>
      <c r="C4" s="53"/>
      <c r="D4" s="53"/>
      <c r="E4" s="53"/>
      <c r="F4" s="53"/>
      <c r="G4" s="53"/>
      <c r="H4" s="53"/>
      <c r="I4" s="54"/>
      <c r="J4" s="52"/>
      <c r="K4" s="52"/>
      <c r="L4" s="52"/>
      <c r="M4" s="52"/>
      <c r="N4" s="52"/>
      <c r="O4" s="52"/>
      <c r="P4" s="52"/>
      <c r="Q4" s="52"/>
      <c r="R4" s="52"/>
      <c r="S4" s="52"/>
      <c r="T4" s="52"/>
      <c r="U4" s="52"/>
      <c r="V4" s="52"/>
      <c r="W4" s="52"/>
      <c r="X4" s="52"/>
      <c r="Y4" s="52"/>
      <c r="Z4" s="52"/>
    </row>
    <row r="5" ht="15.75" customHeight="1">
      <c r="A5" s="11">
        <v>2.0</v>
      </c>
      <c r="B5" s="11" t="s">
        <v>10004</v>
      </c>
      <c r="C5" s="11" t="s">
        <v>174</v>
      </c>
      <c r="D5" s="11" t="s">
        <v>4008</v>
      </c>
      <c r="E5" s="11" t="s">
        <v>3322</v>
      </c>
      <c r="F5" s="11" t="s">
        <v>434</v>
      </c>
      <c r="G5" s="11" t="s">
        <v>11389</v>
      </c>
      <c r="H5" s="55" t="s">
        <v>11390</v>
      </c>
      <c r="I5" s="54"/>
      <c r="J5" s="52"/>
      <c r="K5" s="52"/>
      <c r="L5" s="52"/>
      <c r="M5" s="52"/>
      <c r="N5" s="52"/>
      <c r="O5" s="52"/>
      <c r="P5" s="52"/>
      <c r="Q5" s="52"/>
      <c r="R5" s="52"/>
      <c r="S5" s="52"/>
      <c r="T5" s="52"/>
      <c r="U5" s="52"/>
      <c r="V5" s="52"/>
      <c r="W5" s="52"/>
      <c r="X5" s="52"/>
      <c r="Y5" s="52"/>
      <c r="Z5" s="52"/>
    </row>
    <row r="6" ht="15.75" customHeight="1">
      <c r="A6" s="53"/>
      <c r="B6" s="53"/>
      <c r="C6" s="53"/>
      <c r="D6" s="53"/>
      <c r="E6" s="53"/>
      <c r="F6" s="53"/>
      <c r="G6" s="53"/>
      <c r="H6" s="53"/>
      <c r="I6" s="54"/>
      <c r="J6" s="52"/>
      <c r="K6" s="52"/>
      <c r="L6" s="52"/>
      <c r="M6" s="52"/>
      <c r="N6" s="52"/>
      <c r="O6" s="52"/>
      <c r="P6" s="52"/>
      <c r="Q6" s="52"/>
      <c r="R6" s="52"/>
      <c r="S6" s="52"/>
      <c r="T6" s="52"/>
      <c r="U6" s="52"/>
      <c r="V6" s="52"/>
      <c r="W6" s="52"/>
      <c r="X6" s="52"/>
      <c r="Y6" s="52"/>
      <c r="Z6" s="52"/>
    </row>
    <row r="7" ht="15.75" customHeight="1">
      <c r="A7" s="55">
        <v>3.0</v>
      </c>
      <c r="B7" s="55" t="s">
        <v>9960</v>
      </c>
      <c r="C7" s="55" t="s">
        <v>4427</v>
      </c>
      <c r="D7" s="55" t="s">
        <v>125</v>
      </c>
      <c r="E7" s="55" t="s">
        <v>9961</v>
      </c>
      <c r="F7" s="55" t="s">
        <v>2025</v>
      </c>
      <c r="G7" s="55">
        <v>6.200129442E9</v>
      </c>
      <c r="H7" s="55" t="s">
        <v>11391</v>
      </c>
      <c r="I7" s="54"/>
      <c r="J7" s="52"/>
      <c r="K7" s="52"/>
      <c r="L7" s="52"/>
      <c r="M7" s="52"/>
      <c r="N7" s="52"/>
      <c r="O7" s="52"/>
      <c r="P7" s="52"/>
      <c r="Q7" s="52"/>
      <c r="R7" s="52"/>
      <c r="S7" s="52"/>
      <c r="T7" s="52"/>
      <c r="U7" s="52"/>
      <c r="V7" s="52"/>
      <c r="W7" s="52"/>
      <c r="X7" s="52"/>
      <c r="Y7" s="52"/>
      <c r="Z7" s="52"/>
    </row>
    <row r="8" ht="15.75" customHeight="1">
      <c r="A8" s="53"/>
      <c r="B8" s="53"/>
      <c r="C8" s="53"/>
      <c r="D8" s="53"/>
      <c r="E8" s="53"/>
      <c r="F8" s="53"/>
      <c r="G8" s="53"/>
      <c r="H8" s="53"/>
      <c r="I8" s="54"/>
      <c r="J8" s="52"/>
      <c r="K8" s="52"/>
      <c r="L8" s="52"/>
      <c r="M8" s="52"/>
      <c r="N8" s="52"/>
      <c r="O8" s="52"/>
      <c r="P8" s="52"/>
      <c r="Q8" s="52"/>
      <c r="R8" s="52"/>
      <c r="S8" s="52"/>
      <c r="T8" s="52"/>
      <c r="U8" s="52"/>
      <c r="V8" s="52"/>
      <c r="W8" s="52"/>
      <c r="X8" s="52"/>
      <c r="Y8" s="52"/>
      <c r="Z8" s="52"/>
    </row>
    <row r="9" ht="15.75" customHeight="1">
      <c r="A9" s="11">
        <v>4.0</v>
      </c>
      <c r="B9" s="11" t="s">
        <v>8452</v>
      </c>
      <c r="C9" s="11" t="s">
        <v>5434</v>
      </c>
      <c r="D9" s="11" t="s">
        <v>5435</v>
      </c>
      <c r="E9" s="11" t="s">
        <v>5430</v>
      </c>
      <c r="F9" s="11" t="s">
        <v>5396</v>
      </c>
      <c r="G9" s="40">
        <v>7.90873294E9</v>
      </c>
      <c r="H9" s="53"/>
      <c r="I9" s="54"/>
      <c r="J9" s="52"/>
      <c r="K9" s="52"/>
      <c r="L9" s="52"/>
      <c r="M9" s="52"/>
      <c r="N9" s="52"/>
      <c r="O9" s="52"/>
      <c r="P9" s="52"/>
      <c r="Q9" s="52"/>
      <c r="R9" s="52"/>
      <c r="S9" s="52"/>
      <c r="T9" s="52"/>
      <c r="U9" s="52"/>
      <c r="V9" s="52"/>
      <c r="W9" s="52"/>
      <c r="X9" s="52"/>
      <c r="Y9" s="52"/>
      <c r="Z9" s="52"/>
    </row>
    <row r="10" ht="15.75" customHeight="1">
      <c r="A10" s="53"/>
      <c r="B10" s="40" t="s">
        <v>11392</v>
      </c>
      <c r="C10" s="40" t="s">
        <v>11393</v>
      </c>
      <c r="D10" s="11" t="s">
        <v>11394</v>
      </c>
      <c r="E10" s="11" t="s">
        <v>5430</v>
      </c>
      <c r="F10" s="11" t="s">
        <v>5396</v>
      </c>
      <c r="G10" s="21">
        <v>7.866069561E9</v>
      </c>
      <c r="H10" s="53"/>
      <c r="I10" s="54"/>
      <c r="J10" s="52"/>
      <c r="K10" s="52"/>
      <c r="L10" s="52"/>
      <c r="M10" s="52"/>
      <c r="N10" s="52"/>
      <c r="O10" s="52"/>
      <c r="P10" s="52"/>
      <c r="Q10" s="52"/>
      <c r="R10" s="52"/>
      <c r="S10" s="52"/>
      <c r="T10" s="52"/>
      <c r="U10" s="52"/>
      <c r="V10" s="52"/>
      <c r="W10" s="52"/>
      <c r="X10" s="52"/>
      <c r="Y10" s="52"/>
      <c r="Z10" s="52"/>
    </row>
    <row r="11" ht="15.75" customHeight="1">
      <c r="A11" s="53"/>
      <c r="B11" s="53"/>
      <c r="C11" s="53"/>
      <c r="D11" s="53"/>
      <c r="E11" s="53"/>
      <c r="F11" s="53"/>
      <c r="G11" s="53"/>
      <c r="H11" s="53"/>
      <c r="I11" s="54"/>
      <c r="J11" s="52"/>
      <c r="K11" s="52"/>
      <c r="L11" s="52"/>
      <c r="M11" s="52"/>
      <c r="N11" s="52"/>
      <c r="O11" s="52"/>
      <c r="P11" s="52"/>
      <c r="Q11" s="52"/>
      <c r="R11" s="52"/>
      <c r="S11" s="52"/>
      <c r="T11" s="52"/>
      <c r="U11" s="52"/>
      <c r="V11" s="52"/>
      <c r="W11" s="52"/>
      <c r="X11" s="52"/>
      <c r="Y11" s="52"/>
      <c r="Z11" s="52"/>
    </row>
    <row r="12" ht="15.75" customHeight="1">
      <c r="A12" s="11">
        <v>5.0</v>
      </c>
      <c r="B12" s="11" t="s">
        <v>9077</v>
      </c>
      <c r="C12" s="11" t="s">
        <v>5678</v>
      </c>
      <c r="D12" s="11" t="s">
        <v>5746</v>
      </c>
      <c r="E12" s="11" t="s">
        <v>5747</v>
      </c>
      <c r="F12" s="11" t="s">
        <v>402</v>
      </c>
      <c r="G12" s="11" t="s">
        <v>11389</v>
      </c>
      <c r="H12" s="53"/>
      <c r="I12" s="54"/>
      <c r="J12" s="52"/>
      <c r="K12" s="52"/>
      <c r="L12" s="52"/>
      <c r="M12" s="52"/>
      <c r="N12" s="52"/>
      <c r="O12" s="52"/>
      <c r="P12" s="52"/>
      <c r="Q12" s="52"/>
      <c r="R12" s="52"/>
      <c r="S12" s="52"/>
      <c r="T12" s="52"/>
      <c r="U12" s="52"/>
      <c r="V12" s="52"/>
      <c r="W12" s="52"/>
      <c r="X12" s="52"/>
      <c r="Y12" s="52"/>
      <c r="Z12" s="52"/>
    </row>
    <row r="13" ht="15.75" customHeight="1">
      <c r="A13" s="53"/>
      <c r="B13" s="11" t="s">
        <v>11395</v>
      </c>
      <c r="C13" s="40" t="s">
        <v>11396</v>
      </c>
      <c r="D13" s="40" t="s">
        <v>675</v>
      </c>
      <c r="E13" s="11" t="s">
        <v>5747</v>
      </c>
      <c r="F13" s="11" t="s">
        <v>402</v>
      </c>
      <c r="G13" s="11" t="s">
        <v>11389</v>
      </c>
      <c r="H13" s="53"/>
      <c r="I13" s="54"/>
      <c r="J13" s="52"/>
      <c r="K13" s="52"/>
      <c r="L13" s="52"/>
      <c r="M13" s="52"/>
      <c r="N13" s="52"/>
      <c r="O13" s="52"/>
      <c r="P13" s="52"/>
      <c r="Q13" s="52"/>
      <c r="R13" s="52"/>
      <c r="S13" s="52"/>
      <c r="T13" s="52"/>
      <c r="U13" s="52"/>
      <c r="V13" s="52"/>
      <c r="W13" s="52"/>
      <c r="X13" s="52"/>
      <c r="Y13" s="52"/>
      <c r="Z13" s="52"/>
    </row>
    <row r="14" ht="15.75" customHeight="1">
      <c r="A14" s="53"/>
      <c r="B14" s="53"/>
      <c r="C14" s="56"/>
      <c r="D14" s="56"/>
      <c r="E14" s="56"/>
      <c r="F14" s="56"/>
      <c r="G14" s="53"/>
      <c r="H14" s="53"/>
      <c r="I14" s="54"/>
      <c r="J14" s="52"/>
      <c r="K14" s="52"/>
      <c r="L14" s="52"/>
      <c r="M14" s="52"/>
      <c r="N14" s="52"/>
      <c r="O14" s="52"/>
      <c r="P14" s="52"/>
      <c r="Q14" s="52"/>
      <c r="R14" s="52"/>
      <c r="S14" s="52"/>
      <c r="T14" s="52"/>
      <c r="U14" s="52"/>
      <c r="V14" s="52"/>
      <c r="W14" s="52"/>
      <c r="X14" s="52"/>
      <c r="Y14" s="52"/>
      <c r="Z14" s="52"/>
    </row>
    <row r="15" ht="15.75" customHeight="1">
      <c r="A15" s="11">
        <v>6.0</v>
      </c>
      <c r="B15" s="11" t="s">
        <v>11323</v>
      </c>
      <c r="C15" s="40" t="s">
        <v>940</v>
      </c>
      <c r="D15" s="40" t="s">
        <v>11324</v>
      </c>
      <c r="E15" s="40" t="s">
        <v>11325</v>
      </c>
      <c r="F15" s="40" t="s">
        <v>1102</v>
      </c>
      <c r="G15" s="11" t="s">
        <v>11389</v>
      </c>
      <c r="H15" s="53"/>
      <c r="I15" s="54"/>
      <c r="J15" s="52"/>
      <c r="K15" s="52"/>
      <c r="L15" s="52"/>
      <c r="M15" s="52"/>
      <c r="N15" s="52"/>
      <c r="O15" s="52"/>
      <c r="P15" s="52"/>
      <c r="Q15" s="52"/>
      <c r="R15" s="52"/>
      <c r="S15" s="52"/>
      <c r="T15" s="52"/>
      <c r="U15" s="52"/>
      <c r="V15" s="52"/>
      <c r="W15" s="52"/>
      <c r="X15" s="52"/>
      <c r="Y15" s="52"/>
      <c r="Z15" s="52"/>
    </row>
    <row r="16" ht="15.75" customHeight="1">
      <c r="A16" s="53"/>
      <c r="B16" s="11" t="s">
        <v>11397</v>
      </c>
      <c r="C16" s="40" t="s">
        <v>11398</v>
      </c>
      <c r="D16" s="40" t="s">
        <v>11399</v>
      </c>
      <c r="E16" s="40" t="s">
        <v>11325</v>
      </c>
      <c r="F16" s="40" t="s">
        <v>1102</v>
      </c>
      <c r="G16" s="11" t="s">
        <v>11389</v>
      </c>
      <c r="H16" s="53"/>
      <c r="I16" s="54"/>
      <c r="J16" s="52"/>
      <c r="K16" s="52"/>
      <c r="L16" s="52"/>
      <c r="M16" s="52"/>
      <c r="N16" s="52"/>
      <c r="O16" s="52"/>
      <c r="P16" s="52"/>
      <c r="Q16" s="52"/>
      <c r="R16" s="52"/>
      <c r="S16" s="52"/>
      <c r="T16" s="52"/>
      <c r="U16" s="52"/>
      <c r="V16" s="52"/>
      <c r="W16" s="52"/>
      <c r="X16" s="52"/>
      <c r="Y16" s="52"/>
      <c r="Z16" s="52"/>
    </row>
    <row r="17" ht="15.75" customHeight="1">
      <c r="A17" s="53"/>
      <c r="B17" s="53"/>
      <c r="C17" s="56"/>
      <c r="D17" s="56"/>
      <c r="E17" s="56"/>
      <c r="F17" s="56"/>
      <c r="G17" s="53"/>
      <c r="H17" s="53"/>
      <c r="I17" s="54"/>
      <c r="J17" s="52"/>
      <c r="K17" s="52"/>
      <c r="L17" s="52"/>
      <c r="M17" s="52"/>
      <c r="N17" s="52"/>
      <c r="O17" s="52"/>
      <c r="P17" s="52"/>
      <c r="Q17" s="52"/>
      <c r="R17" s="52"/>
      <c r="S17" s="52"/>
      <c r="T17" s="52"/>
      <c r="U17" s="52"/>
      <c r="V17" s="52"/>
      <c r="W17" s="52"/>
      <c r="X17" s="52"/>
      <c r="Y17" s="52"/>
      <c r="Z17" s="52"/>
    </row>
    <row r="18" ht="15.75" customHeight="1">
      <c r="A18" s="11">
        <v>7.0</v>
      </c>
      <c r="B18" s="11" t="s">
        <v>9272</v>
      </c>
      <c r="C18" s="40" t="s">
        <v>5803</v>
      </c>
      <c r="D18" s="40" t="s">
        <v>225</v>
      </c>
      <c r="E18" s="40" t="s">
        <v>4480</v>
      </c>
      <c r="F18" s="40" t="s">
        <v>4481</v>
      </c>
      <c r="G18" s="11">
        <v>9.847922448E9</v>
      </c>
      <c r="H18" s="53"/>
      <c r="I18" s="54"/>
      <c r="J18" s="52"/>
      <c r="K18" s="52"/>
      <c r="L18" s="52"/>
      <c r="M18" s="52"/>
      <c r="N18" s="52"/>
      <c r="O18" s="52"/>
      <c r="P18" s="52"/>
      <c r="Q18" s="52"/>
      <c r="R18" s="52"/>
      <c r="S18" s="52"/>
      <c r="T18" s="52"/>
      <c r="U18" s="52"/>
      <c r="V18" s="52"/>
      <c r="W18" s="52"/>
      <c r="X18" s="52"/>
      <c r="Y18" s="52"/>
      <c r="Z18" s="52"/>
    </row>
    <row r="19" ht="15.75" customHeight="1">
      <c r="A19" s="53"/>
      <c r="B19" s="11" t="s">
        <v>11400</v>
      </c>
      <c r="C19" s="40" t="s">
        <v>11401</v>
      </c>
      <c r="D19" s="40" t="s">
        <v>11402</v>
      </c>
      <c r="E19" s="40" t="s">
        <v>4480</v>
      </c>
      <c r="F19" s="40" t="s">
        <v>6216</v>
      </c>
      <c r="G19" s="31">
        <v>9.633604661E9</v>
      </c>
      <c r="H19" s="53"/>
      <c r="I19" s="54"/>
      <c r="J19" s="52"/>
      <c r="K19" s="52"/>
      <c r="L19" s="52"/>
      <c r="M19" s="52"/>
      <c r="N19" s="52"/>
      <c r="O19" s="52"/>
      <c r="P19" s="52"/>
      <c r="Q19" s="52"/>
      <c r="R19" s="52"/>
      <c r="S19" s="52"/>
      <c r="T19" s="52"/>
      <c r="U19" s="52"/>
      <c r="V19" s="52"/>
      <c r="W19" s="52"/>
      <c r="X19" s="52"/>
      <c r="Y19" s="52"/>
      <c r="Z19" s="52"/>
    </row>
    <row r="20" ht="15.75" customHeight="1">
      <c r="A20" s="53"/>
      <c r="B20" s="53"/>
      <c r="C20" s="56"/>
      <c r="D20" s="56"/>
      <c r="E20" s="56"/>
      <c r="F20" s="56"/>
      <c r="G20" s="57"/>
      <c r="H20" s="53"/>
      <c r="I20" s="54"/>
      <c r="J20" s="52"/>
      <c r="K20" s="52"/>
      <c r="L20" s="52"/>
      <c r="M20" s="52"/>
      <c r="N20" s="52"/>
      <c r="O20" s="52"/>
      <c r="P20" s="52"/>
      <c r="Q20" s="52"/>
      <c r="R20" s="52"/>
      <c r="S20" s="52"/>
      <c r="T20" s="52"/>
      <c r="U20" s="52"/>
      <c r="V20" s="52"/>
      <c r="W20" s="52"/>
      <c r="X20" s="52"/>
      <c r="Y20" s="52"/>
      <c r="Z20" s="52"/>
    </row>
    <row r="21" ht="15.75" customHeight="1">
      <c r="A21" s="11">
        <v>8.0</v>
      </c>
      <c r="B21" s="11" t="s">
        <v>9215</v>
      </c>
      <c r="C21" s="40" t="s">
        <v>2663</v>
      </c>
      <c r="D21" s="40" t="s">
        <v>5226</v>
      </c>
      <c r="E21" s="40" t="s">
        <v>3322</v>
      </c>
      <c r="F21" s="40" t="s">
        <v>434</v>
      </c>
      <c r="G21" s="31">
        <v>9.372460941E9</v>
      </c>
      <c r="H21" s="53"/>
      <c r="I21" s="54"/>
      <c r="J21" s="52"/>
      <c r="K21" s="52"/>
      <c r="L21" s="52"/>
      <c r="M21" s="52"/>
      <c r="N21" s="52"/>
      <c r="O21" s="52"/>
      <c r="P21" s="52"/>
      <c r="Q21" s="52"/>
      <c r="R21" s="52"/>
      <c r="S21" s="52"/>
      <c r="T21" s="52"/>
      <c r="U21" s="52"/>
      <c r="V21" s="52"/>
      <c r="W21" s="52"/>
      <c r="X21" s="52"/>
      <c r="Y21" s="52"/>
      <c r="Z21" s="52"/>
    </row>
    <row r="22" ht="15.75" customHeight="1">
      <c r="A22" s="53"/>
      <c r="B22" s="53"/>
      <c r="C22" s="11" t="s">
        <v>11403</v>
      </c>
      <c r="D22" s="11" t="s">
        <v>326</v>
      </c>
      <c r="E22" s="40" t="s">
        <v>3322</v>
      </c>
      <c r="F22" s="40" t="s">
        <v>434</v>
      </c>
      <c r="G22" s="11">
        <v>7.738948886E9</v>
      </c>
      <c r="H22" s="53"/>
      <c r="I22" s="54"/>
      <c r="J22" s="52"/>
      <c r="K22" s="52"/>
      <c r="L22" s="52"/>
      <c r="M22" s="52"/>
      <c r="N22" s="52"/>
      <c r="O22" s="52"/>
      <c r="P22" s="52"/>
      <c r="Q22" s="52"/>
      <c r="R22" s="52"/>
      <c r="S22" s="52"/>
      <c r="T22" s="52"/>
      <c r="U22" s="52"/>
      <c r="V22" s="52"/>
      <c r="W22" s="52"/>
      <c r="X22" s="52"/>
      <c r="Y22" s="52"/>
      <c r="Z22" s="52"/>
    </row>
    <row r="23" ht="15.75" customHeight="1">
      <c r="A23" s="53"/>
      <c r="B23" s="53"/>
      <c r="C23" s="53"/>
      <c r="D23" s="53"/>
      <c r="E23" s="53"/>
      <c r="F23" s="53"/>
      <c r="G23" s="53"/>
      <c r="H23" s="53"/>
      <c r="I23" s="54"/>
      <c r="J23" s="52"/>
      <c r="K23" s="52"/>
      <c r="L23" s="52"/>
      <c r="M23" s="52"/>
      <c r="N23" s="52"/>
      <c r="O23" s="52"/>
      <c r="P23" s="52"/>
      <c r="Q23" s="52"/>
      <c r="R23" s="52"/>
      <c r="S23" s="52"/>
      <c r="T23" s="52"/>
      <c r="U23" s="52"/>
      <c r="V23" s="52"/>
      <c r="W23" s="52"/>
      <c r="X23" s="52"/>
      <c r="Y23" s="52"/>
      <c r="Z23" s="52"/>
    </row>
    <row r="24" ht="15.75" customHeight="1">
      <c r="A24" s="11">
        <v>9.0</v>
      </c>
      <c r="B24" s="11" t="s">
        <v>9626</v>
      </c>
      <c r="C24" s="11" t="s">
        <v>1260</v>
      </c>
      <c r="D24" s="11" t="s">
        <v>4773</v>
      </c>
      <c r="E24" s="11" t="s">
        <v>9627</v>
      </c>
      <c r="F24" s="11" t="s">
        <v>2025</v>
      </c>
      <c r="G24" s="11" t="s">
        <v>11389</v>
      </c>
      <c r="H24" s="55" t="s">
        <v>11390</v>
      </c>
      <c r="I24" s="54"/>
      <c r="J24" s="52"/>
      <c r="K24" s="52"/>
      <c r="L24" s="52"/>
      <c r="M24" s="52"/>
      <c r="N24" s="52"/>
      <c r="O24" s="52"/>
      <c r="P24" s="52"/>
      <c r="Q24" s="52"/>
      <c r="R24" s="52"/>
      <c r="S24" s="52"/>
      <c r="T24" s="52"/>
      <c r="U24" s="52"/>
      <c r="V24" s="52"/>
      <c r="W24" s="52"/>
      <c r="X24" s="52"/>
      <c r="Y24" s="52"/>
      <c r="Z24" s="52"/>
    </row>
    <row r="25" ht="15.75" customHeight="1">
      <c r="A25" s="53"/>
      <c r="B25" s="53"/>
      <c r="C25" s="53"/>
      <c r="D25" s="53"/>
      <c r="E25" s="53"/>
      <c r="F25" s="53"/>
      <c r="G25" s="53"/>
      <c r="H25" s="53"/>
      <c r="I25" s="54"/>
      <c r="J25" s="52"/>
      <c r="K25" s="52"/>
      <c r="L25" s="52"/>
      <c r="M25" s="52"/>
      <c r="N25" s="52"/>
      <c r="O25" s="52"/>
      <c r="P25" s="52"/>
      <c r="Q25" s="52"/>
      <c r="R25" s="52"/>
      <c r="S25" s="52"/>
      <c r="T25" s="52"/>
      <c r="U25" s="52"/>
      <c r="V25" s="52"/>
      <c r="W25" s="52"/>
      <c r="X25" s="52"/>
      <c r="Y25" s="52"/>
      <c r="Z25" s="52"/>
    </row>
    <row r="26" ht="15.75" customHeight="1">
      <c r="A26" s="11">
        <v>10.0</v>
      </c>
      <c r="B26" s="11" t="s">
        <v>8596</v>
      </c>
      <c r="C26" s="11" t="s">
        <v>6102</v>
      </c>
      <c r="D26" s="11" t="s">
        <v>5600</v>
      </c>
      <c r="E26" s="11" t="s">
        <v>11404</v>
      </c>
      <c r="F26" s="11" t="s">
        <v>5408</v>
      </c>
      <c r="G26" s="21">
        <v>7.837414824E9</v>
      </c>
      <c r="H26" s="53"/>
      <c r="I26" s="54"/>
      <c r="J26" s="52"/>
      <c r="K26" s="52"/>
      <c r="L26" s="52"/>
      <c r="M26" s="52"/>
      <c r="N26" s="52"/>
      <c r="O26" s="52"/>
      <c r="P26" s="52"/>
      <c r="Q26" s="52"/>
      <c r="R26" s="52"/>
      <c r="S26" s="52"/>
      <c r="T26" s="52"/>
      <c r="U26" s="52"/>
      <c r="V26" s="52"/>
      <c r="W26" s="52"/>
      <c r="X26" s="52"/>
      <c r="Y26" s="52"/>
      <c r="Z26" s="52"/>
    </row>
    <row r="27" ht="15.75" customHeight="1">
      <c r="A27" s="53"/>
      <c r="B27" s="53"/>
      <c r="C27" s="11" t="s">
        <v>11405</v>
      </c>
      <c r="D27" s="11" t="s">
        <v>11406</v>
      </c>
      <c r="E27" s="11" t="s">
        <v>6103</v>
      </c>
      <c r="F27" s="11" t="s">
        <v>5408</v>
      </c>
      <c r="G27" s="53"/>
      <c r="H27" s="53"/>
      <c r="I27" s="54"/>
      <c r="J27" s="52"/>
      <c r="K27" s="52"/>
      <c r="L27" s="52"/>
      <c r="M27" s="52"/>
      <c r="N27" s="52"/>
      <c r="O27" s="52"/>
      <c r="P27" s="52"/>
      <c r="Q27" s="52"/>
      <c r="R27" s="52"/>
      <c r="S27" s="52"/>
      <c r="T27" s="52"/>
      <c r="U27" s="52"/>
      <c r="V27" s="52"/>
      <c r="W27" s="52"/>
      <c r="X27" s="52"/>
      <c r="Y27" s="52"/>
      <c r="Z27" s="52"/>
    </row>
    <row r="28" ht="15.75" customHeight="1">
      <c r="A28" s="53"/>
      <c r="B28" s="53"/>
      <c r="C28" s="53"/>
      <c r="D28" s="53"/>
      <c r="E28" s="53"/>
      <c r="F28" s="53"/>
      <c r="G28" s="53"/>
      <c r="H28" s="53"/>
      <c r="I28" s="54"/>
      <c r="J28" s="52"/>
      <c r="K28" s="52"/>
      <c r="L28" s="52"/>
      <c r="M28" s="52"/>
      <c r="N28" s="52"/>
      <c r="O28" s="52"/>
      <c r="P28" s="52"/>
      <c r="Q28" s="52"/>
      <c r="R28" s="52"/>
      <c r="S28" s="52"/>
      <c r="T28" s="52"/>
      <c r="U28" s="52"/>
      <c r="V28" s="52"/>
      <c r="W28" s="52"/>
      <c r="X28" s="52"/>
      <c r="Y28" s="52"/>
      <c r="Z28" s="52"/>
    </row>
    <row r="29" ht="15.75" customHeight="1">
      <c r="A29" s="11">
        <v>11.0</v>
      </c>
      <c r="B29" s="11" t="s">
        <v>8574</v>
      </c>
      <c r="C29" s="11" t="s">
        <v>2883</v>
      </c>
      <c r="D29" s="11" t="s">
        <v>4499</v>
      </c>
      <c r="E29" s="11" t="s">
        <v>4500</v>
      </c>
      <c r="F29" s="11" t="s">
        <v>4501</v>
      </c>
      <c r="G29" s="40">
        <v>8.660134454E9</v>
      </c>
      <c r="H29" s="55" t="s">
        <v>11390</v>
      </c>
      <c r="I29" s="54"/>
      <c r="J29" s="52"/>
      <c r="K29" s="52"/>
      <c r="L29" s="52"/>
      <c r="M29" s="52"/>
      <c r="N29" s="52"/>
      <c r="O29" s="52"/>
      <c r="P29" s="52"/>
      <c r="Q29" s="52"/>
      <c r="R29" s="52"/>
      <c r="S29" s="52"/>
      <c r="T29" s="52"/>
      <c r="U29" s="52"/>
      <c r="V29" s="52"/>
      <c r="W29" s="52"/>
      <c r="X29" s="52"/>
      <c r="Y29" s="52"/>
      <c r="Z29" s="52"/>
    </row>
    <row r="30" ht="15.75" customHeight="1">
      <c r="A30" s="53"/>
      <c r="B30" s="53"/>
      <c r="C30" s="56"/>
      <c r="D30" s="56"/>
      <c r="E30" s="56"/>
      <c r="F30" s="56"/>
      <c r="G30" s="53"/>
      <c r="H30" s="53"/>
      <c r="I30" s="54"/>
      <c r="J30" s="52"/>
      <c r="K30" s="52"/>
      <c r="L30" s="52"/>
      <c r="M30" s="52"/>
      <c r="N30" s="52"/>
      <c r="O30" s="52"/>
      <c r="P30" s="52"/>
      <c r="Q30" s="52"/>
      <c r="R30" s="52"/>
      <c r="S30" s="52"/>
      <c r="T30" s="52"/>
      <c r="U30" s="52"/>
      <c r="V30" s="52"/>
      <c r="W30" s="52"/>
      <c r="X30" s="52"/>
      <c r="Y30" s="52"/>
      <c r="Z30" s="52"/>
    </row>
    <row r="31" ht="15.75" customHeight="1">
      <c r="A31" s="11">
        <v>12.0</v>
      </c>
      <c r="B31" s="11" t="s">
        <v>9318</v>
      </c>
      <c r="C31" s="40" t="s">
        <v>1842</v>
      </c>
      <c r="D31" s="40" t="s">
        <v>4986</v>
      </c>
      <c r="E31" s="40" t="s">
        <v>6432</v>
      </c>
      <c r="F31" s="40" t="s">
        <v>2025</v>
      </c>
      <c r="G31" s="11">
        <v>9.31937683E9</v>
      </c>
      <c r="H31" s="53"/>
      <c r="I31" s="54"/>
      <c r="J31" s="52"/>
      <c r="K31" s="52"/>
      <c r="L31" s="52"/>
      <c r="M31" s="52"/>
      <c r="N31" s="52"/>
      <c r="O31" s="52"/>
      <c r="P31" s="52"/>
      <c r="Q31" s="52"/>
      <c r="R31" s="52"/>
      <c r="S31" s="52"/>
      <c r="T31" s="52"/>
      <c r="U31" s="52"/>
      <c r="V31" s="52"/>
      <c r="W31" s="52"/>
      <c r="X31" s="52"/>
      <c r="Y31" s="52"/>
      <c r="Z31" s="52"/>
    </row>
    <row r="32" ht="15.75" customHeight="1">
      <c r="A32" s="53"/>
      <c r="B32" s="11" t="s">
        <v>11407</v>
      </c>
      <c r="C32" s="11" t="s">
        <v>11408</v>
      </c>
      <c r="D32" s="11" t="s">
        <v>251</v>
      </c>
      <c r="E32" s="40" t="s">
        <v>6432</v>
      </c>
      <c r="F32" s="40" t="s">
        <v>2025</v>
      </c>
      <c r="G32" s="11">
        <v>7.303621124E9</v>
      </c>
      <c r="H32" s="53"/>
      <c r="I32" s="54"/>
      <c r="J32" s="52"/>
      <c r="K32" s="52"/>
      <c r="L32" s="52"/>
      <c r="M32" s="52"/>
      <c r="N32" s="52"/>
      <c r="O32" s="52"/>
      <c r="P32" s="52"/>
      <c r="Q32" s="52"/>
      <c r="R32" s="52"/>
      <c r="S32" s="52"/>
      <c r="T32" s="52"/>
      <c r="U32" s="52"/>
      <c r="V32" s="52"/>
      <c r="W32" s="52"/>
      <c r="X32" s="52"/>
      <c r="Y32" s="52"/>
      <c r="Z32" s="52"/>
    </row>
    <row r="33" ht="15.75" customHeight="1">
      <c r="A33" s="53"/>
      <c r="B33" s="53"/>
      <c r="C33" s="57"/>
      <c r="D33" s="53"/>
      <c r="E33" s="53"/>
      <c r="F33" s="53"/>
      <c r="G33" s="53"/>
      <c r="H33" s="53"/>
      <c r="I33" s="54"/>
      <c r="J33" s="52"/>
      <c r="K33" s="52"/>
      <c r="L33" s="52"/>
      <c r="M33" s="52"/>
      <c r="N33" s="52"/>
      <c r="O33" s="52"/>
      <c r="P33" s="52"/>
      <c r="Q33" s="52"/>
      <c r="R33" s="52"/>
      <c r="S33" s="52"/>
      <c r="T33" s="52"/>
      <c r="U33" s="52"/>
      <c r="V33" s="52"/>
      <c r="W33" s="52"/>
      <c r="X33" s="52"/>
      <c r="Y33" s="52"/>
      <c r="Z33" s="52"/>
    </row>
    <row r="34" ht="15.75" customHeight="1">
      <c r="A34" s="11">
        <v>13.0</v>
      </c>
      <c r="B34" s="11" t="s">
        <v>11210</v>
      </c>
      <c r="C34" s="11" t="s">
        <v>764</v>
      </c>
      <c r="D34" s="11" t="s">
        <v>65</v>
      </c>
      <c r="E34" s="11" t="s">
        <v>5014</v>
      </c>
      <c r="F34" s="11" t="s">
        <v>5791</v>
      </c>
      <c r="G34" s="21">
        <v>9.306365056E9</v>
      </c>
      <c r="H34" s="53"/>
      <c r="I34" s="54"/>
      <c r="J34" s="52"/>
      <c r="K34" s="52"/>
      <c r="L34" s="52"/>
      <c r="M34" s="52"/>
      <c r="N34" s="52"/>
      <c r="O34" s="52"/>
      <c r="P34" s="52"/>
      <c r="Q34" s="52"/>
      <c r="R34" s="52"/>
      <c r="S34" s="52"/>
      <c r="T34" s="52"/>
      <c r="U34" s="52"/>
      <c r="V34" s="52"/>
      <c r="W34" s="52"/>
      <c r="X34" s="52"/>
      <c r="Y34" s="52"/>
      <c r="Z34" s="52"/>
    </row>
    <row r="35" ht="15.75" customHeight="1">
      <c r="A35" s="53"/>
      <c r="B35" s="58" t="s">
        <v>11409</v>
      </c>
      <c r="C35" s="11" t="s">
        <v>11410</v>
      </c>
      <c r="D35" s="11" t="s">
        <v>50</v>
      </c>
      <c r="E35" s="11" t="s">
        <v>5014</v>
      </c>
      <c r="F35" s="11" t="s">
        <v>5791</v>
      </c>
      <c r="G35" s="53"/>
      <c r="H35" s="53"/>
      <c r="I35" s="54"/>
      <c r="J35" s="52"/>
      <c r="K35" s="52"/>
      <c r="L35" s="52"/>
      <c r="M35" s="52"/>
      <c r="N35" s="52"/>
      <c r="O35" s="52"/>
      <c r="P35" s="52"/>
      <c r="Q35" s="52"/>
      <c r="R35" s="52"/>
      <c r="S35" s="52"/>
      <c r="T35" s="52"/>
      <c r="U35" s="52"/>
      <c r="V35" s="52"/>
      <c r="W35" s="52"/>
      <c r="X35" s="52"/>
      <c r="Y35" s="52"/>
      <c r="Z35" s="52"/>
    </row>
    <row r="36" ht="15.75" customHeight="1">
      <c r="A36" s="53"/>
      <c r="B36" s="53"/>
      <c r="C36" s="53"/>
      <c r="D36" s="53"/>
      <c r="E36" s="53"/>
      <c r="F36" s="53"/>
      <c r="G36" s="53"/>
      <c r="H36" s="53"/>
      <c r="I36" s="54"/>
      <c r="J36" s="52"/>
      <c r="K36" s="52"/>
      <c r="L36" s="52"/>
      <c r="M36" s="52"/>
      <c r="N36" s="52"/>
      <c r="O36" s="52"/>
      <c r="P36" s="52"/>
      <c r="Q36" s="52"/>
      <c r="R36" s="52"/>
      <c r="S36" s="52"/>
      <c r="T36" s="52"/>
      <c r="U36" s="52"/>
      <c r="V36" s="52"/>
      <c r="W36" s="52"/>
      <c r="X36" s="52"/>
      <c r="Y36" s="52"/>
      <c r="Z36" s="52"/>
    </row>
    <row r="37" ht="15.75" customHeight="1">
      <c r="A37" s="11">
        <v>14.0</v>
      </c>
      <c r="B37" s="11" t="s">
        <v>7082</v>
      </c>
      <c r="C37" s="11" t="s">
        <v>7083</v>
      </c>
      <c r="D37" s="11" t="s">
        <v>7084</v>
      </c>
      <c r="E37" s="11" t="s">
        <v>7085</v>
      </c>
      <c r="F37" s="11" t="s">
        <v>11411</v>
      </c>
      <c r="G37" s="11">
        <v>8.976041794E9</v>
      </c>
      <c r="H37" s="11">
        <v>8.976041794E9</v>
      </c>
      <c r="I37" s="54"/>
      <c r="J37" s="52"/>
      <c r="K37" s="52"/>
      <c r="L37" s="52"/>
      <c r="M37" s="52"/>
      <c r="N37" s="52"/>
      <c r="O37" s="52"/>
      <c r="P37" s="52"/>
      <c r="Q37" s="52"/>
      <c r="R37" s="52"/>
      <c r="S37" s="52"/>
      <c r="T37" s="52"/>
      <c r="U37" s="52"/>
      <c r="V37" s="52"/>
      <c r="W37" s="52"/>
      <c r="X37" s="52"/>
      <c r="Y37" s="52"/>
      <c r="Z37" s="52"/>
    </row>
    <row r="38" ht="15.75" customHeight="1">
      <c r="A38" s="53"/>
      <c r="B38" s="53"/>
      <c r="C38" s="11" t="s">
        <v>11412</v>
      </c>
      <c r="D38" s="11" t="s">
        <v>11413</v>
      </c>
      <c r="E38" s="11" t="s">
        <v>7085</v>
      </c>
      <c r="F38" s="11" t="s">
        <v>11411</v>
      </c>
      <c r="G38" s="53"/>
      <c r="H38" s="53"/>
      <c r="I38" s="54"/>
      <c r="J38" s="52"/>
      <c r="K38" s="52"/>
      <c r="L38" s="52"/>
      <c r="M38" s="52"/>
      <c r="N38" s="52"/>
      <c r="O38" s="52"/>
      <c r="P38" s="52"/>
      <c r="Q38" s="52"/>
      <c r="R38" s="52"/>
      <c r="S38" s="52"/>
      <c r="T38" s="52"/>
      <c r="U38" s="52"/>
      <c r="V38" s="52"/>
      <c r="W38" s="52"/>
      <c r="X38" s="52"/>
      <c r="Y38" s="52"/>
      <c r="Z38" s="52"/>
    </row>
    <row r="39" ht="15.75" customHeight="1">
      <c r="A39" s="53"/>
      <c r="B39" s="53"/>
      <c r="C39" s="53"/>
      <c r="D39" s="53"/>
      <c r="E39" s="53"/>
      <c r="F39" s="53"/>
      <c r="G39" s="53"/>
      <c r="H39" s="53"/>
      <c r="I39" s="54"/>
      <c r="J39" s="52"/>
      <c r="K39" s="52"/>
      <c r="L39" s="52"/>
      <c r="M39" s="52"/>
      <c r="N39" s="52"/>
      <c r="O39" s="52"/>
      <c r="P39" s="52"/>
      <c r="Q39" s="52"/>
      <c r="R39" s="52"/>
      <c r="S39" s="52"/>
      <c r="T39" s="52"/>
      <c r="U39" s="52"/>
      <c r="V39" s="52"/>
      <c r="W39" s="52"/>
      <c r="X39" s="52"/>
      <c r="Y39" s="52"/>
      <c r="Z39" s="52"/>
    </row>
    <row r="40" ht="15.75" customHeight="1">
      <c r="A40" s="11">
        <v>15.0</v>
      </c>
      <c r="B40" s="11" t="s">
        <v>9122</v>
      </c>
      <c r="C40" s="11" t="s">
        <v>5317</v>
      </c>
      <c r="D40" s="11" t="s">
        <v>68</v>
      </c>
      <c r="E40" s="11" t="s">
        <v>5259</v>
      </c>
      <c r="F40" s="11" t="s">
        <v>434</v>
      </c>
      <c r="G40" s="11">
        <v>7.04586624E9</v>
      </c>
      <c r="H40" s="53"/>
      <c r="I40" s="54"/>
      <c r="J40" s="52"/>
      <c r="K40" s="52"/>
      <c r="L40" s="52"/>
      <c r="M40" s="52"/>
      <c r="N40" s="52"/>
      <c r="O40" s="52"/>
      <c r="P40" s="52"/>
      <c r="Q40" s="52"/>
      <c r="R40" s="52"/>
      <c r="S40" s="52"/>
      <c r="T40" s="52"/>
      <c r="U40" s="52"/>
      <c r="V40" s="52"/>
      <c r="W40" s="52"/>
      <c r="X40" s="52"/>
      <c r="Y40" s="52"/>
      <c r="Z40" s="52"/>
    </row>
    <row r="41" ht="15.75" customHeight="1">
      <c r="A41" s="53"/>
      <c r="B41" s="11" t="s">
        <v>11414</v>
      </c>
      <c r="C41" s="40" t="s">
        <v>11415</v>
      </c>
      <c r="D41" s="40" t="s">
        <v>11416</v>
      </c>
      <c r="E41" s="11" t="s">
        <v>5259</v>
      </c>
      <c r="F41" s="11" t="s">
        <v>434</v>
      </c>
      <c r="G41" s="40">
        <v>8.828463773E9</v>
      </c>
      <c r="H41" s="53"/>
      <c r="I41" s="54"/>
      <c r="J41" s="52"/>
      <c r="K41" s="52"/>
      <c r="L41" s="52"/>
      <c r="M41" s="52"/>
      <c r="N41" s="52"/>
      <c r="O41" s="52"/>
      <c r="P41" s="52"/>
      <c r="Q41" s="52"/>
      <c r="R41" s="52"/>
      <c r="S41" s="52"/>
      <c r="T41" s="52"/>
      <c r="U41" s="52"/>
      <c r="V41" s="52"/>
      <c r="W41" s="52"/>
      <c r="X41" s="52"/>
      <c r="Y41" s="52"/>
      <c r="Z41" s="52"/>
    </row>
    <row r="42" ht="15.75" customHeight="1">
      <c r="A42" s="53"/>
      <c r="B42" s="53"/>
      <c r="C42" s="56"/>
      <c r="D42" s="56"/>
      <c r="E42" s="56"/>
      <c r="F42" s="56"/>
      <c r="G42" s="53"/>
      <c r="H42" s="53"/>
      <c r="I42" s="54"/>
      <c r="J42" s="52"/>
      <c r="K42" s="52"/>
      <c r="L42" s="52"/>
      <c r="M42" s="52"/>
      <c r="N42" s="52"/>
      <c r="O42" s="52"/>
      <c r="P42" s="52"/>
      <c r="Q42" s="52"/>
      <c r="R42" s="52"/>
      <c r="S42" s="52"/>
      <c r="T42" s="52"/>
      <c r="U42" s="52"/>
      <c r="V42" s="52"/>
      <c r="W42" s="52"/>
      <c r="X42" s="52"/>
      <c r="Y42" s="52"/>
      <c r="Z42" s="52"/>
    </row>
    <row r="43" ht="15.75" customHeight="1">
      <c r="A43" s="55">
        <v>16.0</v>
      </c>
      <c r="B43" s="55" t="s">
        <v>8972</v>
      </c>
      <c r="C43" s="59" t="s">
        <v>4348</v>
      </c>
      <c r="D43" s="59" t="s">
        <v>3739</v>
      </c>
      <c r="E43" s="59" t="s">
        <v>4349</v>
      </c>
      <c r="F43" s="59" t="s">
        <v>4350</v>
      </c>
      <c r="G43" s="55">
        <v>9.727747179E9</v>
      </c>
      <c r="H43" s="55" t="s">
        <v>11417</v>
      </c>
      <c r="I43" s="54"/>
      <c r="J43" s="52"/>
      <c r="K43" s="52"/>
      <c r="L43" s="52"/>
      <c r="M43" s="52"/>
      <c r="N43" s="52"/>
      <c r="O43" s="52"/>
      <c r="P43" s="52"/>
      <c r="Q43" s="52"/>
      <c r="R43" s="52"/>
      <c r="S43" s="52"/>
      <c r="T43" s="52"/>
      <c r="U43" s="52"/>
      <c r="V43" s="52"/>
      <c r="W43" s="52"/>
      <c r="X43" s="52"/>
      <c r="Y43" s="52"/>
      <c r="Z43" s="52"/>
    </row>
    <row r="44" ht="15.75" customHeight="1">
      <c r="A44" s="53"/>
      <c r="B44" s="56"/>
      <c r="C44" s="53"/>
      <c r="D44" s="53"/>
      <c r="E44" s="53"/>
      <c r="F44" s="53"/>
      <c r="G44" s="53"/>
      <c r="H44" s="53"/>
      <c r="I44" s="54"/>
      <c r="J44" s="52"/>
      <c r="K44" s="52"/>
      <c r="L44" s="52"/>
      <c r="M44" s="52"/>
      <c r="N44" s="52"/>
      <c r="O44" s="52"/>
      <c r="P44" s="52"/>
      <c r="Q44" s="52"/>
      <c r="R44" s="52"/>
      <c r="S44" s="52"/>
      <c r="T44" s="52"/>
      <c r="U44" s="52"/>
      <c r="V44" s="52"/>
      <c r="W44" s="52"/>
      <c r="X44" s="52"/>
      <c r="Y44" s="52"/>
      <c r="Z44" s="52"/>
    </row>
    <row r="45" ht="15.75" customHeight="1">
      <c r="A45" s="11">
        <v>17.0</v>
      </c>
      <c r="B45" s="40" t="s">
        <v>10487</v>
      </c>
      <c r="C45" s="11" t="s">
        <v>3404</v>
      </c>
      <c r="D45" s="11" t="s">
        <v>4884</v>
      </c>
      <c r="E45" s="11" t="s">
        <v>4885</v>
      </c>
      <c r="F45" s="11" t="s">
        <v>4886</v>
      </c>
      <c r="G45" s="31">
        <v>9.654783263E9</v>
      </c>
      <c r="H45" s="53"/>
      <c r="I45" s="54"/>
      <c r="J45" s="52"/>
      <c r="K45" s="52"/>
      <c r="L45" s="52"/>
      <c r="M45" s="52"/>
      <c r="N45" s="52"/>
      <c r="O45" s="52"/>
      <c r="P45" s="52"/>
      <c r="Q45" s="52"/>
      <c r="R45" s="52"/>
      <c r="S45" s="52"/>
      <c r="T45" s="52"/>
      <c r="U45" s="52"/>
      <c r="V45" s="52"/>
      <c r="W45" s="52"/>
      <c r="X45" s="52"/>
      <c r="Y45" s="52"/>
      <c r="Z45" s="52"/>
    </row>
    <row r="46" ht="15.75" customHeight="1">
      <c r="A46" s="53"/>
      <c r="B46" s="58" t="s">
        <v>11418</v>
      </c>
      <c r="C46" s="11" t="s">
        <v>11419</v>
      </c>
      <c r="D46" s="11" t="s">
        <v>11420</v>
      </c>
      <c r="E46" s="11" t="s">
        <v>4885</v>
      </c>
      <c r="F46" s="11" t="s">
        <v>4886</v>
      </c>
      <c r="G46" s="11">
        <v>8.82633926E9</v>
      </c>
      <c r="H46" s="53"/>
      <c r="I46" s="54"/>
      <c r="J46" s="52"/>
      <c r="K46" s="52"/>
      <c r="L46" s="52"/>
      <c r="M46" s="52"/>
      <c r="N46" s="52"/>
      <c r="O46" s="52"/>
      <c r="P46" s="52"/>
      <c r="Q46" s="52"/>
      <c r="R46" s="52"/>
      <c r="S46" s="52"/>
      <c r="T46" s="52"/>
      <c r="U46" s="52"/>
      <c r="V46" s="52"/>
      <c r="W46" s="52"/>
      <c r="X46" s="52"/>
      <c r="Y46" s="52"/>
      <c r="Z46" s="52"/>
    </row>
    <row r="47" ht="15.75" customHeight="1">
      <c r="A47" s="53"/>
      <c r="B47" s="53"/>
      <c r="C47" s="53"/>
      <c r="D47" s="53"/>
      <c r="E47" s="53"/>
      <c r="F47" s="53"/>
      <c r="G47" s="53"/>
      <c r="H47" s="53"/>
      <c r="I47" s="54"/>
      <c r="J47" s="52"/>
      <c r="K47" s="52"/>
      <c r="L47" s="52"/>
      <c r="M47" s="52"/>
      <c r="N47" s="52"/>
      <c r="O47" s="52"/>
      <c r="P47" s="52"/>
      <c r="Q47" s="52"/>
      <c r="R47" s="52"/>
      <c r="S47" s="52"/>
      <c r="T47" s="52"/>
      <c r="U47" s="52"/>
      <c r="V47" s="52"/>
      <c r="W47" s="52"/>
      <c r="X47" s="52"/>
      <c r="Y47" s="52"/>
      <c r="Z47" s="52"/>
    </row>
    <row r="48" ht="15.75" customHeight="1">
      <c r="A48" s="11">
        <v>18.0</v>
      </c>
      <c r="B48" s="11" t="s">
        <v>7635</v>
      </c>
      <c r="C48" s="11" t="s">
        <v>3728</v>
      </c>
      <c r="D48" s="11" t="s">
        <v>5006</v>
      </c>
      <c r="E48" s="11" t="s">
        <v>5934</v>
      </c>
      <c r="F48" s="11" t="s">
        <v>5906</v>
      </c>
      <c r="G48" s="11">
        <v>9.496197647E9</v>
      </c>
      <c r="H48" s="53"/>
      <c r="I48" s="54"/>
      <c r="J48" s="52"/>
      <c r="K48" s="52"/>
      <c r="L48" s="52"/>
      <c r="M48" s="52"/>
      <c r="N48" s="52"/>
      <c r="O48" s="52"/>
      <c r="P48" s="52"/>
      <c r="Q48" s="52"/>
      <c r="R48" s="52"/>
      <c r="S48" s="52"/>
      <c r="T48" s="52"/>
      <c r="U48" s="52"/>
      <c r="V48" s="52"/>
      <c r="W48" s="52"/>
      <c r="X48" s="52"/>
      <c r="Y48" s="52"/>
      <c r="Z48" s="52"/>
    </row>
    <row r="49" ht="15.75" customHeight="1">
      <c r="A49" s="53"/>
      <c r="B49" s="58" t="s">
        <v>11421</v>
      </c>
      <c r="C49" s="40" t="s">
        <v>11422</v>
      </c>
      <c r="D49" s="40" t="s">
        <v>1802</v>
      </c>
      <c r="E49" s="11" t="s">
        <v>5934</v>
      </c>
      <c r="F49" s="11" t="s">
        <v>5906</v>
      </c>
      <c r="G49" s="40">
        <v>9.656819788E9</v>
      </c>
      <c r="H49" s="53"/>
      <c r="I49" s="54"/>
      <c r="J49" s="52"/>
      <c r="K49" s="52"/>
      <c r="L49" s="52"/>
      <c r="M49" s="52"/>
      <c r="N49" s="52"/>
      <c r="O49" s="52"/>
      <c r="P49" s="52"/>
      <c r="Q49" s="52"/>
      <c r="R49" s="52"/>
      <c r="S49" s="52"/>
      <c r="T49" s="52"/>
      <c r="U49" s="52"/>
      <c r="V49" s="52"/>
      <c r="W49" s="52"/>
      <c r="X49" s="52"/>
      <c r="Y49" s="52"/>
      <c r="Z49" s="52"/>
    </row>
    <row r="50" ht="15.75" customHeight="1">
      <c r="A50" s="53"/>
      <c r="B50" s="53"/>
      <c r="C50" s="56"/>
      <c r="D50" s="56"/>
      <c r="E50" s="56"/>
      <c r="F50" s="56"/>
      <c r="G50" s="53"/>
      <c r="H50" s="53"/>
      <c r="I50" s="54"/>
      <c r="J50" s="52"/>
      <c r="K50" s="52"/>
      <c r="L50" s="52"/>
      <c r="M50" s="52"/>
      <c r="N50" s="52"/>
      <c r="O50" s="52"/>
      <c r="P50" s="52"/>
      <c r="Q50" s="52"/>
      <c r="R50" s="52"/>
      <c r="S50" s="52"/>
      <c r="T50" s="52"/>
      <c r="U50" s="52"/>
      <c r="V50" s="52"/>
      <c r="W50" s="52"/>
      <c r="X50" s="52"/>
      <c r="Y50" s="52"/>
      <c r="Z50" s="52"/>
    </row>
    <row r="51" ht="15.75" customHeight="1">
      <c r="A51" s="55">
        <v>19.0</v>
      </c>
      <c r="B51" s="55" t="s">
        <v>9180</v>
      </c>
      <c r="C51" s="59" t="s">
        <v>5409</v>
      </c>
      <c r="D51" s="59" t="s">
        <v>5410</v>
      </c>
      <c r="E51" s="59" t="s">
        <v>3322</v>
      </c>
      <c r="F51" s="59" t="s">
        <v>434</v>
      </c>
      <c r="G51" s="55">
        <v>7.506578164E9</v>
      </c>
      <c r="H51" s="55" t="s">
        <v>11423</v>
      </c>
      <c r="I51" s="54"/>
      <c r="J51" s="52"/>
      <c r="K51" s="52"/>
      <c r="L51" s="52"/>
      <c r="M51" s="52"/>
      <c r="N51" s="52"/>
      <c r="O51" s="52"/>
      <c r="P51" s="52"/>
      <c r="Q51" s="52"/>
      <c r="R51" s="52"/>
      <c r="S51" s="52"/>
      <c r="T51" s="52"/>
      <c r="U51" s="52"/>
      <c r="V51" s="52"/>
      <c r="W51" s="52"/>
      <c r="X51" s="52"/>
      <c r="Y51" s="52"/>
      <c r="Z51" s="52"/>
    </row>
    <row r="52" ht="15.75" customHeight="1">
      <c r="A52" s="53"/>
      <c r="B52" s="53"/>
      <c r="C52" s="53"/>
      <c r="D52" s="53"/>
      <c r="E52" s="53"/>
      <c r="F52" s="53"/>
      <c r="G52" s="53"/>
      <c r="H52" s="53"/>
      <c r="I52" s="54"/>
      <c r="J52" s="52"/>
      <c r="K52" s="52"/>
      <c r="L52" s="52"/>
      <c r="M52" s="52"/>
      <c r="N52" s="52"/>
      <c r="O52" s="52"/>
      <c r="P52" s="52"/>
      <c r="Q52" s="52"/>
      <c r="R52" s="52"/>
      <c r="S52" s="52"/>
      <c r="T52" s="52"/>
      <c r="U52" s="52"/>
      <c r="V52" s="52"/>
      <c r="W52" s="52"/>
      <c r="X52" s="52"/>
      <c r="Y52" s="52"/>
      <c r="Z52" s="52"/>
    </row>
    <row r="53" ht="15.75" customHeight="1">
      <c r="A53" s="11">
        <v>20.0</v>
      </c>
      <c r="B53" s="11" t="s">
        <v>8142</v>
      </c>
      <c r="C53" s="11" t="s">
        <v>707</v>
      </c>
      <c r="D53" s="11" t="s">
        <v>6752</v>
      </c>
      <c r="E53" s="11" t="s">
        <v>6753</v>
      </c>
      <c r="F53" s="11" t="s">
        <v>4276</v>
      </c>
      <c r="G53" s="11">
        <v>9.705902992E9</v>
      </c>
      <c r="H53" s="55" t="s">
        <v>11390</v>
      </c>
      <c r="I53" s="54"/>
      <c r="J53" s="52"/>
      <c r="K53" s="52"/>
      <c r="L53" s="52"/>
      <c r="M53" s="52"/>
      <c r="N53" s="52"/>
      <c r="O53" s="52"/>
      <c r="P53" s="52"/>
      <c r="Q53" s="52"/>
      <c r="R53" s="52"/>
      <c r="S53" s="52"/>
      <c r="T53" s="52"/>
      <c r="U53" s="52"/>
      <c r="V53" s="52"/>
      <c r="W53" s="52"/>
      <c r="X53" s="52"/>
      <c r="Y53" s="52"/>
      <c r="Z53" s="52"/>
    </row>
    <row r="54" ht="15.75" customHeight="1">
      <c r="A54" s="53"/>
      <c r="B54" s="53"/>
      <c r="C54" s="53"/>
      <c r="D54" s="53"/>
      <c r="E54" s="53"/>
      <c r="F54" s="53"/>
      <c r="G54" s="53"/>
      <c r="H54" s="53"/>
      <c r="I54" s="54"/>
      <c r="J54" s="52"/>
      <c r="K54" s="52"/>
      <c r="L54" s="52"/>
      <c r="M54" s="52"/>
      <c r="N54" s="52"/>
      <c r="O54" s="52"/>
      <c r="P54" s="52"/>
      <c r="Q54" s="52"/>
      <c r="R54" s="52"/>
      <c r="S54" s="52"/>
      <c r="T54" s="52"/>
      <c r="U54" s="52"/>
      <c r="V54" s="52"/>
      <c r="W54" s="52"/>
      <c r="X54" s="52"/>
      <c r="Y54" s="52"/>
      <c r="Z54" s="52"/>
    </row>
    <row r="55" ht="15.75" customHeight="1">
      <c r="A55" s="11">
        <v>21.0</v>
      </c>
      <c r="B55" s="11" t="s">
        <v>7309</v>
      </c>
      <c r="C55" s="11" t="s">
        <v>4593</v>
      </c>
      <c r="D55" s="11" t="s">
        <v>3078</v>
      </c>
      <c r="E55" s="11" t="s">
        <v>4594</v>
      </c>
      <c r="F55" s="11" t="s">
        <v>4595</v>
      </c>
      <c r="G55" s="31">
        <v>8.073362951E9</v>
      </c>
      <c r="H55" s="53"/>
      <c r="I55" s="54"/>
      <c r="J55" s="52"/>
      <c r="K55" s="52"/>
      <c r="L55" s="52"/>
      <c r="M55" s="52"/>
      <c r="N55" s="52"/>
      <c r="O55" s="52"/>
      <c r="P55" s="52"/>
      <c r="Q55" s="52"/>
      <c r="R55" s="52"/>
      <c r="S55" s="52"/>
      <c r="T55" s="52"/>
      <c r="U55" s="52"/>
      <c r="V55" s="52"/>
      <c r="W55" s="52"/>
      <c r="X55" s="52"/>
      <c r="Y55" s="52"/>
      <c r="Z55" s="52"/>
    </row>
    <row r="56" ht="15.75" customHeight="1">
      <c r="A56" s="53"/>
      <c r="B56" s="56"/>
      <c r="C56" s="40" t="s">
        <v>11424</v>
      </c>
      <c r="D56" s="40" t="s">
        <v>11425</v>
      </c>
      <c r="E56" s="11" t="s">
        <v>4594</v>
      </c>
      <c r="F56" s="11" t="s">
        <v>4595</v>
      </c>
      <c r="G56" s="40">
        <v>7.019260166E9</v>
      </c>
      <c r="H56" s="53"/>
      <c r="I56" s="54"/>
      <c r="J56" s="52"/>
      <c r="K56" s="52"/>
      <c r="L56" s="52"/>
      <c r="M56" s="52"/>
      <c r="N56" s="52"/>
      <c r="O56" s="52"/>
      <c r="P56" s="52"/>
      <c r="Q56" s="52"/>
      <c r="R56" s="52"/>
      <c r="S56" s="52"/>
      <c r="T56" s="52"/>
      <c r="U56" s="52"/>
      <c r="V56" s="52"/>
      <c r="W56" s="52"/>
      <c r="X56" s="52"/>
      <c r="Y56" s="52"/>
      <c r="Z56" s="52"/>
    </row>
    <row r="57" ht="15.75" customHeight="1">
      <c r="A57" s="53"/>
      <c r="B57" s="56"/>
      <c r="C57" s="56"/>
      <c r="D57" s="56"/>
      <c r="E57" s="56"/>
      <c r="F57" s="56"/>
      <c r="G57" s="56"/>
      <c r="H57" s="53"/>
      <c r="I57" s="54"/>
      <c r="J57" s="52"/>
      <c r="K57" s="52"/>
      <c r="L57" s="52"/>
      <c r="M57" s="52"/>
      <c r="N57" s="52"/>
      <c r="O57" s="52"/>
      <c r="P57" s="52"/>
      <c r="Q57" s="52"/>
      <c r="R57" s="52"/>
      <c r="S57" s="52"/>
      <c r="T57" s="52"/>
      <c r="U57" s="52"/>
      <c r="V57" s="52"/>
      <c r="W57" s="52"/>
      <c r="X57" s="52"/>
      <c r="Y57" s="52"/>
      <c r="Z57" s="52"/>
    </row>
    <row r="58" ht="15.75" customHeight="1">
      <c r="A58" s="11">
        <v>22.0</v>
      </c>
      <c r="B58" s="40" t="s">
        <v>10332</v>
      </c>
      <c r="C58" s="40" t="s">
        <v>5962</v>
      </c>
      <c r="D58" s="40" t="s">
        <v>10333</v>
      </c>
      <c r="E58" s="40" t="s">
        <v>10334</v>
      </c>
      <c r="F58" s="40" t="s">
        <v>1102</v>
      </c>
      <c r="G58" s="60">
        <v>9.811256232E9</v>
      </c>
      <c r="H58" s="53"/>
      <c r="I58" s="54"/>
      <c r="J58" s="52"/>
      <c r="K58" s="52"/>
      <c r="L58" s="52"/>
      <c r="M58" s="52"/>
      <c r="N58" s="52"/>
      <c r="O58" s="52"/>
      <c r="P58" s="52"/>
      <c r="Q58" s="52"/>
      <c r="R58" s="52"/>
      <c r="S58" s="52"/>
      <c r="T58" s="52"/>
      <c r="U58" s="52"/>
      <c r="V58" s="52"/>
      <c r="W58" s="52"/>
      <c r="X58" s="52"/>
      <c r="Y58" s="52"/>
      <c r="Z58" s="52"/>
    </row>
    <row r="59" ht="15.75" customHeight="1">
      <c r="A59" s="53"/>
      <c r="B59" s="31" t="s">
        <v>11426</v>
      </c>
      <c r="C59" s="31" t="s">
        <v>11427</v>
      </c>
      <c r="D59" s="11" t="s">
        <v>4759</v>
      </c>
      <c r="E59" s="18" t="s">
        <v>5505</v>
      </c>
      <c r="F59" s="18" t="s">
        <v>5242</v>
      </c>
      <c r="G59" s="18">
        <v>9.956059333E9</v>
      </c>
      <c r="H59" s="53"/>
      <c r="I59" s="54"/>
      <c r="J59" s="52"/>
      <c r="K59" s="52"/>
      <c r="L59" s="52"/>
      <c r="M59" s="52"/>
      <c r="N59" s="52"/>
      <c r="O59" s="52"/>
      <c r="P59" s="52"/>
      <c r="Q59" s="52"/>
      <c r="R59" s="52"/>
      <c r="S59" s="52"/>
      <c r="T59" s="52"/>
      <c r="U59" s="52"/>
      <c r="V59" s="52"/>
      <c r="W59" s="52"/>
      <c r="X59" s="52"/>
      <c r="Y59" s="52"/>
      <c r="Z59" s="52"/>
    </row>
    <row r="60" ht="15.75" customHeight="1">
      <c r="A60" s="53"/>
      <c r="B60" s="53"/>
      <c r="C60" s="53"/>
      <c r="D60" s="53"/>
      <c r="E60" s="53"/>
      <c r="F60" s="53"/>
      <c r="G60" s="57"/>
      <c r="H60" s="53"/>
      <c r="I60" s="54"/>
      <c r="J60" s="52"/>
      <c r="K60" s="52"/>
      <c r="L60" s="52"/>
      <c r="M60" s="52"/>
      <c r="N60" s="52"/>
      <c r="O60" s="52"/>
      <c r="P60" s="52"/>
      <c r="Q60" s="52"/>
      <c r="R60" s="52"/>
      <c r="S60" s="52"/>
      <c r="T60" s="52"/>
      <c r="U60" s="52"/>
      <c r="V60" s="52"/>
      <c r="W60" s="52"/>
      <c r="X60" s="52"/>
      <c r="Y60" s="52"/>
      <c r="Z60" s="52"/>
    </row>
    <row r="61" ht="15.75" customHeight="1">
      <c r="A61" s="11">
        <v>23.0</v>
      </c>
      <c r="B61" s="11" t="s">
        <v>8937</v>
      </c>
      <c r="C61" s="11" t="s">
        <v>11428</v>
      </c>
      <c r="D61" s="11" t="s">
        <v>382</v>
      </c>
      <c r="E61" s="55" t="s">
        <v>11429</v>
      </c>
      <c r="F61" s="53"/>
      <c r="G61" s="53"/>
      <c r="H61" s="53"/>
      <c r="I61" s="54"/>
      <c r="J61" s="52"/>
      <c r="K61" s="52"/>
      <c r="L61" s="52"/>
      <c r="M61" s="52"/>
      <c r="N61" s="52"/>
      <c r="O61" s="52"/>
      <c r="P61" s="52"/>
      <c r="Q61" s="52"/>
      <c r="R61" s="52"/>
      <c r="S61" s="52"/>
      <c r="T61" s="52"/>
      <c r="U61" s="52"/>
      <c r="V61" s="52"/>
      <c r="W61" s="52"/>
      <c r="X61" s="52"/>
      <c r="Y61" s="52"/>
      <c r="Z61" s="52"/>
    </row>
    <row r="62" ht="15.75" customHeight="1">
      <c r="A62" s="53"/>
      <c r="B62" s="53"/>
      <c r="C62" s="53"/>
      <c r="D62" s="53"/>
      <c r="E62" s="53"/>
      <c r="F62" s="53"/>
      <c r="G62" s="53"/>
      <c r="H62" s="53"/>
      <c r="I62" s="54"/>
      <c r="J62" s="52"/>
      <c r="K62" s="52"/>
      <c r="L62" s="52"/>
      <c r="M62" s="52"/>
      <c r="N62" s="52"/>
      <c r="O62" s="52"/>
      <c r="P62" s="52"/>
      <c r="Q62" s="52"/>
      <c r="R62" s="52"/>
      <c r="S62" s="52"/>
      <c r="T62" s="52"/>
      <c r="U62" s="52"/>
      <c r="V62" s="52"/>
      <c r="W62" s="52"/>
      <c r="X62" s="52"/>
      <c r="Y62" s="52"/>
      <c r="Z62" s="52"/>
    </row>
    <row r="63" ht="15.75" customHeight="1">
      <c r="A63" s="11">
        <v>24.0</v>
      </c>
      <c r="B63" s="11" t="s">
        <v>7720</v>
      </c>
      <c r="C63" s="11" t="s">
        <v>4657</v>
      </c>
      <c r="D63" s="11" t="s">
        <v>65</v>
      </c>
      <c r="E63" s="11" t="s">
        <v>7721</v>
      </c>
      <c r="F63" s="11" t="s">
        <v>4652</v>
      </c>
      <c r="G63" s="11" t="s">
        <v>11389</v>
      </c>
      <c r="H63" s="53"/>
      <c r="I63" s="54"/>
      <c r="J63" s="52"/>
      <c r="K63" s="52"/>
      <c r="L63" s="52"/>
      <c r="M63" s="52"/>
      <c r="N63" s="52"/>
      <c r="O63" s="52"/>
      <c r="P63" s="52"/>
      <c r="Q63" s="52"/>
      <c r="R63" s="52"/>
      <c r="S63" s="52"/>
      <c r="T63" s="52"/>
      <c r="U63" s="52"/>
      <c r="V63" s="52"/>
      <c r="W63" s="52"/>
      <c r="X63" s="52"/>
      <c r="Y63" s="52"/>
      <c r="Z63" s="52"/>
    </row>
    <row r="64" ht="15.75" customHeight="1">
      <c r="A64" s="53"/>
      <c r="B64" s="53"/>
      <c r="C64" s="11" t="s">
        <v>11430</v>
      </c>
      <c r="D64" s="11" t="s">
        <v>52</v>
      </c>
      <c r="E64" s="11" t="s">
        <v>7721</v>
      </c>
      <c r="F64" s="11" t="s">
        <v>4652</v>
      </c>
      <c r="G64" s="53"/>
      <c r="H64" s="53"/>
      <c r="I64" s="54"/>
      <c r="J64" s="52"/>
      <c r="K64" s="52"/>
      <c r="L64" s="52"/>
      <c r="M64" s="52"/>
      <c r="N64" s="52"/>
      <c r="O64" s="52"/>
      <c r="P64" s="52"/>
      <c r="Q64" s="52"/>
      <c r="R64" s="52"/>
      <c r="S64" s="52"/>
      <c r="T64" s="52"/>
      <c r="U64" s="52"/>
      <c r="V64" s="52"/>
      <c r="W64" s="52"/>
      <c r="X64" s="52"/>
      <c r="Y64" s="52"/>
      <c r="Z64" s="52"/>
    </row>
    <row r="65" ht="15.7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ht="15.75" customHeight="1">
      <c r="A66" s="52"/>
      <c r="B66" s="52"/>
      <c r="C66" s="61"/>
      <c r="D66" s="61"/>
      <c r="E66" s="61"/>
      <c r="F66" s="61"/>
      <c r="G66" s="52"/>
      <c r="H66" s="52"/>
      <c r="I66" s="52"/>
      <c r="J66" s="52"/>
      <c r="K66" s="52"/>
      <c r="L66" s="52"/>
      <c r="M66" s="52"/>
      <c r="N66" s="52"/>
      <c r="O66" s="52"/>
      <c r="P66" s="52"/>
      <c r="Q66" s="52"/>
      <c r="R66" s="52"/>
      <c r="S66" s="52"/>
      <c r="T66" s="52"/>
      <c r="U66" s="52"/>
      <c r="V66" s="52"/>
      <c r="W66" s="52"/>
      <c r="X66" s="52"/>
      <c r="Y66" s="52"/>
      <c r="Z66" s="52"/>
    </row>
    <row r="67" ht="15.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ht="15.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ht="15.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ht="15.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ht="15.75" customHeight="1">
      <c r="A71" s="52"/>
      <c r="B71" s="61"/>
      <c r="C71" s="61"/>
      <c r="D71" s="61"/>
      <c r="E71" s="61"/>
      <c r="F71" s="61"/>
      <c r="G71" s="52"/>
      <c r="H71" s="52"/>
      <c r="I71" s="52"/>
      <c r="J71" s="52"/>
      <c r="K71" s="52"/>
      <c r="L71" s="52"/>
      <c r="M71" s="52"/>
      <c r="N71" s="52"/>
      <c r="O71" s="52"/>
      <c r="P71" s="52"/>
      <c r="Q71" s="52"/>
      <c r="R71" s="52"/>
      <c r="S71" s="52"/>
      <c r="T71" s="52"/>
      <c r="U71" s="52"/>
      <c r="V71" s="52"/>
      <c r="W71" s="52"/>
      <c r="X71" s="52"/>
      <c r="Y71" s="52"/>
      <c r="Z71" s="52"/>
    </row>
    <row r="72" ht="15.75" customHeight="1">
      <c r="A72" s="52"/>
      <c r="B72" s="52"/>
      <c r="C72" s="52"/>
      <c r="D72" s="52"/>
      <c r="E72" s="61"/>
      <c r="F72" s="52"/>
      <c r="G72" s="52"/>
      <c r="H72" s="52"/>
      <c r="I72" s="52"/>
      <c r="J72" s="52"/>
      <c r="K72" s="52"/>
      <c r="L72" s="52"/>
      <c r="M72" s="52"/>
      <c r="N72" s="52"/>
      <c r="O72" s="52"/>
      <c r="P72" s="52"/>
      <c r="Q72" s="52"/>
      <c r="R72" s="52"/>
      <c r="S72" s="52"/>
      <c r="T72" s="52"/>
      <c r="U72" s="52"/>
      <c r="V72" s="52"/>
      <c r="W72" s="52"/>
      <c r="X72" s="52"/>
      <c r="Y72" s="52"/>
      <c r="Z72" s="52"/>
    </row>
    <row r="73" ht="15.75" customHeight="1">
      <c r="A73" s="52"/>
      <c r="B73" s="52"/>
      <c r="C73" s="61"/>
      <c r="D73" s="61"/>
      <c r="E73" s="61"/>
      <c r="F73" s="61"/>
      <c r="G73" s="52"/>
      <c r="H73" s="52"/>
      <c r="I73" s="52"/>
      <c r="J73" s="52"/>
      <c r="K73" s="52"/>
      <c r="L73" s="52"/>
      <c r="M73" s="52"/>
      <c r="N73" s="52"/>
      <c r="O73" s="52"/>
      <c r="P73" s="52"/>
      <c r="Q73" s="52"/>
      <c r="R73" s="52"/>
      <c r="S73" s="52"/>
      <c r="T73" s="52"/>
      <c r="U73" s="52"/>
      <c r="V73" s="52"/>
      <c r="W73" s="52"/>
      <c r="X73" s="52"/>
      <c r="Y73" s="52"/>
      <c r="Z73" s="52"/>
    </row>
    <row r="74" ht="15.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ht="15.75" customHeight="1">
      <c r="A76" s="52"/>
      <c r="B76" s="61"/>
      <c r="C76" s="52"/>
      <c r="D76" s="52"/>
      <c r="E76" s="52"/>
      <c r="F76" s="52"/>
      <c r="G76" s="52"/>
      <c r="H76" s="52"/>
      <c r="I76" s="52"/>
      <c r="J76" s="52"/>
      <c r="K76" s="52"/>
      <c r="L76" s="52"/>
      <c r="M76" s="52"/>
      <c r="N76" s="52"/>
      <c r="O76" s="52"/>
      <c r="P76" s="52"/>
      <c r="Q76" s="52"/>
      <c r="R76" s="52"/>
      <c r="S76" s="52"/>
      <c r="T76" s="52"/>
      <c r="U76" s="52"/>
      <c r="V76" s="52"/>
      <c r="W76" s="52"/>
      <c r="X76" s="52"/>
      <c r="Y76" s="52"/>
      <c r="Z76" s="52"/>
    </row>
    <row r="77"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ht="15.75" customHeight="1">
      <c r="A78" s="52"/>
      <c r="B78" s="61"/>
      <c r="C78" s="61"/>
      <c r="D78" s="61"/>
      <c r="E78" s="61"/>
      <c r="F78" s="61"/>
      <c r="G78" s="52"/>
      <c r="H78" s="52"/>
      <c r="I78" s="52"/>
      <c r="J78" s="52"/>
      <c r="K78" s="52"/>
      <c r="L78" s="52"/>
      <c r="M78" s="52"/>
      <c r="N78" s="52"/>
      <c r="O78" s="52"/>
      <c r="P78" s="52"/>
      <c r="Q78" s="52"/>
      <c r="R78" s="52"/>
      <c r="S78" s="52"/>
      <c r="T78" s="52"/>
      <c r="U78" s="52"/>
      <c r="V78" s="52"/>
      <c r="W78" s="52"/>
      <c r="X78" s="52"/>
      <c r="Y78" s="52"/>
      <c r="Z78" s="52"/>
    </row>
    <row r="79"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ht="15.75" customHeight="1">
      <c r="A80" s="52"/>
      <c r="B80" s="52"/>
      <c r="C80" s="61"/>
      <c r="D80" s="61"/>
      <c r="E80" s="61"/>
      <c r="F80" s="61"/>
      <c r="G80" s="52"/>
      <c r="H80" s="52"/>
      <c r="I80" s="52"/>
      <c r="J80" s="52"/>
      <c r="K80" s="52"/>
      <c r="L80" s="52"/>
      <c r="M80" s="52"/>
      <c r="N80" s="52"/>
      <c r="O80" s="52"/>
      <c r="P80" s="52"/>
      <c r="Q80" s="52"/>
      <c r="R80" s="52"/>
      <c r="S80" s="52"/>
      <c r="T80" s="52"/>
      <c r="U80" s="52"/>
      <c r="V80" s="52"/>
      <c r="W80" s="52"/>
      <c r="X80" s="52"/>
      <c r="Y80" s="52"/>
      <c r="Z80" s="52"/>
    </row>
    <row r="81"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ht="15.75" customHeight="1">
      <c r="A83" s="52"/>
      <c r="B83" s="52"/>
      <c r="C83" s="61"/>
      <c r="D83" s="61"/>
      <c r="E83" s="61"/>
      <c r="F83" s="61"/>
      <c r="G83" s="52"/>
      <c r="H83" s="52"/>
      <c r="I83" s="52"/>
      <c r="J83" s="52"/>
      <c r="K83" s="52"/>
      <c r="L83" s="52"/>
      <c r="M83" s="52"/>
      <c r="N83" s="52"/>
      <c r="O83" s="52"/>
      <c r="P83" s="52"/>
      <c r="Q83" s="52"/>
      <c r="R83" s="52"/>
      <c r="S83" s="52"/>
      <c r="T83" s="52"/>
      <c r="U83" s="52"/>
      <c r="V83" s="52"/>
      <c r="W83" s="52"/>
      <c r="X83" s="52"/>
      <c r="Y83" s="52"/>
      <c r="Z83" s="52"/>
    </row>
    <row r="84"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ht="15.75" customHeight="1">
      <c r="A98" s="52"/>
      <c r="B98" s="52"/>
      <c r="C98" s="61"/>
      <c r="D98" s="61"/>
      <c r="E98" s="61"/>
      <c r="F98" s="61"/>
      <c r="G98" s="52"/>
      <c r="H98" s="52"/>
      <c r="I98" s="52"/>
      <c r="J98" s="52"/>
      <c r="K98" s="52"/>
      <c r="L98" s="52"/>
      <c r="M98" s="52"/>
      <c r="N98" s="52"/>
      <c r="O98" s="52"/>
      <c r="P98" s="52"/>
      <c r="Q98" s="52"/>
      <c r="R98" s="52"/>
      <c r="S98" s="52"/>
      <c r="T98" s="52"/>
      <c r="U98" s="52"/>
      <c r="V98" s="52"/>
      <c r="W98" s="52"/>
      <c r="X98" s="52"/>
      <c r="Y98" s="52"/>
      <c r="Z98" s="52"/>
    </row>
    <row r="99" ht="15.75" customHeight="1">
      <c r="A99" s="52"/>
      <c r="B99" s="52"/>
      <c r="C99" s="61"/>
      <c r="D99" s="61"/>
      <c r="E99" s="61"/>
      <c r="F99" s="61"/>
      <c r="G99" s="52"/>
      <c r="H99" s="52"/>
      <c r="I99" s="52"/>
      <c r="J99" s="52"/>
      <c r="K99" s="52"/>
      <c r="L99" s="52"/>
      <c r="M99" s="52"/>
      <c r="N99" s="52"/>
      <c r="O99" s="52"/>
      <c r="P99" s="52"/>
      <c r="Q99" s="52"/>
      <c r="R99" s="52"/>
      <c r="S99" s="52"/>
      <c r="T99" s="52"/>
      <c r="U99" s="52"/>
      <c r="V99" s="52"/>
      <c r="W99" s="52"/>
      <c r="X99" s="52"/>
      <c r="Y99" s="52"/>
      <c r="Z99" s="52"/>
    </row>
    <row r="100" ht="15.75" customHeight="1">
      <c r="A100" s="52"/>
      <c r="B100" s="61"/>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ht="15.75" customHeight="1">
      <c r="A102" s="52"/>
      <c r="B102" s="61"/>
      <c r="C102" s="61"/>
      <c r="D102" s="61"/>
      <c r="E102" s="61"/>
      <c r="F102" s="61"/>
      <c r="G102" s="52"/>
      <c r="H102" s="52"/>
      <c r="I102" s="52"/>
      <c r="J102" s="52"/>
      <c r="K102" s="52"/>
      <c r="L102" s="52"/>
      <c r="M102" s="52"/>
      <c r="N102" s="52"/>
      <c r="O102" s="52"/>
      <c r="P102" s="52"/>
      <c r="Q102" s="52"/>
      <c r="R102" s="52"/>
      <c r="S102" s="52"/>
      <c r="T102" s="52"/>
      <c r="U102" s="52"/>
      <c r="V102" s="52"/>
      <c r="W102" s="52"/>
      <c r="X102" s="52"/>
      <c r="Y102" s="52"/>
      <c r="Z102" s="52"/>
    </row>
    <row r="103"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ht="15.75" customHeight="1">
      <c r="A106" s="52"/>
      <c r="B106" s="61"/>
      <c r="C106" s="61"/>
      <c r="D106" s="61"/>
      <c r="E106" s="61"/>
      <c r="F106" s="61"/>
      <c r="G106" s="52"/>
      <c r="H106" s="52"/>
      <c r="I106" s="52"/>
      <c r="J106" s="52"/>
      <c r="K106" s="52"/>
      <c r="L106" s="52"/>
      <c r="M106" s="52"/>
      <c r="N106" s="52"/>
      <c r="O106" s="52"/>
      <c r="P106" s="52"/>
      <c r="Q106" s="52"/>
      <c r="R106" s="52"/>
      <c r="S106" s="52"/>
      <c r="T106" s="52"/>
      <c r="U106" s="52"/>
      <c r="V106" s="52"/>
      <c r="W106" s="52"/>
      <c r="X106" s="52"/>
      <c r="Y106" s="52"/>
      <c r="Z106" s="52"/>
    </row>
    <row r="107"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ht="15.75" customHeight="1">
      <c r="A108" s="52"/>
      <c r="B108" s="52"/>
      <c r="C108" s="61"/>
      <c r="D108" s="61"/>
      <c r="E108" s="61"/>
      <c r="F108" s="61"/>
      <c r="G108" s="52"/>
      <c r="H108" s="52"/>
      <c r="I108" s="52"/>
      <c r="J108" s="52"/>
      <c r="K108" s="52"/>
      <c r="L108" s="52"/>
      <c r="M108" s="52"/>
      <c r="N108" s="52"/>
      <c r="O108" s="52"/>
      <c r="P108" s="52"/>
      <c r="Q108" s="52"/>
      <c r="R108" s="52"/>
      <c r="S108" s="52"/>
      <c r="T108" s="52"/>
      <c r="U108" s="52"/>
      <c r="V108" s="52"/>
      <c r="W108" s="52"/>
      <c r="X108" s="52"/>
      <c r="Y108" s="52"/>
      <c r="Z108" s="52"/>
    </row>
    <row r="109" ht="15.75" customHeight="1">
      <c r="A109" s="52"/>
      <c r="B109" s="61"/>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ht="15.75" customHeight="1">
      <c r="A110" s="52"/>
      <c r="B110" s="52"/>
      <c r="C110" s="61"/>
      <c r="D110" s="61"/>
      <c r="E110" s="61"/>
      <c r="F110" s="61"/>
      <c r="G110" s="52"/>
      <c r="H110" s="52"/>
      <c r="I110" s="52"/>
      <c r="J110" s="52"/>
      <c r="K110" s="52"/>
      <c r="L110" s="52"/>
      <c r="M110" s="52"/>
      <c r="N110" s="52"/>
      <c r="O110" s="52"/>
      <c r="P110" s="52"/>
      <c r="Q110" s="52"/>
      <c r="R110" s="52"/>
      <c r="S110" s="52"/>
      <c r="T110" s="52"/>
      <c r="U110" s="52"/>
      <c r="V110" s="52"/>
      <c r="W110" s="52"/>
      <c r="X110" s="52"/>
      <c r="Y110" s="52"/>
      <c r="Z110" s="52"/>
    </row>
    <row r="111"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ht="15.75" customHeight="1">
      <c r="A114" s="52"/>
      <c r="B114" s="61"/>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ht="15.75" customHeight="1">
      <c r="A122" s="52"/>
      <c r="B122" s="61"/>
      <c r="C122" s="61"/>
      <c r="D122" s="61"/>
      <c r="E122" s="61"/>
      <c r="F122" s="61"/>
      <c r="G122" s="52"/>
      <c r="H122" s="52"/>
      <c r="I122" s="52"/>
      <c r="J122" s="52"/>
      <c r="K122" s="52"/>
      <c r="L122" s="52"/>
      <c r="M122" s="52"/>
      <c r="N122" s="52"/>
      <c r="O122" s="52"/>
      <c r="P122" s="52"/>
      <c r="Q122" s="52"/>
      <c r="R122" s="52"/>
      <c r="S122" s="52"/>
      <c r="T122" s="52"/>
      <c r="U122" s="52"/>
      <c r="V122" s="52"/>
      <c r="W122" s="52"/>
      <c r="X122" s="52"/>
      <c r="Y122" s="52"/>
      <c r="Z122" s="52"/>
    </row>
    <row r="123" ht="15.75" customHeight="1">
      <c r="A123" s="52"/>
      <c r="B123" s="52"/>
      <c r="C123" s="61"/>
      <c r="D123" s="61"/>
      <c r="E123" s="61"/>
      <c r="F123" s="61"/>
      <c r="G123" s="52"/>
      <c r="H123" s="52"/>
      <c r="I123" s="52"/>
      <c r="J123" s="52"/>
      <c r="K123" s="52"/>
      <c r="L123" s="52"/>
      <c r="M123" s="52"/>
      <c r="N123" s="52"/>
      <c r="O123" s="52"/>
      <c r="P123" s="52"/>
      <c r="Q123" s="52"/>
      <c r="R123" s="52"/>
      <c r="S123" s="52"/>
      <c r="T123" s="52"/>
      <c r="U123" s="52"/>
      <c r="V123" s="52"/>
      <c r="W123" s="52"/>
      <c r="X123" s="52"/>
      <c r="Y123" s="52"/>
      <c r="Z123" s="52"/>
    </row>
    <row r="124"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ht="15.75" customHeight="1">
      <c r="A125" s="52"/>
      <c r="B125" s="52"/>
      <c r="C125" s="61"/>
      <c r="D125" s="61"/>
      <c r="E125" s="61"/>
      <c r="F125" s="61"/>
      <c r="G125" s="52"/>
      <c r="H125" s="52"/>
      <c r="I125" s="52"/>
      <c r="J125" s="52"/>
      <c r="K125" s="52"/>
      <c r="L125" s="52"/>
      <c r="M125" s="52"/>
      <c r="N125" s="52"/>
      <c r="O125" s="52"/>
      <c r="P125" s="52"/>
      <c r="Q125" s="52"/>
      <c r="R125" s="52"/>
      <c r="S125" s="52"/>
      <c r="T125" s="52"/>
      <c r="U125" s="52"/>
      <c r="V125" s="52"/>
      <c r="W125" s="52"/>
      <c r="X125" s="52"/>
      <c r="Y125" s="52"/>
      <c r="Z125" s="52"/>
    </row>
    <row r="126" ht="15.75" customHeight="1">
      <c r="A126" s="52"/>
      <c r="B126" s="61"/>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ht="15.75" customHeight="1">
      <c r="A127" s="52"/>
      <c r="B127" s="52"/>
      <c r="C127" s="61"/>
      <c r="D127" s="61"/>
      <c r="E127" s="61"/>
      <c r="F127" s="61"/>
      <c r="G127" s="52"/>
      <c r="H127" s="52"/>
      <c r="I127" s="52"/>
      <c r="J127" s="52"/>
      <c r="K127" s="52"/>
      <c r="L127" s="52"/>
      <c r="M127" s="52"/>
      <c r="N127" s="52"/>
      <c r="O127" s="52"/>
      <c r="P127" s="52"/>
      <c r="Q127" s="52"/>
      <c r="R127" s="52"/>
      <c r="S127" s="52"/>
      <c r="T127" s="52"/>
      <c r="U127" s="52"/>
      <c r="V127" s="52"/>
      <c r="W127" s="52"/>
      <c r="X127" s="52"/>
      <c r="Y127" s="52"/>
      <c r="Z127" s="52"/>
    </row>
    <row r="128"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ht="15.75" customHeight="1">
      <c r="A129" s="52"/>
      <c r="B129" s="52"/>
      <c r="C129" s="61"/>
      <c r="D129" s="61"/>
      <c r="E129" s="61"/>
      <c r="F129" s="61"/>
      <c r="G129" s="52"/>
      <c r="H129" s="52"/>
      <c r="I129" s="52"/>
      <c r="J129" s="52"/>
      <c r="K129" s="52"/>
      <c r="L129" s="52"/>
      <c r="M129" s="52"/>
      <c r="N129" s="52"/>
      <c r="O129" s="52"/>
      <c r="P129" s="52"/>
      <c r="Q129" s="52"/>
      <c r="R129" s="52"/>
      <c r="S129" s="52"/>
      <c r="T129" s="52"/>
      <c r="U129" s="52"/>
      <c r="V129" s="52"/>
      <c r="W129" s="52"/>
      <c r="X129" s="52"/>
      <c r="Y129" s="52"/>
      <c r="Z129" s="52"/>
    </row>
    <row r="130" ht="15.75" customHeight="1">
      <c r="A130" s="52"/>
      <c r="B130" s="52"/>
      <c r="C130" s="61"/>
      <c r="D130" s="61"/>
      <c r="E130" s="61"/>
      <c r="F130" s="61"/>
      <c r="G130" s="52"/>
      <c r="H130" s="52"/>
      <c r="I130" s="52"/>
      <c r="J130" s="52"/>
      <c r="K130" s="52"/>
      <c r="L130" s="52"/>
      <c r="M130" s="52"/>
      <c r="N130" s="52"/>
      <c r="O130" s="52"/>
      <c r="P130" s="52"/>
      <c r="Q130" s="52"/>
      <c r="R130" s="52"/>
      <c r="S130" s="52"/>
      <c r="T130" s="52"/>
      <c r="U130" s="52"/>
      <c r="V130" s="52"/>
      <c r="W130" s="52"/>
      <c r="X130" s="52"/>
      <c r="Y130" s="52"/>
      <c r="Z130" s="52"/>
    </row>
    <row r="131"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ht="15.75" customHeight="1">
      <c r="A134" s="52"/>
      <c r="B134" s="52"/>
      <c r="C134" s="61"/>
      <c r="D134" s="61"/>
      <c r="E134" s="61"/>
      <c r="F134" s="61"/>
      <c r="G134" s="52"/>
      <c r="H134" s="52"/>
      <c r="I134" s="52"/>
      <c r="J134" s="52"/>
      <c r="K134" s="52"/>
      <c r="L134" s="52"/>
      <c r="M134" s="52"/>
      <c r="N134" s="52"/>
      <c r="O134" s="52"/>
      <c r="P134" s="52"/>
      <c r="Q134" s="52"/>
      <c r="R134" s="52"/>
      <c r="S134" s="52"/>
      <c r="T134" s="52"/>
      <c r="U134" s="52"/>
      <c r="V134" s="52"/>
      <c r="W134" s="52"/>
      <c r="X134" s="52"/>
      <c r="Y134" s="52"/>
      <c r="Z134" s="52"/>
    </row>
    <row r="135" ht="15.75" customHeight="1">
      <c r="A135" s="52"/>
      <c r="B135" s="61"/>
      <c r="C135" s="61"/>
      <c r="D135" s="61"/>
      <c r="E135" s="61"/>
      <c r="F135" s="61"/>
      <c r="G135" s="52"/>
      <c r="H135" s="52"/>
      <c r="I135" s="52"/>
      <c r="J135" s="52"/>
      <c r="K135" s="52"/>
      <c r="L135" s="52"/>
      <c r="M135" s="52"/>
      <c r="N135" s="52"/>
      <c r="O135" s="52"/>
      <c r="P135" s="52"/>
      <c r="Q135" s="52"/>
      <c r="R135" s="52"/>
      <c r="S135" s="52"/>
      <c r="T135" s="52"/>
      <c r="U135" s="52"/>
      <c r="V135" s="52"/>
      <c r="W135" s="52"/>
      <c r="X135" s="52"/>
      <c r="Y135" s="52"/>
      <c r="Z135" s="52"/>
    </row>
    <row r="136"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ht="15.75" customHeight="1">
      <c r="A137" s="52"/>
      <c r="B137" s="61"/>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ht="15.75" customHeight="1">
      <c r="A145" s="52"/>
      <c r="B145" s="52"/>
      <c r="C145" s="61"/>
      <c r="D145" s="61"/>
      <c r="E145" s="61"/>
      <c r="F145" s="61"/>
      <c r="G145" s="52"/>
      <c r="H145" s="52"/>
      <c r="I145" s="52"/>
      <c r="J145" s="52"/>
      <c r="K145" s="52"/>
      <c r="L145" s="52"/>
      <c r="M145" s="52"/>
      <c r="N145" s="52"/>
      <c r="O145" s="52"/>
      <c r="P145" s="52"/>
      <c r="Q145" s="52"/>
      <c r="R145" s="52"/>
      <c r="S145" s="52"/>
      <c r="T145" s="52"/>
      <c r="U145" s="52"/>
      <c r="V145" s="52"/>
      <c r="W145" s="52"/>
      <c r="X145" s="52"/>
      <c r="Y145" s="52"/>
      <c r="Z145" s="52"/>
    </row>
    <row r="146" ht="15.75" customHeight="1">
      <c r="A146" s="52"/>
      <c r="B146" s="61"/>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ht="15.75" customHeight="1">
      <c r="A147" s="52"/>
      <c r="B147" s="52"/>
      <c r="C147" s="61"/>
      <c r="D147" s="61"/>
      <c r="E147" s="61"/>
      <c r="F147" s="61"/>
      <c r="G147" s="52"/>
      <c r="H147" s="52"/>
      <c r="I147" s="52"/>
      <c r="J147" s="52"/>
      <c r="K147" s="52"/>
      <c r="L147" s="52"/>
      <c r="M147" s="52"/>
      <c r="N147" s="52"/>
      <c r="O147" s="52"/>
      <c r="P147" s="52"/>
      <c r="Q147" s="52"/>
      <c r="R147" s="52"/>
      <c r="S147" s="52"/>
      <c r="T147" s="52"/>
      <c r="U147" s="52"/>
      <c r="V147" s="52"/>
      <c r="W147" s="52"/>
      <c r="X147" s="52"/>
      <c r="Y147" s="52"/>
      <c r="Z147" s="52"/>
    </row>
    <row r="148" ht="15.75" customHeight="1">
      <c r="A148" s="52"/>
      <c r="B148" s="52"/>
      <c r="C148" s="61"/>
      <c r="D148" s="61"/>
      <c r="E148" s="61"/>
      <c r="F148" s="61"/>
      <c r="G148" s="52"/>
      <c r="H148" s="52"/>
      <c r="I148" s="52"/>
      <c r="J148" s="52"/>
      <c r="K148" s="52"/>
      <c r="L148" s="52"/>
      <c r="M148" s="52"/>
      <c r="N148" s="52"/>
      <c r="O148" s="52"/>
      <c r="P148" s="52"/>
      <c r="Q148" s="52"/>
      <c r="R148" s="52"/>
      <c r="S148" s="52"/>
      <c r="T148" s="52"/>
      <c r="U148" s="52"/>
      <c r="V148" s="52"/>
      <c r="W148" s="52"/>
      <c r="X148" s="52"/>
      <c r="Y148" s="52"/>
      <c r="Z148" s="52"/>
    </row>
    <row r="149" ht="15.75" customHeight="1">
      <c r="A149" s="52"/>
      <c r="B149" s="61"/>
      <c r="C149" s="61"/>
      <c r="D149" s="61"/>
      <c r="E149" s="61"/>
      <c r="F149" s="61"/>
      <c r="G149" s="52"/>
      <c r="H149" s="52"/>
      <c r="I149" s="52"/>
      <c r="J149" s="52"/>
      <c r="K149" s="52"/>
      <c r="L149" s="52"/>
      <c r="M149" s="52"/>
      <c r="N149" s="52"/>
      <c r="O149" s="52"/>
      <c r="P149" s="52"/>
      <c r="Q149" s="52"/>
      <c r="R149" s="52"/>
      <c r="S149" s="52"/>
      <c r="T149" s="52"/>
      <c r="U149" s="52"/>
      <c r="V149" s="52"/>
      <c r="W149" s="52"/>
      <c r="X149" s="52"/>
      <c r="Y149" s="52"/>
      <c r="Z149" s="52"/>
    </row>
    <row r="150" ht="15.75" customHeight="1">
      <c r="A150" s="52"/>
      <c r="B150" s="52"/>
      <c r="C150" s="61"/>
      <c r="D150" s="61"/>
      <c r="E150" s="61"/>
      <c r="F150" s="61"/>
      <c r="G150" s="52"/>
      <c r="H150" s="52"/>
      <c r="I150" s="52"/>
      <c r="J150" s="52"/>
      <c r="K150" s="52"/>
      <c r="L150" s="52"/>
      <c r="M150" s="52"/>
      <c r="N150" s="52"/>
      <c r="O150" s="52"/>
      <c r="P150" s="52"/>
      <c r="Q150" s="52"/>
      <c r="R150" s="52"/>
      <c r="S150" s="52"/>
      <c r="T150" s="52"/>
      <c r="U150" s="52"/>
      <c r="V150" s="52"/>
      <c r="W150" s="52"/>
      <c r="X150" s="52"/>
      <c r="Y150" s="52"/>
      <c r="Z150" s="52"/>
    </row>
    <row r="151"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ht="15.75" customHeight="1">
      <c r="A152" s="52"/>
      <c r="B152" s="52"/>
      <c r="C152" s="61"/>
      <c r="D152" s="61"/>
      <c r="E152" s="61"/>
      <c r="F152" s="61"/>
      <c r="G152" s="52"/>
      <c r="H152" s="52"/>
      <c r="I152" s="52"/>
      <c r="J152" s="52"/>
      <c r="K152" s="52"/>
      <c r="L152" s="52"/>
      <c r="M152" s="52"/>
      <c r="N152" s="52"/>
      <c r="O152" s="52"/>
      <c r="P152" s="52"/>
      <c r="Q152" s="52"/>
      <c r="R152" s="52"/>
      <c r="S152" s="52"/>
      <c r="T152" s="52"/>
      <c r="U152" s="52"/>
      <c r="V152" s="52"/>
      <c r="W152" s="52"/>
      <c r="X152" s="52"/>
      <c r="Y152" s="52"/>
      <c r="Z152" s="52"/>
    </row>
    <row r="153" ht="15.75" customHeight="1">
      <c r="A153" s="52"/>
      <c r="B153" s="61"/>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ht="15.75" customHeight="1">
      <c r="A155" s="52"/>
      <c r="B155" s="61"/>
      <c r="C155" s="61"/>
      <c r="D155" s="61"/>
      <c r="E155" s="61"/>
      <c r="F155" s="61"/>
      <c r="G155" s="52"/>
      <c r="H155" s="52"/>
      <c r="I155" s="52"/>
      <c r="J155" s="52"/>
      <c r="K155" s="52"/>
      <c r="L155" s="52"/>
      <c r="M155" s="52"/>
      <c r="N155" s="52"/>
      <c r="O155" s="52"/>
      <c r="P155" s="52"/>
      <c r="Q155" s="52"/>
      <c r="R155" s="52"/>
      <c r="S155" s="52"/>
      <c r="T155" s="52"/>
      <c r="U155" s="52"/>
      <c r="V155" s="52"/>
      <c r="W155" s="52"/>
      <c r="X155" s="52"/>
      <c r="Y155" s="52"/>
      <c r="Z155" s="52"/>
    </row>
    <row r="156"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ht="15.75" customHeight="1">
      <c r="A157" s="52"/>
      <c r="B157" s="61"/>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ht="15.75" customHeight="1">
      <c r="A158" s="52"/>
      <c r="B158" s="61"/>
      <c r="C158" s="61"/>
      <c r="D158" s="61"/>
      <c r="E158" s="61"/>
      <c r="F158" s="61"/>
      <c r="G158" s="52"/>
      <c r="H158" s="52"/>
      <c r="I158" s="52"/>
      <c r="J158" s="52"/>
      <c r="K158" s="52"/>
      <c r="L158" s="52"/>
      <c r="M158" s="52"/>
      <c r="N158" s="52"/>
      <c r="O158" s="52"/>
      <c r="P158" s="52"/>
      <c r="Q158" s="52"/>
      <c r="R158" s="52"/>
      <c r="S158" s="52"/>
      <c r="T158" s="52"/>
      <c r="U158" s="52"/>
      <c r="V158" s="52"/>
      <c r="W158" s="52"/>
      <c r="X158" s="52"/>
      <c r="Y158" s="52"/>
      <c r="Z158" s="52"/>
    </row>
    <row r="159" ht="15.75" customHeight="1">
      <c r="A159" s="52"/>
      <c r="B159" s="61"/>
      <c r="C159" s="61"/>
      <c r="D159" s="61"/>
      <c r="E159" s="61"/>
      <c r="F159" s="61"/>
      <c r="G159" s="52"/>
      <c r="H159" s="52"/>
      <c r="I159" s="52"/>
      <c r="J159" s="52"/>
      <c r="K159" s="52"/>
      <c r="L159" s="52"/>
      <c r="M159" s="52"/>
      <c r="N159" s="52"/>
      <c r="O159" s="52"/>
      <c r="P159" s="52"/>
      <c r="Q159" s="52"/>
      <c r="R159" s="52"/>
      <c r="S159" s="52"/>
      <c r="T159" s="52"/>
      <c r="U159" s="52"/>
      <c r="V159" s="52"/>
      <c r="W159" s="52"/>
      <c r="X159" s="52"/>
      <c r="Y159" s="52"/>
      <c r="Z159" s="52"/>
    </row>
    <row r="160"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ht="15.75" customHeight="1">
      <c r="A164" s="52"/>
      <c r="B164" s="61"/>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ht="15.75" customHeight="1">
      <c r="A165" s="52"/>
      <c r="B165" s="61"/>
      <c r="C165" s="61"/>
      <c r="D165" s="61"/>
      <c r="E165" s="61"/>
      <c r="F165" s="61"/>
      <c r="G165" s="52"/>
      <c r="H165" s="52"/>
      <c r="I165" s="52"/>
      <c r="J165" s="52"/>
      <c r="K165" s="52"/>
      <c r="L165" s="52"/>
      <c r="M165" s="52"/>
      <c r="N165" s="52"/>
      <c r="O165" s="52"/>
      <c r="P165" s="52"/>
      <c r="Q165" s="52"/>
      <c r="R165" s="52"/>
      <c r="S165" s="52"/>
      <c r="T165" s="52"/>
      <c r="U165" s="52"/>
      <c r="V165" s="52"/>
      <c r="W165" s="52"/>
      <c r="X165" s="52"/>
      <c r="Y165" s="52"/>
      <c r="Z165" s="52"/>
    </row>
    <row r="166" ht="15.75" customHeight="1">
      <c r="A166" s="52"/>
      <c r="B166" s="52"/>
      <c r="C166" s="61"/>
      <c r="D166" s="61"/>
      <c r="E166" s="61"/>
      <c r="F166" s="61"/>
      <c r="G166" s="52"/>
      <c r="H166" s="52"/>
      <c r="I166" s="52"/>
      <c r="J166" s="52"/>
      <c r="K166" s="52"/>
      <c r="L166" s="52"/>
      <c r="M166" s="52"/>
      <c r="N166" s="52"/>
      <c r="O166" s="52"/>
      <c r="P166" s="52"/>
      <c r="Q166" s="52"/>
      <c r="R166" s="52"/>
      <c r="S166" s="52"/>
      <c r="T166" s="52"/>
      <c r="U166" s="52"/>
      <c r="V166" s="52"/>
      <c r="W166" s="52"/>
      <c r="X166" s="52"/>
      <c r="Y166" s="52"/>
      <c r="Z166" s="52"/>
    </row>
    <row r="167" ht="15.75" customHeight="1">
      <c r="A167" s="52"/>
      <c r="B167" s="52"/>
      <c r="C167" s="61"/>
      <c r="D167" s="61"/>
      <c r="E167" s="61"/>
      <c r="F167" s="61"/>
      <c r="G167" s="52"/>
      <c r="H167" s="52"/>
      <c r="I167" s="52"/>
      <c r="J167" s="52"/>
      <c r="K167" s="52"/>
      <c r="L167" s="52"/>
      <c r="M167" s="52"/>
      <c r="N167" s="52"/>
      <c r="O167" s="52"/>
      <c r="P167" s="52"/>
      <c r="Q167" s="52"/>
      <c r="R167" s="52"/>
      <c r="S167" s="52"/>
      <c r="T167" s="52"/>
      <c r="U167" s="52"/>
      <c r="V167" s="52"/>
      <c r="W167" s="52"/>
      <c r="X167" s="52"/>
      <c r="Y167" s="52"/>
      <c r="Z167" s="52"/>
    </row>
    <row r="168"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ht="15.75" customHeight="1">
      <c r="A170" s="52"/>
      <c r="B170" s="52"/>
      <c r="C170" s="61"/>
      <c r="D170" s="61"/>
      <c r="E170" s="61"/>
      <c r="F170" s="61"/>
      <c r="G170" s="52"/>
      <c r="H170" s="52"/>
      <c r="I170" s="52"/>
      <c r="J170" s="52"/>
      <c r="K170" s="52"/>
      <c r="L170" s="52"/>
      <c r="M170" s="52"/>
      <c r="N170" s="52"/>
      <c r="O170" s="52"/>
      <c r="P170" s="52"/>
      <c r="Q170" s="52"/>
      <c r="R170" s="52"/>
      <c r="S170" s="52"/>
      <c r="T170" s="52"/>
      <c r="U170" s="52"/>
      <c r="V170" s="52"/>
      <c r="W170" s="52"/>
      <c r="X170" s="52"/>
      <c r="Y170" s="52"/>
      <c r="Z170" s="52"/>
    </row>
    <row r="171"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ht="15.75" customHeight="1">
      <c r="A172" s="52"/>
      <c r="B172" s="61"/>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ht="15.75" customHeight="1">
      <c r="A173" s="52"/>
      <c r="B173" s="52"/>
      <c r="C173" s="61"/>
      <c r="D173" s="61"/>
      <c r="E173" s="61"/>
      <c r="F173" s="61"/>
      <c r="G173" s="52"/>
      <c r="H173" s="52"/>
      <c r="I173" s="52"/>
      <c r="J173" s="52"/>
      <c r="K173" s="52"/>
      <c r="L173" s="52"/>
      <c r="M173" s="52"/>
      <c r="N173" s="52"/>
      <c r="O173" s="52"/>
      <c r="P173" s="52"/>
      <c r="Q173" s="52"/>
      <c r="R173" s="52"/>
      <c r="S173" s="52"/>
      <c r="T173" s="52"/>
      <c r="U173" s="52"/>
      <c r="V173" s="52"/>
      <c r="W173" s="52"/>
      <c r="X173" s="52"/>
      <c r="Y173" s="52"/>
      <c r="Z173" s="52"/>
    </row>
    <row r="17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ht="15.75" customHeight="1">
      <c r="A175" s="52"/>
      <c r="B175" s="52"/>
      <c r="C175" s="61"/>
      <c r="D175" s="61"/>
      <c r="E175" s="61"/>
      <c r="F175" s="61"/>
      <c r="G175" s="52"/>
      <c r="H175" s="52"/>
      <c r="I175" s="52"/>
      <c r="J175" s="52"/>
      <c r="K175" s="52"/>
      <c r="L175" s="52"/>
      <c r="M175" s="52"/>
      <c r="N175" s="52"/>
      <c r="O175" s="52"/>
      <c r="P175" s="52"/>
      <c r="Q175" s="52"/>
      <c r="R175" s="52"/>
      <c r="S175" s="52"/>
      <c r="T175" s="52"/>
      <c r="U175" s="52"/>
      <c r="V175" s="52"/>
      <c r="W175" s="52"/>
      <c r="X175" s="52"/>
      <c r="Y175" s="52"/>
      <c r="Z175" s="52"/>
    </row>
    <row r="176"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ht="15.75" customHeight="1">
      <c r="A177" s="52"/>
      <c r="B177" s="52"/>
      <c r="C177" s="52"/>
      <c r="D177" s="52"/>
      <c r="E177" s="52"/>
      <c r="F177" s="52"/>
      <c r="G177" s="52"/>
      <c r="H177" s="62"/>
      <c r="I177" s="62"/>
      <c r="J177" s="62"/>
      <c r="K177" s="62"/>
      <c r="L177" s="62"/>
      <c r="M177" s="62"/>
      <c r="N177" s="62"/>
      <c r="O177" s="62"/>
      <c r="P177" s="62"/>
      <c r="Q177" s="62"/>
      <c r="R177" s="62"/>
      <c r="S177" s="62"/>
      <c r="T177" s="62"/>
      <c r="U177" s="62"/>
      <c r="V177" s="62"/>
      <c r="W177" s="62"/>
      <c r="X177" s="62"/>
      <c r="Y177" s="62"/>
      <c r="Z177" s="62"/>
    </row>
    <row r="178"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ht="15.75" customHeight="1">
      <c r="A184" s="52"/>
      <c r="B184" s="61"/>
      <c r="C184" s="61"/>
      <c r="D184" s="61"/>
      <c r="E184" s="61"/>
      <c r="F184" s="61"/>
      <c r="G184" s="52"/>
      <c r="H184" s="52"/>
      <c r="I184" s="52"/>
      <c r="J184" s="52"/>
      <c r="K184" s="52"/>
      <c r="L184" s="52"/>
      <c r="M184" s="52"/>
      <c r="N184" s="52"/>
      <c r="O184" s="52"/>
      <c r="P184" s="52"/>
      <c r="Q184" s="52"/>
      <c r="R184" s="52"/>
      <c r="S184" s="52"/>
      <c r="T184" s="52"/>
      <c r="U184" s="52"/>
      <c r="V184" s="52"/>
      <c r="W184" s="52"/>
      <c r="X184" s="52"/>
      <c r="Y184" s="52"/>
      <c r="Z184" s="52"/>
    </row>
    <row r="185"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ht="15.75" customHeight="1">
      <c r="A187" s="52"/>
      <c r="B187" s="52"/>
      <c r="C187" s="61"/>
      <c r="D187" s="61"/>
      <c r="E187" s="61"/>
      <c r="F187" s="61"/>
      <c r="G187" s="52"/>
      <c r="H187" s="52"/>
      <c r="I187" s="52"/>
      <c r="J187" s="52"/>
      <c r="K187" s="52"/>
      <c r="L187" s="52"/>
      <c r="M187" s="52"/>
      <c r="N187" s="52"/>
      <c r="O187" s="52"/>
      <c r="P187" s="52"/>
      <c r="Q187" s="52"/>
      <c r="R187" s="52"/>
      <c r="S187" s="52"/>
      <c r="T187" s="52"/>
      <c r="U187" s="52"/>
      <c r="V187" s="52"/>
      <c r="W187" s="52"/>
      <c r="X187" s="52"/>
      <c r="Y187" s="52"/>
      <c r="Z187" s="52"/>
    </row>
    <row r="188" ht="15.75" customHeight="1">
      <c r="A188" s="52"/>
      <c r="B188" s="61"/>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ht="15.75" customHeight="1">
      <c r="A189" s="52"/>
      <c r="B189" s="52"/>
      <c r="C189" s="61"/>
      <c r="D189" s="61"/>
      <c r="E189" s="61"/>
      <c r="F189" s="61"/>
      <c r="G189" s="52"/>
      <c r="H189" s="52"/>
      <c r="I189" s="52"/>
      <c r="J189" s="52"/>
      <c r="K189" s="52"/>
      <c r="L189" s="52"/>
      <c r="M189" s="52"/>
      <c r="N189" s="52"/>
      <c r="O189" s="52"/>
      <c r="P189" s="52"/>
      <c r="Q189" s="52"/>
      <c r="R189" s="52"/>
      <c r="S189" s="52"/>
      <c r="T189" s="52"/>
      <c r="U189" s="52"/>
      <c r="V189" s="52"/>
      <c r="W189" s="52"/>
      <c r="X189" s="52"/>
      <c r="Y189" s="52"/>
      <c r="Z189" s="52"/>
    </row>
    <row r="190"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ht="15.75" customHeight="1">
      <c r="A192" s="52"/>
      <c r="B192" s="52"/>
      <c r="C192" s="61"/>
      <c r="D192" s="61"/>
      <c r="E192" s="61"/>
      <c r="F192" s="61"/>
      <c r="G192" s="62"/>
      <c r="H192" s="52"/>
      <c r="I192" s="52"/>
      <c r="J192" s="52"/>
      <c r="K192" s="52"/>
      <c r="L192" s="52"/>
      <c r="M192" s="52"/>
      <c r="N192" s="52"/>
      <c r="O192" s="52"/>
      <c r="P192" s="52"/>
      <c r="Q192" s="52"/>
      <c r="R192" s="52"/>
      <c r="S192" s="52"/>
      <c r="T192" s="52"/>
      <c r="U192" s="52"/>
      <c r="V192" s="52"/>
      <c r="W192" s="52"/>
      <c r="X192" s="52"/>
      <c r="Y192" s="52"/>
      <c r="Z192" s="52"/>
    </row>
    <row r="193" ht="15.75" customHeight="1">
      <c r="A193" s="52"/>
      <c r="B193" s="61"/>
      <c r="C193" s="61"/>
      <c r="D193" s="61"/>
      <c r="E193" s="61"/>
      <c r="F193" s="61"/>
      <c r="G193" s="52"/>
      <c r="H193" s="52"/>
      <c r="I193" s="52"/>
      <c r="J193" s="52"/>
      <c r="K193" s="52"/>
      <c r="L193" s="52"/>
      <c r="M193" s="52"/>
      <c r="N193" s="52"/>
      <c r="O193" s="52"/>
      <c r="P193" s="52"/>
      <c r="Q193" s="52"/>
      <c r="R193" s="52"/>
      <c r="S193" s="52"/>
      <c r="T193" s="52"/>
      <c r="U193" s="52"/>
      <c r="V193" s="52"/>
      <c r="W193" s="52"/>
      <c r="X193" s="52"/>
      <c r="Y193" s="52"/>
      <c r="Z193" s="52"/>
    </row>
    <row r="194" ht="15.75" customHeight="1">
      <c r="A194" s="52"/>
      <c r="B194" s="61"/>
      <c r="C194" s="52"/>
      <c r="D194" s="52"/>
      <c r="E194" s="61"/>
      <c r="F194" s="52"/>
      <c r="G194" s="52"/>
      <c r="H194" s="52"/>
      <c r="I194" s="52"/>
      <c r="J194" s="52"/>
      <c r="K194" s="52"/>
      <c r="L194" s="52"/>
      <c r="M194" s="52"/>
      <c r="N194" s="52"/>
      <c r="O194" s="52"/>
      <c r="P194" s="52"/>
      <c r="Q194" s="52"/>
      <c r="R194" s="52"/>
      <c r="S194" s="52"/>
      <c r="T194" s="52"/>
      <c r="U194" s="52"/>
      <c r="V194" s="52"/>
      <c r="W194" s="52"/>
      <c r="X194" s="52"/>
      <c r="Y194" s="52"/>
      <c r="Z194" s="52"/>
    </row>
    <row r="195"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ht="15.75" customHeight="1">
      <c r="A199" s="52"/>
      <c r="B199" s="52"/>
      <c r="C199" s="61"/>
      <c r="D199" s="61"/>
      <c r="E199" s="61"/>
      <c r="F199" s="61"/>
      <c r="G199" s="52"/>
      <c r="H199" s="52"/>
      <c r="I199" s="52"/>
      <c r="J199" s="52"/>
      <c r="K199" s="52"/>
      <c r="L199" s="52"/>
      <c r="M199" s="52"/>
      <c r="N199" s="52"/>
      <c r="O199" s="52"/>
      <c r="P199" s="52"/>
      <c r="Q199" s="52"/>
      <c r="R199" s="52"/>
      <c r="S199" s="52"/>
      <c r="T199" s="52"/>
      <c r="U199" s="52"/>
      <c r="V199" s="52"/>
      <c r="W199" s="52"/>
      <c r="X199" s="52"/>
      <c r="Y199" s="52"/>
      <c r="Z199" s="52"/>
    </row>
    <row r="200" ht="15.75" customHeight="1">
      <c r="A200" s="52"/>
      <c r="B200" s="61"/>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ht="15.75" customHeight="1">
      <c r="A208" s="52"/>
      <c r="B208" s="61"/>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ht="15.75" customHeight="1">
      <c r="A211" s="52"/>
      <c r="B211" s="61"/>
      <c r="C211" s="61"/>
      <c r="D211" s="61"/>
      <c r="E211" s="61"/>
      <c r="F211" s="61"/>
      <c r="G211" s="52"/>
      <c r="H211" s="52"/>
      <c r="I211" s="52"/>
      <c r="J211" s="52"/>
      <c r="K211" s="52"/>
      <c r="L211" s="52"/>
      <c r="M211" s="52"/>
      <c r="N211" s="52"/>
      <c r="O211" s="52"/>
      <c r="P211" s="52"/>
      <c r="Q211" s="52"/>
      <c r="R211" s="52"/>
      <c r="S211" s="52"/>
      <c r="T211" s="52"/>
      <c r="U211" s="52"/>
      <c r="V211" s="52"/>
      <c r="W211" s="52"/>
      <c r="X211" s="52"/>
      <c r="Y211" s="52"/>
      <c r="Z211" s="52"/>
    </row>
    <row r="212"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ht="15.75" customHeight="1">
      <c r="A213" s="52"/>
      <c r="B213" s="61"/>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ht="15.75" customHeight="1">
      <c r="A214" s="52"/>
      <c r="B214" s="52"/>
      <c r="C214" s="61"/>
      <c r="D214" s="61"/>
      <c r="E214" s="61"/>
      <c r="F214" s="61"/>
      <c r="G214" s="52"/>
      <c r="H214" s="52"/>
      <c r="I214" s="52"/>
      <c r="J214" s="52"/>
      <c r="K214" s="52"/>
      <c r="L214" s="52"/>
      <c r="M214" s="52"/>
      <c r="N214" s="52"/>
      <c r="O214" s="52"/>
      <c r="P214" s="52"/>
      <c r="Q214" s="52"/>
      <c r="R214" s="52"/>
      <c r="S214" s="52"/>
      <c r="T214" s="52"/>
      <c r="U214" s="52"/>
      <c r="V214" s="52"/>
      <c r="W214" s="52"/>
      <c r="X214" s="52"/>
      <c r="Y214" s="52"/>
      <c r="Z214" s="52"/>
    </row>
    <row r="215" ht="15.75" customHeight="1">
      <c r="A215" s="52"/>
      <c r="B215" s="52"/>
      <c r="C215" s="61"/>
      <c r="D215" s="61"/>
      <c r="E215" s="61"/>
      <c r="F215" s="61"/>
      <c r="G215" s="52"/>
      <c r="H215" s="52"/>
      <c r="I215" s="52"/>
      <c r="J215" s="52"/>
      <c r="K215" s="52"/>
      <c r="L215" s="52"/>
      <c r="M215" s="52"/>
      <c r="N215" s="52"/>
      <c r="O215" s="52"/>
      <c r="P215" s="52"/>
      <c r="Q215" s="52"/>
      <c r="R215" s="52"/>
      <c r="S215" s="52"/>
      <c r="T215" s="52"/>
      <c r="U215" s="52"/>
      <c r="V215" s="52"/>
      <c r="W215" s="52"/>
      <c r="X215" s="52"/>
      <c r="Y215" s="52"/>
      <c r="Z215" s="52"/>
    </row>
    <row r="216" ht="15.75" customHeight="1">
      <c r="A216" s="52"/>
      <c r="B216" s="52"/>
      <c r="C216" s="61"/>
      <c r="D216" s="61"/>
      <c r="E216" s="61"/>
      <c r="F216" s="61"/>
      <c r="G216" s="52"/>
      <c r="H216" s="52"/>
      <c r="I216" s="52"/>
      <c r="J216" s="52"/>
      <c r="K216" s="52"/>
      <c r="L216" s="52"/>
      <c r="M216" s="52"/>
      <c r="N216" s="52"/>
      <c r="O216" s="52"/>
      <c r="P216" s="52"/>
      <c r="Q216" s="52"/>
      <c r="R216" s="52"/>
      <c r="S216" s="52"/>
      <c r="T216" s="52"/>
      <c r="U216" s="52"/>
      <c r="V216" s="52"/>
      <c r="W216" s="52"/>
      <c r="X216" s="52"/>
      <c r="Y216" s="52"/>
      <c r="Z216" s="52"/>
    </row>
    <row r="217" ht="15.75" customHeight="1">
      <c r="A217" s="52"/>
      <c r="B217" s="52"/>
      <c r="C217" s="61"/>
      <c r="D217" s="61"/>
      <c r="E217" s="61"/>
      <c r="F217" s="61"/>
      <c r="G217" s="52"/>
      <c r="H217" s="52"/>
      <c r="I217" s="52"/>
      <c r="J217" s="52"/>
      <c r="K217" s="52"/>
      <c r="L217" s="52"/>
      <c r="M217" s="52"/>
      <c r="N217" s="52"/>
      <c r="O217" s="52"/>
      <c r="P217" s="52"/>
      <c r="Q217" s="52"/>
      <c r="R217" s="52"/>
      <c r="S217" s="52"/>
      <c r="T217" s="52"/>
      <c r="U217" s="52"/>
      <c r="V217" s="52"/>
      <c r="W217" s="52"/>
      <c r="X217" s="52"/>
      <c r="Y217" s="52"/>
      <c r="Z217" s="52"/>
    </row>
    <row r="218"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ht="15.75" customHeight="1">
      <c r="A221" s="52"/>
      <c r="B221" s="52"/>
      <c r="C221" s="61"/>
      <c r="D221" s="61"/>
      <c r="E221" s="61"/>
      <c r="F221" s="61"/>
      <c r="G221" s="52"/>
      <c r="H221" s="52"/>
      <c r="I221" s="52"/>
      <c r="J221" s="52"/>
      <c r="K221" s="52"/>
      <c r="L221" s="52"/>
      <c r="M221" s="52"/>
      <c r="N221" s="52"/>
      <c r="O221" s="52"/>
      <c r="P221" s="52"/>
      <c r="Q221" s="52"/>
      <c r="R221" s="52"/>
      <c r="S221" s="52"/>
      <c r="T221" s="52"/>
      <c r="U221" s="52"/>
      <c r="V221" s="52"/>
      <c r="W221" s="52"/>
      <c r="X221" s="52"/>
      <c r="Y221" s="52"/>
      <c r="Z221" s="52"/>
    </row>
    <row r="222" ht="15.75" customHeight="1">
      <c r="A222" s="52"/>
      <c r="B222" s="52"/>
      <c r="C222" s="61"/>
      <c r="D222" s="61"/>
      <c r="E222" s="61"/>
      <c r="F222" s="61"/>
      <c r="G222" s="52"/>
      <c r="H222" s="52"/>
      <c r="I222" s="52"/>
      <c r="J222" s="52"/>
      <c r="K222" s="52"/>
      <c r="L222" s="52"/>
      <c r="M222" s="52"/>
      <c r="N222" s="52"/>
      <c r="O222" s="52"/>
      <c r="P222" s="52"/>
      <c r="Q222" s="52"/>
      <c r="R222" s="52"/>
      <c r="S222" s="52"/>
      <c r="T222" s="52"/>
      <c r="U222" s="52"/>
      <c r="V222" s="52"/>
      <c r="W222" s="52"/>
      <c r="X222" s="52"/>
      <c r="Y222" s="52"/>
      <c r="Z222" s="52"/>
    </row>
    <row r="223"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ht="15.75" customHeight="1">
      <c r="A224" s="52"/>
      <c r="B224" s="52"/>
      <c r="C224" s="61"/>
      <c r="D224" s="61"/>
      <c r="E224" s="61"/>
      <c r="F224" s="61"/>
      <c r="G224" s="52"/>
      <c r="H224" s="52"/>
      <c r="I224" s="52"/>
      <c r="J224" s="52"/>
      <c r="K224" s="52"/>
      <c r="L224" s="52"/>
      <c r="M224" s="52"/>
      <c r="N224" s="52"/>
      <c r="O224" s="52"/>
      <c r="P224" s="52"/>
      <c r="Q224" s="52"/>
      <c r="R224" s="52"/>
      <c r="S224" s="52"/>
      <c r="T224" s="52"/>
      <c r="U224" s="52"/>
      <c r="V224" s="52"/>
      <c r="W224" s="52"/>
      <c r="X224" s="52"/>
      <c r="Y224" s="52"/>
      <c r="Z224" s="52"/>
    </row>
    <row r="225"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ht="15.75" customHeight="1">
      <c r="A229" s="52"/>
      <c r="B229" s="61"/>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ht="15.75" customHeight="1">
      <c r="A231" s="52"/>
      <c r="B231" s="61"/>
      <c r="C231" s="61"/>
      <c r="D231" s="61"/>
      <c r="E231" s="61"/>
      <c r="F231" s="61"/>
      <c r="G231" s="52"/>
      <c r="H231" s="52"/>
      <c r="I231" s="52"/>
      <c r="J231" s="52"/>
      <c r="K231" s="52"/>
      <c r="L231" s="52"/>
      <c r="M231" s="52"/>
      <c r="N231" s="52"/>
      <c r="O231" s="52"/>
      <c r="P231" s="52"/>
      <c r="Q231" s="52"/>
      <c r="R231" s="52"/>
      <c r="S231" s="52"/>
      <c r="T231" s="52"/>
      <c r="U231" s="52"/>
      <c r="V231" s="52"/>
      <c r="W231" s="52"/>
      <c r="X231" s="52"/>
      <c r="Y231" s="52"/>
      <c r="Z231" s="52"/>
    </row>
    <row r="232"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ht="15.75" customHeight="1">
      <c r="A237" s="52"/>
      <c r="B237" s="61"/>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ht="15.75" customHeight="1">
      <c r="A238" s="52"/>
      <c r="B238" s="61"/>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ht="15.75" customHeight="1">
      <c r="A239" s="52"/>
      <c r="B239" s="52"/>
      <c r="C239" s="61"/>
      <c r="D239" s="61"/>
      <c r="E239" s="61"/>
      <c r="F239" s="61"/>
      <c r="G239" s="52"/>
      <c r="H239" s="52"/>
      <c r="I239" s="52"/>
      <c r="J239" s="52"/>
      <c r="K239" s="52"/>
      <c r="L239" s="52"/>
      <c r="M239" s="52"/>
      <c r="N239" s="52"/>
      <c r="O239" s="52"/>
      <c r="P239" s="52"/>
      <c r="Q239" s="52"/>
      <c r="R239" s="52"/>
      <c r="S239" s="52"/>
      <c r="T239" s="52"/>
      <c r="U239" s="52"/>
      <c r="V239" s="52"/>
      <c r="W239" s="52"/>
      <c r="X239" s="52"/>
      <c r="Y239" s="52"/>
      <c r="Z239" s="52"/>
    </row>
    <row r="240" ht="15.75" customHeight="1">
      <c r="A240" s="52"/>
      <c r="B240" s="61"/>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ht="15.75" customHeight="1">
      <c r="A241" s="52"/>
      <c r="B241" s="52"/>
      <c r="C241" s="61"/>
      <c r="D241" s="61"/>
      <c r="E241" s="61"/>
      <c r="F241" s="61"/>
      <c r="G241" s="52"/>
      <c r="H241" s="52"/>
      <c r="I241" s="52"/>
      <c r="J241" s="52"/>
      <c r="K241" s="52"/>
      <c r="L241" s="52"/>
      <c r="M241" s="52"/>
      <c r="N241" s="52"/>
      <c r="O241" s="52"/>
      <c r="P241" s="52"/>
      <c r="Q241" s="52"/>
      <c r="R241" s="52"/>
      <c r="S241" s="52"/>
      <c r="T241" s="52"/>
      <c r="U241" s="52"/>
      <c r="V241" s="52"/>
      <c r="W241" s="52"/>
      <c r="X241" s="52"/>
      <c r="Y241" s="52"/>
      <c r="Z241" s="52"/>
    </row>
    <row r="242"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ht="15.75" customHeight="1">
      <c r="A243" s="52"/>
      <c r="B243" s="52"/>
      <c r="C243" s="61"/>
      <c r="D243" s="61"/>
      <c r="E243" s="61"/>
      <c r="F243" s="61"/>
      <c r="G243" s="52"/>
      <c r="H243" s="52"/>
      <c r="I243" s="52"/>
      <c r="J243" s="52"/>
      <c r="K243" s="52"/>
      <c r="L243" s="52"/>
      <c r="M243" s="52"/>
      <c r="N243" s="52"/>
      <c r="O243" s="52"/>
      <c r="P243" s="52"/>
      <c r="Q243" s="52"/>
      <c r="R243" s="52"/>
      <c r="S243" s="52"/>
      <c r="T243" s="52"/>
      <c r="U243" s="52"/>
      <c r="V243" s="52"/>
      <c r="W243" s="52"/>
      <c r="X243" s="52"/>
      <c r="Y243" s="52"/>
      <c r="Z243" s="52"/>
    </row>
    <row r="244" ht="15.75" customHeight="1">
      <c r="A244" s="52"/>
      <c r="B244" s="61"/>
      <c r="C244" s="61"/>
      <c r="D244" s="61"/>
      <c r="E244" s="61"/>
      <c r="F244" s="61"/>
      <c r="G244" s="52"/>
      <c r="H244" s="52"/>
      <c r="I244" s="52"/>
      <c r="J244" s="52"/>
      <c r="K244" s="52"/>
      <c r="L244" s="52"/>
      <c r="M244" s="52"/>
      <c r="N244" s="52"/>
      <c r="O244" s="52"/>
      <c r="P244" s="52"/>
      <c r="Q244" s="52"/>
      <c r="R244" s="52"/>
      <c r="S244" s="52"/>
      <c r="T244" s="52"/>
      <c r="U244" s="52"/>
      <c r="V244" s="52"/>
      <c r="W244" s="52"/>
      <c r="X244" s="52"/>
      <c r="Y244" s="52"/>
      <c r="Z244" s="52"/>
    </row>
    <row r="245" ht="15.75" customHeight="1">
      <c r="A245" s="52"/>
      <c r="B245" s="52"/>
      <c r="C245" s="61"/>
      <c r="D245" s="61"/>
      <c r="E245" s="61"/>
      <c r="F245" s="61"/>
      <c r="G245" s="52"/>
      <c r="H245" s="52"/>
      <c r="I245" s="52"/>
      <c r="J245" s="52"/>
      <c r="K245" s="52"/>
      <c r="L245" s="52"/>
      <c r="M245" s="52"/>
      <c r="N245" s="52"/>
      <c r="O245" s="52"/>
      <c r="P245" s="52"/>
      <c r="Q245" s="52"/>
      <c r="R245" s="52"/>
      <c r="S245" s="52"/>
      <c r="T245" s="52"/>
      <c r="U245" s="52"/>
      <c r="V245" s="52"/>
      <c r="W245" s="52"/>
      <c r="X245" s="52"/>
      <c r="Y245" s="52"/>
      <c r="Z245" s="52"/>
    </row>
    <row r="246" ht="15.75" customHeight="1">
      <c r="A246" s="52"/>
      <c r="B246" s="52"/>
      <c r="C246" s="61"/>
      <c r="D246" s="61"/>
      <c r="E246" s="61"/>
      <c r="F246" s="61"/>
      <c r="G246" s="52"/>
      <c r="H246" s="52"/>
      <c r="I246" s="52"/>
      <c r="J246" s="52"/>
      <c r="K246" s="52"/>
      <c r="L246" s="52"/>
      <c r="M246" s="52"/>
      <c r="N246" s="52"/>
      <c r="O246" s="52"/>
      <c r="P246" s="52"/>
      <c r="Q246" s="52"/>
      <c r="R246" s="52"/>
      <c r="S246" s="52"/>
      <c r="T246" s="52"/>
      <c r="U246" s="52"/>
      <c r="V246" s="52"/>
      <c r="W246" s="52"/>
      <c r="X246" s="52"/>
      <c r="Y246" s="52"/>
      <c r="Z246" s="52"/>
    </row>
    <row r="247"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ht="15.75" customHeight="1">
      <c r="A249" s="52"/>
      <c r="B249" s="52"/>
      <c r="C249" s="61"/>
      <c r="D249" s="61"/>
      <c r="E249" s="61"/>
      <c r="F249" s="61"/>
      <c r="G249" s="52"/>
      <c r="H249" s="52"/>
      <c r="I249" s="52"/>
      <c r="J249" s="52"/>
      <c r="K249" s="52"/>
      <c r="L249" s="52"/>
      <c r="M249" s="52"/>
      <c r="N249" s="52"/>
      <c r="O249" s="52"/>
      <c r="P249" s="52"/>
      <c r="Q249" s="52"/>
      <c r="R249" s="52"/>
      <c r="S249" s="52"/>
      <c r="T249" s="52"/>
      <c r="U249" s="52"/>
      <c r="V249" s="52"/>
      <c r="W249" s="52"/>
      <c r="X249" s="52"/>
      <c r="Y249" s="52"/>
      <c r="Z249" s="52"/>
    </row>
    <row r="250"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ht="15.75" customHeight="1">
      <c r="A254" s="52"/>
      <c r="B254" s="61"/>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ht="15.75" customHeight="1">
      <c r="A256" s="52"/>
      <c r="B256" s="52"/>
      <c r="C256" s="61"/>
      <c r="D256" s="61"/>
      <c r="E256" s="61"/>
      <c r="F256" s="61"/>
      <c r="G256" s="52"/>
      <c r="H256" s="52"/>
      <c r="I256" s="52"/>
      <c r="J256" s="52"/>
      <c r="K256" s="52"/>
      <c r="L256" s="52"/>
      <c r="M256" s="52"/>
      <c r="N256" s="52"/>
      <c r="O256" s="52"/>
      <c r="P256" s="52"/>
      <c r="Q256" s="52"/>
      <c r="R256" s="52"/>
      <c r="S256" s="52"/>
      <c r="T256" s="52"/>
      <c r="U256" s="52"/>
      <c r="V256" s="52"/>
      <c r="W256" s="52"/>
      <c r="X256" s="52"/>
      <c r="Y256" s="52"/>
      <c r="Z256" s="52"/>
    </row>
    <row r="257"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ht="15.75" customHeight="1">
      <c r="A258" s="52"/>
      <c r="B258" s="52"/>
      <c r="C258" s="61"/>
      <c r="D258" s="61"/>
      <c r="E258" s="61"/>
      <c r="F258" s="61"/>
      <c r="G258" s="52"/>
      <c r="H258" s="52"/>
      <c r="I258" s="52"/>
      <c r="J258" s="52"/>
      <c r="K258" s="52"/>
      <c r="L258" s="52"/>
      <c r="M258" s="52"/>
      <c r="N258" s="52"/>
      <c r="O258" s="52"/>
      <c r="P258" s="52"/>
      <c r="Q258" s="52"/>
      <c r="R258" s="52"/>
      <c r="S258" s="52"/>
      <c r="T258" s="52"/>
      <c r="U258" s="52"/>
      <c r="V258" s="52"/>
      <c r="W258" s="52"/>
      <c r="X258" s="52"/>
      <c r="Y258" s="52"/>
      <c r="Z258" s="52"/>
    </row>
    <row r="259"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ht="15.75" customHeight="1">
      <c r="A260" s="52"/>
      <c r="B260" s="52"/>
      <c r="C260" s="61"/>
      <c r="D260" s="61"/>
      <c r="E260" s="61"/>
      <c r="F260" s="61"/>
      <c r="G260" s="52"/>
      <c r="H260" s="52"/>
      <c r="I260" s="52"/>
      <c r="J260" s="52"/>
      <c r="K260" s="52"/>
      <c r="L260" s="52"/>
      <c r="M260" s="52"/>
      <c r="N260" s="52"/>
      <c r="O260" s="52"/>
      <c r="P260" s="52"/>
      <c r="Q260" s="52"/>
      <c r="R260" s="52"/>
      <c r="S260" s="52"/>
      <c r="T260" s="52"/>
      <c r="U260" s="52"/>
      <c r="V260" s="52"/>
      <c r="W260" s="52"/>
      <c r="X260" s="52"/>
      <c r="Y260" s="52"/>
      <c r="Z260" s="52"/>
    </row>
    <row r="261"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ht="15.75" customHeight="1">
      <c r="A262" s="52"/>
      <c r="B262" s="52"/>
      <c r="C262" s="61"/>
      <c r="D262" s="61"/>
      <c r="E262" s="61"/>
      <c r="F262" s="61"/>
      <c r="G262" s="52"/>
      <c r="H262" s="52"/>
      <c r="I262" s="52"/>
      <c r="J262" s="52"/>
      <c r="K262" s="52"/>
      <c r="L262" s="52"/>
      <c r="M262" s="52"/>
      <c r="N262" s="52"/>
      <c r="O262" s="52"/>
      <c r="P262" s="52"/>
      <c r="Q262" s="52"/>
      <c r="R262" s="52"/>
      <c r="S262" s="52"/>
      <c r="T262" s="52"/>
      <c r="U262" s="52"/>
      <c r="V262" s="52"/>
      <c r="W262" s="52"/>
      <c r="X262" s="52"/>
      <c r="Y262" s="52"/>
      <c r="Z262" s="52"/>
    </row>
    <row r="263" ht="15.75" customHeight="1">
      <c r="A263" s="52"/>
      <c r="B263" s="52"/>
      <c r="C263" s="61"/>
      <c r="D263" s="61"/>
      <c r="E263" s="61"/>
      <c r="F263" s="61"/>
      <c r="G263" s="52"/>
      <c r="H263" s="52"/>
      <c r="I263" s="52"/>
      <c r="J263" s="52"/>
      <c r="K263" s="52"/>
      <c r="L263" s="52"/>
      <c r="M263" s="52"/>
      <c r="N263" s="52"/>
      <c r="O263" s="52"/>
      <c r="P263" s="52"/>
      <c r="Q263" s="52"/>
      <c r="R263" s="52"/>
      <c r="S263" s="52"/>
      <c r="T263" s="52"/>
      <c r="U263" s="52"/>
      <c r="V263" s="52"/>
      <c r="W263" s="52"/>
      <c r="X263" s="52"/>
      <c r="Y263" s="52"/>
      <c r="Z263" s="52"/>
    </row>
    <row r="264" ht="15.7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35"/>
    <hyperlink r:id="rId2" ref="B46"/>
    <hyperlink r:id="rId3" ref="B49"/>
  </hyperlinks>
  <drawing r:id="rId4"/>
</worksheet>
</file>